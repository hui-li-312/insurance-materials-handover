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8.xml" ContentType="application/vnd.openxmlformats-officedocument.spreadsheetml.worksheet+xml"/>
  <Override PartName="/xl/worksheets/sheet9.xml" ContentType="application/vnd.openxmlformats-officedocument.spreadsheetml.worksheet+xml"/>
  <Override PartName="/xl/worksheets/sheet17.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8.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sharedStrings.xml" ContentType="application/vnd.openxmlformats-officedocument.spreadsheetml.sharedStrings+xml"/>
  <Override PartName="/xl/tables/table4.xml" ContentType="application/vnd.openxmlformats-officedocument.spreadsheetml.table+xml"/>
  <Override PartName="/xl/tables/table3.xml" ContentType="application/vnd.openxmlformats-officedocument.spreadsheetml.table+xml"/>
  <Override PartName="/xl/tables/table6.xml" ContentType="application/vnd.openxmlformats-officedocument.spreadsheetml.table+xml"/>
  <Override PartName="/xl/tables/table13.xml" ContentType="application/vnd.openxmlformats-officedocument.spreadsheetml.table+xml"/>
  <Override PartName="/xl/tables/table9.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17.xml" ContentType="application/vnd.openxmlformats-officedocument.spreadsheetml.table+xml"/>
  <Override PartName="/xl/tables/table11.xml" ContentType="application/vnd.openxmlformats-officedocument.spreadsheetml.table+xml"/>
  <Override PartName="/xl/tables/table1.xml" ContentType="application/vnd.openxmlformats-officedocument.spreadsheetml.table+xml"/>
  <Override PartName="/xl/tables/table10.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5.xml" ContentType="application/vnd.openxmlformats-officedocument.spreadsheetml.table+xml"/>
  <Override PartName="/xl/tables/table16.xml" ContentType="application/vnd.openxmlformats-officedocument.spreadsheetml.table+xml"/>
  <Override PartName="/xl/tables/table18.xml" ContentType="application/vnd.openxmlformats-officedocument.spreadsheetml.table+xml"/>
  <Override PartName="/xl/tables/table2.xml" ContentType="application/vnd.openxmlformats-officedocument.spreadsheetml.table+xml"/>
  <Override PartName="/xl/tables/table1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交付概览" sheetId="1" state="visible" r:id="rId3"/>
    <sheet name="本批执行结果" sheetId="2" state="visible" r:id="rId4"/>
    <sheet name="首批固定任务" sheetId="3" state="visible" r:id="rId5"/>
    <sheet name="12地区基线" sheetId="4" state="visible" r:id="rId6"/>
    <sheet name="保司与来源" sheetId="5" state="visible" r:id="rId7"/>
    <sheet name="验收口径" sheetId="6" state="visible" r:id="rId8"/>
    <sheet name="MY身份与材料" sheetId="7" state="visible" r:id="rId9"/>
    <sheet name="B15–B18角色验收" sheetId="8" state="visible" r:id="rId10"/>
    <sheet name="B19内容验收" sheetId="9" state="visible" r:id="rId11"/>
    <sheet name="B20-B21主文工单" sheetId="10" state="visible" r:id="rId12"/>
    <sheet name="B22内容验收" sheetId="11" state="visible" r:id="rId13"/>
    <sheet name="B23内容验收" sheetId="12" state="visible" r:id="rId14"/>
    <sheet name="B24内容验收" sheetId="13" state="visible" r:id="rId15"/>
    <sheet name="B24复核事项" sheetId="14" state="visible" r:id="rId16"/>
    <sheet name="B28状态纠正" sheetId="15" state="visible" r:id="rId17"/>
    <sheet name="B25-27内容验收" sheetId="16" state="visible" r:id="rId18"/>
    <sheet name="B25-27复核事项" sheetId="17" state="visible" r:id="rId19"/>
    <sheet name="交付范围与后续采集" sheetId="18" state="visible" r:id="rId20"/>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<sst xmlns="http://schemas.openxmlformats.org/spreadsheetml/2006/main" count="26449" uniqueCount="11161">
  <si>
    <t xml:space="preserve">保险条款采集累计交付台账</t>
  </si>
  <si>
    <t xml:space="preserve">更新日期</t>
  </si>
  <si>
    <t xml:space="preserve">D1–B28累计259条限定工单，阶段全审97份4250页。网站v126／索引v102已回验。</t>
  </si>
  <si>
    <t xml:space="preserve">D1–B14内容基线（保留）</t>
  </si>
  <si>
    <t xml:space="preserve">数量</t>
  </si>
  <si>
    <t xml:space="preserve">单位</t>
  </si>
  <si>
    <t xml:space="preserve">验收边界</t>
  </si>
  <si>
    <t xml:space="preserve">地区基线</t>
  </si>
  <si>
    <t xml:space="preserve">个地区</t>
  </si>
  <si>
    <t xml:space="preserve">已列出范围。未核实的地区统计保持空白。</t>
  </si>
  <si>
    <t xml:space="preserve">保司与来源索引</t>
  </si>
  <si>
    <t xml:space="preserve">条来源</t>
  </si>
  <si>
    <t xml:space="preserve">原有201条来源完整保留，追加B7–B14共41条。不是保司数或独立产品数。</t>
  </si>
  <si>
    <t xml:space="preserve">十四批冻结任务基数</t>
  </si>
  <si>
    <t xml:space="preserve">条任务</t>
  </si>
  <si>
    <t xml:space="preserve">D1–B6历史67条；B7–B14追加41条。各批冻结基数不随缺失行缩减。</t>
  </si>
  <si>
    <t xml:space="preserve">D1–B14任务行数</t>
  </si>
  <si>
    <r>
      <rPr>
        <sz val="11"/>
        <color rgb="FF20334A"/>
        <rFont val="Noto Sans CJK SC"/>
        <family val="2"/>
        <charset val="1"/>
      </rPr>
      <t xml:space="preserve">按任务 </t>
    </r>
    <r>
      <rPr>
        <sz val="11"/>
        <color rgb="FF20334A"/>
        <rFont val="Arial"/>
        <family val="0"/>
        <charset val="1"/>
      </rPr>
      <t xml:space="preserve">ID </t>
    </r>
    <r>
      <rPr>
        <sz val="11"/>
        <color rgb="FF20334A"/>
        <rFont val="Noto Sans CJK SC"/>
        <family val="2"/>
        <charset val="1"/>
      </rPr>
      <t xml:space="preserve">计，不是独立产品数或新取得文件数。</t>
    </r>
  </si>
  <si>
    <t xml:space="preserve">D1–B14处理记录</t>
  </si>
  <si>
    <t xml:space="preserve">108条是限定证据工单。B10变体线索与B13/B14重复目标探测不增加独立产品。</t>
  </si>
  <si>
    <t xml:space="preserve">D1–B14证据验收</t>
  </si>
  <si>
    <t xml:space="preserve">需要复核通过、证据、有效日期及范围匹配。并非产品齐备数。</t>
  </si>
  <si>
    <t xml:space="preserve">D1–B14现存页全审</t>
  </si>
  <si>
    <t xml:space="preserve">份文件</t>
  </si>
  <si>
    <t xml:space="preserve">累计45份既存原件、1243物理页全审；含通用组件和非合同说明，不等于45套产品合同。</t>
  </si>
  <si>
    <t xml:space="preserve">目标主文缺口关闭</t>
  </si>
  <si>
    <t xml:space="preserve">项</t>
  </si>
  <si>
    <t xml:space="preserve">各批目标主文／独立产品缺口新增关闭均0。独立产品分母未核定，不计算市场覆盖率。</t>
  </si>
  <si>
    <t xml:space="preserve">D1期初任务单位</t>
  </si>
  <si>
    <t xml:space="preserve">条数</t>
  </si>
  <si>
    <t xml:space="preserve">说明</t>
  </si>
  <si>
    <t xml:space="preserve">产品路线核验</t>
  </si>
  <si>
    <r>
      <rPr>
        <sz val="11"/>
        <color rgb="FF20334A"/>
        <rFont val="Noto Sans CJK SC"/>
        <family val="2"/>
        <charset val="1"/>
      </rPr>
      <t xml:space="preserve">香港固定 </t>
    </r>
    <r>
      <rPr>
        <sz val="11"/>
        <color rgb="FF20334A"/>
        <rFont val="Arial"/>
        <family val="0"/>
        <charset val="1"/>
      </rPr>
      <t xml:space="preserve">4 </t>
    </r>
    <r>
      <rPr>
        <sz val="11"/>
        <color rgb="FF20334A"/>
        <rFont val="Noto Sans CJK SC"/>
        <family val="2"/>
        <charset val="1"/>
      </rPr>
      <t xml:space="preserve">个产品路线。可交付明确缺口，不等于已取得主文。</t>
    </r>
  </si>
  <si>
    <t xml:space="preserve">产品组件核验</t>
  </si>
  <si>
    <r>
      <rPr>
        <sz val="11"/>
        <color rgb="FF20334A"/>
        <rFont val="Noto Sans CJK SC"/>
        <family val="2"/>
        <charset val="1"/>
      </rPr>
      <t xml:space="preserve">核 </t>
    </r>
    <r>
      <rPr>
        <sz val="11"/>
        <color rgb="FF20334A"/>
        <rFont val="Arial"/>
        <family val="0"/>
        <charset val="1"/>
      </rPr>
      <t xml:space="preserve">Travel Protector </t>
    </r>
    <r>
      <rPr>
        <sz val="11"/>
        <color rgb="FF20334A"/>
        <rFont val="Noto Sans CJK SC"/>
        <family val="2"/>
        <charset val="1"/>
      </rPr>
      <t xml:space="preserve">的现行 </t>
    </r>
    <r>
      <rPr>
        <sz val="11"/>
        <color rgb="FF20334A"/>
        <rFont val="Arial"/>
        <family val="0"/>
        <charset val="1"/>
      </rPr>
      <t xml:space="preserve">COVID-19 </t>
    </r>
    <r>
      <rPr>
        <sz val="11"/>
        <color rgb="FF20334A"/>
        <rFont val="Noto Sans CJK SC"/>
        <family val="2"/>
        <charset val="1"/>
      </rPr>
      <t xml:space="preserve">扩展／批单。</t>
    </r>
  </si>
  <si>
    <t xml:space="preserve">产品版本核验</t>
  </si>
  <si>
    <r>
      <rPr>
        <sz val="11"/>
        <color rgb="FF20334A"/>
        <rFont val="Noto Sans CJK SC"/>
        <family val="2"/>
        <charset val="1"/>
      </rPr>
      <t xml:space="preserve">核 </t>
    </r>
    <r>
      <rPr>
        <sz val="11"/>
        <color rgb="FF20334A"/>
        <rFont val="Arial"/>
        <family val="0"/>
        <charset val="1"/>
      </rPr>
      <t xml:space="preserve">Home Protector 360 06/20 </t>
    </r>
    <r>
      <rPr>
        <sz val="11"/>
        <color rgb="FF20334A"/>
        <rFont val="Noto Sans CJK SC"/>
        <family val="2"/>
        <charset val="1"/>
      </rPr>
      <t xml:space="preserve">采用关系，不代入 </t>
    </r>
    <r>
      <rPr>
        <sz val="11"/>
        <color rgb="FF20334A"/>
        <rFont val="Arial"/>
        <family val="0"/>
        <charset val="1"/>
      </rPr>
      <t xml:space="preserve">Basic</t>
    </r>
    <r>
      <rPr>
        <sz val="11"/>
        <color rgb="FF20334A"/>
        <rFont val="Noto Sans CJK SC"/>
        <family val="2"/>
        <charset val="1"/>
      </rPr>
      <t xml:space="preserve">。</t>
    </r>
  </si>
  <si>
    <t xml:space="preserve">文档核验</t>
  </si>
  <si>
    <r>
      <rPr>
        <sz val="11"/>
        <color rgb="FF20334A"/>
        <rFont val="Noto Sans CJK SC"/>
        <family val="2"/>
        <charset val="1"/>
      </rPr>
      <t xml:space="preserve">新加坡 </t>
    </r>
    <r>
      <rPr>
        <sz val="11"/>
        <color rgb="FF20334A"/>
        <rFont val="Arial"/>
        <family val="0"/>
        <charset val="1"/>
      </rPr>
      <t xml:space="preserve">1 </t>
    </r>
    <r>
      <rPr>
        <sz val="11"/>
        <color rgb="FF20334A"/>
        <rFont val="Noto Sans CJK SC"/>
        <family val="2"/>
        <charset val="1"/>
      </rPr>
      <t xml:space="preserve">份页序核验，马来西亚 </t>
    </r>
    <r>
      <rPr>
        <sz val="11"/>
        <color rgb="FF20334A"/>
        <rFont val="Arial"/>
        <family val="0"/>
        <charset val="1"/>
      </rPr>
      <t xml:space="preserve">5 </t>
    </r>
    <r>
      <rPr>
        <sz val="11"/>
        <color rgb="FF20334A"/>
        <rFont val="Noto Sans CJK SC"/>
        <family val="2"/>
        <charset val="1"/>
      </rPr>
      <t xml:space="preserve">份 </t>
    </r>
    <r>
      <rPr>
        <sz val="11"/>
        <color rgb="FF20334A"/>
        <rFont val="Arial"/>
        <family val="0"/>
        <charset val="1"/>
      </rPr>
      <t xml:space="preserve">Master </t>
    </r>
    <r>
      <rPr>
        <sz val="11"/>
        <color rgb="FF20334A"/>
        <rFont val="Noto Sans CJK SC"/>
        <family val="2"/>
        <charset val="1"/>
      </rPr>
      <t xml:space="preserve">文档共 </t>
    </r>
    <r>
      <rPr>
        <sz val="11"/>
        <color rgb="FF20334A"/>
        <rFont val="Arial"/>
        <family val="0"/>
        <charset val="1"/>
      </rPr>
      <t xml:space="preserve">114 </t>
    </r>
    <r>
      <rPr>
        <sz val="11"/>
        <color rgb="FF20334A"/>
        <rFont val="Noto Sans CJK SC"/>
        <family val="2"/>
        <charset val="1"/>
      </rPr>
      <t xml:space="preserve">页。</t>
    </r>
  </si>
  <si>
    <t xml:space="preserve">历史存量（非本批新增）</t>
  </si>
  <si>
    <t xml:space="preserve">指标</t>
  </si>
  <si>
    <t xml:space="preserve">历史数量</t>
  </si>
  <si>
    <t xml:space="preserve">口径</t>
  </si>
  <si>
    <t xml:space="preserve">原件</t>
  </si>
  <si>
    <r>
      <rPr>
        <sz val="11"/>
        <color rgb="FF20334A"/>
        <rFont val="Arial"/>
        <family val="0"/>
        <charset val="1"/>
      </rPr>
      <t xml:space="preserve">v89 </t>
    </r>
    <r>
      <rPr>
        <sz val="11"/>
        <color rgb="FF20334A"/>
        <rFont val="Noto Sans CJK SC"/>
        <family val="2"/>
        <charset val="1"/>
      </rPr>
      <t xml:space="preserve">历史存量，含公开原件 </t>
    </r>
    <r>
      <rPr>
        <sz val="11"/>
        <color rgb="FF20334A"/>
        <rFont val="Arial"/>
        <family val="0"/>
        <charset val="1"/>
      </rPr>
      <t xml:space="preserve">4,659 </t>
    </r>
    <r>
      <rPr>
        <sz val="11"/>
        <color rgb="FF20334A"/>
        <rFont val="Noto Sans CJK SC"/>
        <family val="2"/>
        <charset val="1"/>
      </rPr>
      <t xml:space="preserve">与隔离文件 </t>
    </r>
    <r>
      <rPr>
        <sz val="11"/>
        <color rgb="FF20334A"/>
        <rFont val="Arial"/>
        <family val="0"/>
        <charset val="1"/>
      </rPr>
      <t xml:space="preserve">51</t>
    </r>
    <r>
      <rPr>
        <sz val="11"/>
        <color rgb="FF20334A"/>
        <rFont val="Noto Sans CJK SC"/>
        <family val="2"/>
        <charset val="1"/>
      </rPr>
      <t xml:space="preserve">。</t>
    </r>
  </si>
  <si>
    <t xml:space="preserve">已全文审阅</t>
  </si>
  <si>
    <r>
      <rPr>
        <sz val="11"/>
        <color rgb="FF20334A"/>
        <rFont val="Arial"/>
        <family val="0"/>
        <charset val="1"/>
      </rPr>
      <t xml:space="preserve">v89 </t>
    </r>
    <r>
      <rPr>
        <sz val="11"/>
        <color rgb="FF20334A"/>
        <rFont val="Noto Sans CJK SC"/>
        <family val="2"/>
        <charset val="1"/>
      </rPr>
      <t xml:space="preserve">历史全文审阅数量，不代表全市场覆盖。</t>
    </r>
  </si>
  <si>
    <t xml:space="preserve">严格通过</t>
  </si>
  <si>
    <r>
      <rPr>
        <sz val="11"/>
        <color rgb="FF20334A"/>
        <rFont val="Arial"/>
        <family val="0"/>
        <charset val="1"/>
      </rPr>
      <t xml:space="preserve">v89 </t>
    </r>
    <r>
      <rPr>
        <sz val="11"/>
        <color rgb="FF20334A"/>
        <rFont val="Noto Sans CJK SC"/>
        <family val="2"/>
        <charset val="1"/>
      </rPr>
      <t xml:space="preserve">严格主文文件数，不是 </t>
    </r>
    <r>
      <rPr>
        <sz val="11"/>
        <color rgb="FF20334A"/>
        <rFont val="Arial"/>
        <family val="0"/>
        <charset val="1"/>
      </rPr>
      <t xml:space="preserve">411 </t>
    </r>
    <r>
      <rPr>
        <sz val="11"/>
        <color rgb="FF20334A"/>
        <rFont val="Noto Sans CJK SC"/>
        <family val="2"/>
        <charset val="1"/>
      </rPr>
      <t xml:space="preserve">个完整产品。</t>
    </r>
  </si>
  <si>
    <t xml:space="preserve">隔离文件</t>
  </si>
  <si>
    <r>
      <rPr>
        <sz val="11"/>
        <color rgb="FF20334A"/>
        <rFont val="Arial"/>
        <family val="0"/>
        <charset val="1"/>
      </rPr>
      <t xml:space="preserve">v89 </t>
    </r>
    <r>
      <rPr>
        <sz val="11"/>
        <color rgb="FF20334A"/>
        <rFont val="Noto Sans CJK SC"/>
        <family val="2"/>
        <charset val="1"/>
      </rPr>
      <t xml:space="preserve">保留隔离文件，属于历史原件，不与原件再相加。</t>
    </r>
  </si>
  <si>
    <t xml:space="preserve">分批冻结与验收</t>
  </si>
  <si>
    <t xml:space="preserve">批次</t>
  </si>
  <si>
    <t xml:space="preserve">冻结任务</t>
  </si>
  <si>
    <t xml:space="preserve">证据验收</t>
  </si>
  <si>
    <t xml:space="preserve">分批边界</t>
  </si>
  <si>
    <r>
      <rPr>
        <sz val="11"/>
        <color rgb="FF20334A"/>
        <rFont val="Arial"/>
        <family val="2"/>
        <charset val="1"/>
      </rPr>
      <t xml:space="preserve">D1</t>
    </r>
    <r>
      <rPr>
        <sz val="11"/>
        <color rgb="FF20334A"/>
        <rFont val="Noto Sans CJK SC"/>
        <family val="2"/>
        <charset val="1"/>
      </rPr>
      <t xml:space="preserve">首批</t>
    </r>
  </si>
  <si>
    <r>
      <rPr>
        <sz val="11"/>
        <color rgb="FF20334A"/>
        <rFont val="Noto Sans CJK SC"/>
        <family val="2"/>
        <charset val="1"/>
      </rPr>
      <t xml:space="preserve">期初</t>
    </r>
    <r>
      <rPr>
        <sz val="11"/>
        <color rgb="FF20334A"/>
        <rFont val="Arial"/>
        <family val="2"/>
        <charset val="1"/>
      </rPr>
      <t xml:space="preserve">12</t>
    </r>
    <r>
      <rPr>
        <sz val="11"/>
        <color rgb="FF20334A"/>
        <rFont val="Noto Sans CJK SC"/>
        <family val="2"/>
        <charset val="1"/>
      </rPr>
      <t xml:space="preserve">条／验收</t>
    </r>
    <r>
      <rPr>
        <sz val="11"/>
        <color rgb="FF20334A"/>
        <rFont val="Arial"/>
        <family val="2"/>
        <charset val="1"/>
      </rPr>
      <t xml:space="preserve">0</t>
    </r>
    <r>
      <rPr>
        <sz val="11"/>
        <color rgb="FF20334A"/>
        <rFont val="Noto Sans CJK SC"/>
        <family val="2"/>
        <charset val="1"/>
      </rPr>
      <t xml:space="preserve">。现增</t>
    </r>
    <r>
      <rPr>
        <sz val="11"/>
        <color rgb="FF20334A"/>
        <rFont val="Arial"/>
        <family val="2"/>
        <charset val="1"/>
      </rPr>
      <t xml:space="preserve">5</t>
    </r>
    <r>
      <rPr>
        <sz val="11"/>
        <color rgb="FF20334A"/>
        <rFont val="Noto Sans CJK SC"/>
        <family val="2"/>
        <charset val="1"/>
      </rPr>
      <t xml:space="preserve">份全审</t>
    </r>
    <r>
      <rPr>
        <sz val="11"/>
        <color rgb="FF20334A"/>
        <rFont val="Arial"/>
        <family val="2"/>
        <charset val="1"/>
      </rPr>
      <t xml:space="preserve">114</t>
    </r>
    <r>
      <rPr>
        <sz val="11"/>
        <color rgb="FF20334A"/>
        <rFont val="Noto Sans CJK SC"/>
        <family val="2"/>
        <charset val="1"/>
      </rPr>
      <t xml:space="preserve">页及</t>
    </r>
    <r>
      <rPr>
        <sz val="11"/>
        <color rgb="FF20334A"/>
        <rFont val="Arial"/>
        <family val="2"/>
        <charset val="1"/>
      </rPr>
      <t xml:space="preserve">3</t>
    </r>
    <r>
      <rPr>
        <sz val="11"/>
        <color rgb="FF20334A"/>
        <rFont val="Noto Sans CJK SC"/>
        <family val="2"/>
        <charset val="1"/>
      </rPr>
      <t xml:space="preserve">份支持原件，均已发布。</t>
    </r>
  </si>
  <si>
    <r>
      <rPr>
        <sz val="11"/>
        <color rgb="FF20334A"/>
        <rFont val="Arial"/>
        <family val="2"/>
        <charset val="1"/>
      </rPr>
      <t xml:space="preserve">B2</t>
    </r>
    <r>
      <rPr>
        <sz val="11"/>
        <color rgb="FF20334A"/>
        <rFont val="Noto Sans CJK SC"/>
        <family val="2"/>
        <charset val="1"/>
      </rPr>
      <t xml:space="preserve">第二批</t>
    </r>
  </si>
  <si>
    <r>
      <rPr>
        <sz val="11"/>
        <color rgb="FF20334A"/>
        <rFont val="Noto Sans CJK SC"/>
        <family val="2"/>
        <charset val="1"/>
      </rPr>
      <t xml:space="preserve">期初</t>
    </r>
    <r>
      <rPr>
        <sz val="11"/>
        <color rgb="FF20334A"/>
        <rFont val="Arial"/>
        <family val="2"/>
        <charset val="1"/>
      </rPr>
      <t xml:space="preserve">11</t>
    </r>
    <r>
      <rPr>
        <sz val="11"/>
        <color rgb="FF20334A"/>
        <rFont val="Noto Sans CJK SC"/>
        <family val="2"/>
        <charset val="1"/>
      </rPr>
      <t xml:space="preserve">条／验收</t>
    </r>
    <r>
      <rPr>
        <sz val="11"/>
        <color rgb="FF20334A"/>
        <rFont val="Arial"/>
        <family val="2"/>
        <charset val="1"/>
      </rPr>
      <t xml:space="preserve">0</t>
    </r>
    <r>
      <rPr>
        <sz val="11"/>
        <color rgb="FF20334A"/>
        <rFont val="Noto Sans CJK SC"/>
        <family val="2"/>
        <charset val="1"/>
      </rPr>
      <t xml:space="preserve">。新增</t>
    </r>
    <r>
      <rPr>
        <sz val="11"/>
        <color rgb="FF20334A"/>
        <rFont val="Arial"/>
        <family val="2"/>
        <charset val="1"/>
      </rPr>
      <t xml:space="preserve">6</t>
    </r>
    <r>
      <rPr>
        <sz val="11"/>
        <color rgb="FF20334A"/>
        <rFont val="Noto Sans CJK SC"/>
        <family val="2"/>
        <charset val="1"/>
      </rPr>
      <t xml:space="preserve">份全审</t>
    </r>
    <r>
      <rPr>
        <sz val="11"/>
        <color rgb="FF20334A"/>
        <rFont val="Arial"/>
        <family val="2"/>
        <charset val="1"/>
      </rPr>
      <t xml:space="preserve">205</t>
    </r>
    <r>
      <rPr>
        <sz val="11"/>
        <color rgb="FF20334A"/>
        <rFont val="Noto Sans CJK SC"/>
        <family val="2"/>
        <charset val="1"/>
      </rPr>
      <t xml:space="preserve">页、主文角色</t>
    </r>
    <r>
      <rPr>
        <sz val="11"/>
        <color rgb="FF20334A"/>
        <rFont val="Arial"/>
        <family val="2"/>
        <charset val="1"/>
      </rPr>
      <t xml:space="preserve">4</t>
    </r>
    <r>
      <rPr>
        <sz val="11"/>
        <color rgb="FF20334A"/>
        <rFont val="Noto Sans CJK SC"/>
        <family val="2"/>
        <charset val="1"/>
      </rPr>
      <t xml:space="preserve">份已发布，合同问题仍待核。</t>
    </r>
  </si>
  <si>
    <t xml:space="preserve">D1+B2历史累计</t>
  </si>
  <si>
    <t xml:space="preserve">只汇总证据交付。首批不重复计数，受阻与未完成范围不删除。</t>
  </si>
  <si>
    <t xml:space="preserve">累计增量与未解项</t>
  </si>
  <si>
    <t xml:space="preserve">D1–B14全审页数</t>
  </si>
  <si>
    <t xml:space="preserve">页</t>
  </si>
  <si>
    <t xml:space="preserve">1243页仅为现存文件全页审读。EASYCare视觉32页、Traveller英文13页及ID18页部分审读不混入。</t>
  </si>
  <si>
    <t xml:space="preserve">新增支持原件</t>
  </si>
  <si>
    <t xml:space="preserve">份</t>
  </si>
  <si>
    <t xml:space="preserve">仅D1取得3份支持原件；B2–B14新增原件均0。</t>
  </si>
  <si>
    <t xml:space="preserve">严格通过新增</t>
  </si>
  <si>
    <t xml:space="preserve">文件级严格净增3：B8两份、B12 PA Direct一份。与当前采用、个人齐套及产品闭合分别计。</t>
  </si>
  <si>
    <t xml:space="preserve">语言依赖未解</t>
  </si>
  <si>
    <r>
      <rPr>
        <sz val="11"/>
        <color rgb="FF20334A"/>
        <rFont val="Arial"/>
        <family val="2"/>
        <charset val="1"/>
      </rPr>
      <t xml:space="preserve">EASYCare</t>
    </r>
    <r>
      <rPr>
        <sz val="11"/>
        <color rgb="FF20334A"/>
        <rFont val="Noto Sans CJK SC"/>
        <family val="2"/>
        <charset val="1"/>
      </rPr>
      <t xml:space="preserve">／</t>
    </r>
    <r>
      <rPr>
        <sz val="11"/>
        <color rgb="FF20334A"/>
        <rFont val="Arial"/>
        <family val="2"/>
        <charset val="1"/>
      </rPr>
      <t xml:space="preserve">Traveller</t>
    </r>
    <r>
      <rPr>
        <sz val="11"/>
        <color rgb="FF20334A"/>
        <rFont val="Noto Sans CJK SC"/>
        <family val="2"/>
        <charset val="1"/>
      </rPr>
      <t xml:space="preserve">高棉语及</t>
    </r>
    <r>
      <rPr>
        <sz val="11"/>
        <color rgb="FF20334A"/>
        <rFont val="Arial"/>
        <family val="2"/>
        <charset val="1"/>
      </rPr>
      <t xml:space="preserve">ID</t>
    </r>
    <r>
      <rPr>
        <sz val="11"/>
        <color rgb="FF20334A"/>
        <rFont val="Noto Sans CJK SC"/>
        <family val="2"/>
        <charset val="1"/>
      </rPr>
      <t xml:space="preserve">优先印尼语语义等未解决；有限任务完成不消除语言依赖。</t>
    </r>
  </si>
  <si>
    <r>
      <rPr>
        <sz val="11"/>
        <color rgb="FF20334A"/>
        <rFont val="Arial"/>
        <family val="2"/>
        <charset val="1"/>
      </rPr>
      <t xml:space="preserve">B2</t>
    </r>
    <r>
      <rPr>
        <sz val="11"/>
        <color rgb="FF20334A"/>
        <rFont val="Noto Sans CJK SC"/>
        <family val="2"/>
        <charset val="1"/>
      </rPr>
      <t xml:space="preserve">新增主文角色</t>
    </r>
  </si>
  <si>
    <r>
      <rPr>
        <sz val="11"/>
        <color rgb="FF20334A"/>
        <rFont val="Arial"/>
        <family val="2"/>
        <charset val="1"/>
      </rPr>
      <t xml:space="preserve">4</t>
    </r>
    <r>
      <rPr>
        <sz val="11"/>
        <color rgb="FF20334A"/>
        <rFont val="Noto Sans CJK SC"/>
        <family val="2"/>
        <charset val="1"/>
      </rPr>
      <t xml:space="preserve">份文件角色已确认，但均仍待核验，不计产品齐套。</t>
    </r>
  </si>
  <si>
    <t xml:space="preserve">发布与固定索引</t>
  </si>
  <si>
    <t xml:space="preserve">状态与口径</t>
  </si>
  <si>
    <t xml:space="preserve">已发布正式原件</t>
  </si>
  <si>
    <t xml:space="preserve">网站v126／私有索引v102；正式4713、公开4662、隔离51不变。</t>
  </si>
  <si>
    <t xml:space="preserve">其中公开原件</t>
  </si>
  <si>
    <r>
      <rPr>
        <sz val="11"/>
        <color rgb="FF20334A"/>
        <rFont val="Noto Sans CJK SC"/>
        <family val="2"/>
        <charset val="1"/>
      </rPr>
      <t xml:space="preserve">公开原件</t>
    </r>
    <r>
      <rPr>
        <sz val="11"/>
        <color rgb="FF20334A"/>
        <rFont val="Arial"/>
        <family val="2"/>
        <charset val="1"/>
      </rPr>
      <t xml:space="preserve">4,662</t>
    </r>
    <r>
      <rPr>
        <sz val="11"/>
        <color rgb="FF20334A"/>
        <rFont val="Noto Sans CJK SC"/>
        <family val="2"/>
        <charset val="1"/>
      </rPr>
      <t xml:space="preserve">，隔离文件</t>
    </r>
    <r>
      <rPr>
        <sz val="11"/>
        <color rgb="FF20334A"/>
        <rFont val="Arial"/>
        <family val="2"/>
        <charset val="1"/>
      </rPr>
      <t xml:space="preserve">51</t>
    </r>
    <r>
      <rPr>
        <sz val="11"/>
        <color rgb="FF20334A"/>
        <rFont val="Noto Sans CJK SC"/>
        <family val="2"/>
        <charset val="1"/>
      </rPr>
      <t xml:space="preserve">。两者合计</t>
    </r>
    <r>
      <rPr>
        <sz val="11"/>
        <color rgb="FF20334A"/>
        <rFont val="Arial"/>
        <family val="2"/>
        <charset val="1"/>
      </rPr>
      <t xml:space="preserve">4,713</t>
    </r>
    <r>
      <rPr>
        <sz val="11"/>
        <color rgb="FF20334A"/>
        <rFont val="Noto Sans CJK SC"/>
        <family val="2"/>
        <charset val="1"/>
      </rPr>
      <t xml:space="preserve">。</t>
    </r>
  </si>
  <si>
    <t xml:space="preserve">已发布全文审阅</t>
  </si>
  <si>
    <t xml:space="preserve">当前全文2342；B28新增全文0，阶段97份4250页不变。</t>
  </si>
  <si>
    <r>
      <rPr>
        <sz val="11"/>
        <color rgb="FF20334A"/>
        <rFont val="Arial"/>
        <family val="2"/>
        <charset val="1"/>
      </rPr>
      <t xml:space="preserve">B2</t>
    </r>
    <r>
      <rPr>
        <sz val="11"/>
        <color rgb="FF20334A"/>
        <rFont val="Noto Sans CJK SC"/>
        <family val="2"/>
        <charset val="1"/>
      </rPr>
      <t xml:space="preserve">已发布全文增量</t>
    </r>
  </si>
  <si>
    <t xml:space="preserve">新增6份已进入线上版本115。网站已更新第二批核验状态；原件与详审证据私有留存。</t>
  </si>
  <si>
    <t xml:space="preserve">第三批已验收任务</t>
  </si>
  <si>
    <r>
      <rPr>
        <sz val="11"/>
        <color rgb="FF20334A"/>
        <rFont val="Arial"/>
        <family val="2"/>
        <charset val="1"/>
      </rPr>
      <t xml:space="preserve">10</t>
    </r>
    <r>
      <rPr>
        <sz val="11"/>
        <color rgb="FF20334A"/>
        <rFont val="Noto Sans CJK SC"/>
        <family val="2"/>
        <charset val="1"/>
      </rPr>
      <t xml:space="preserve">项限定任务已验收并发布：</t>
    </r>
    <r>
      <rPr>
        <sz val="11"/>
        <color rgb="FF20334A"/>
        <rFont val="Arial"/>
        <family val="2"/>
        <charset val="1"/>
      </rPr>
      <t xml:space="preserve">5</t>
    </r>
    <r>
      <rPr>
        <sz val="11"/>
        <color rgb="FF20334A"/>
        <rFont val="Noto Sans CJK SC"/>
        <family val="2"/>
        <charset val="1"/>
      </rPr>
      <t xml:space="preserve">份全文</t>
    </r>
    <r>
      <rPr>
        <sz val="11"/>
        <color rgb="FF20334A"/>
        <rFont val="Arial"/>
        <family val="2"/>
        <charset val="1"/>
      </rPr>
      <t xml:space="preserve">184</t>
    </r>
    <r>
      <rPr>
        <sz val="11"/>
        <color rgb="FF20334A"/>
        <rFont val="Noto Sans CJK SC"/>
        <family val="2"/>
        <charset val="1"/>
      </rPr>
      <t xml:space="preserve">页，</t>
    </r>
    <r>
      <rPr>
        <sz val="11"/>
        <color rgb="FF20334A"/>
        <rFont val="Arial"/>
        <family val="2"/>
        <charset val="1"/>
      </rPr>
      <t xml:space="preserve">2</t>
    </r>
    <r>
      <rPr>
        <sz val="11"/>
        <color rgb="FF20334A"/>
        <rFont val="Noto Sans CJK SC"/>
        <family val="2"/>
        <charset val="1"/>
      </rPr>
      <t xml:space="preserve">路线、</t>
    </r>
    <r>
      <rPr>
        <sz val="11"/>
        <color rgb="FF20334A"/>
        <rFont val="Arial"/>
        <family val="2"/>
        <charset val="1"/>
      </rPr>
      <t xml:space="preserve">2</t>
    </r>
    <r>
      <rPr>
        <sz val="11"/>
        <color rgb="FF20334A"/>
        <rFont val="Noto Sans CJK SC"/>
        <family val="2"/>
        <charset val="1"/>
      </rPr>
      <t xml:space="preserve">历史关系、</t>
    </r>
    <r>
      <rPr>
        <sz val="11"/>
        <color rgb="FF20334A"/>
        <rFont val="Arial"/>
        <family val="2"/>
        <charset val="1"/>
      </rPr>
      <t xml:space="preserve">1</t>
    </r>
    <r>
      <rPr>
        <sz val="11"/>
        <color rgb="FF20334A"/>
        <rFont val="Noto Sans CJK SC"/>
        <family val="2"/>
        <charset val="1"/>
      </rPr>
      <t xml:space="preserve">英文部分审读。</t>
    </r>
  </si>
  <si>
    <t xml:space="preserve">范围与重复报警</t>
  </si>
  <si>
    <r>
      <rPr>
        <sz val="11"/>
        <color rgb="FF20334A"/>
        <rFont val="Noto Sans CJK SC"/>
        <family val="2"/>
        <charset val="1"/>
      </rPr>
      <t xml:space="preserve">必须为</t>
    </r>
    <r>
      <rPr>
        <sz val="11"/>
        <color rgb="FF20334A"/>
        <rFont val="Arial"/>
        <family val="2"/>
        <charset val="1"/>
      </rPr>
      <t xml:space="preserve">0</t>
    </r>
    <r>
      <rPr>
        <sz val="11"/>
        <color rgb="FF20334A"/>
        <rFont val="Noto Sans CJK SC"/>
        <family val="2"/>
        <charset val="1"/>
      </rPr>
      <t xml:space="preserve">。缺少冻结范围、重复任务或缺失执行记录均须检查。</t>
    </r>
  </si>
  <si>
    <t xml:space="preserve">已发布部分核验</t>
  </si>
  <si>
    <t xml:space="preserve">网站v126／索引v102：部分17、主角色2749、严格423。</t>
  </si>
  <si>
    <t xml:space="preserve">更新任务</t>
  </si>
  <si>
    <t xml:space="preserve">在“本批执行结果”更新复核与证据。冻结表保留各批原始期初，不覆盖历史。</t>
  </si>
  <si>
    <t xml:space="preserve">筛选核对</t>
  </si>
  <si>
    <r>
      <rPr>
        <sz val="11"/>
        <color rgb="FF20334A"/>
        <rFont val="Noto Sans CJK SC"/>
        <family val="2"/>
        <charset val="1"/>
      </rPr>
      <t xml:space="preserve">执行表及冻结表可按批次、地区、保司、状态筛选。原始</t>
    </r>
    <r>
      <rPr>
        <sz val="11"/>
        <color rgb="FF20334A"/>
        <rFont val="Arial"/>
        <family val="2"/>
        <charset val="1"/>
      </rPr>
      <t xml:space="preserve">ID</t>
    </r>
    <r>
      <rPr>
        <sz val="11"/>
        <color rgb="FF20334A"/>
        <rFont val="Noto Sans CJK SC"/>
        <family val="2"/>
        <charset val="1"/>
      </rPr>
      <t xml:space="preserve">保持稳定。</t>
    </r>
  </si>
  <si>
    <t xml:space="preserve">缺项处理</t>
  </si>
  <si>
    <t xml:space="preserve">空白表示未核实而非零。独立产品分母未定，不计算全市场覆盖率。</t>
  </si>
  <si>
    <r>
      <rPr>
        <b val="true"/>
        <sz val="11"/>
        <color rgb="FFFFFFFF"/>
        <rFont val="Arial"/>
        <family val="2"/>
        <charset val="1"/>
      </rPr>
      <t xml:space="preserve">B3–B6</t>
    </r>
    <r>
      <rPr>
        <b val="true"/>
        <sz val="11"/>
        <color rgb="FFFFFFFF"/>
        <rFont val="Noto Sans CJK SC"/>
        <family val="2"/>
        <charset val="1"/>
      </rPr>
      <t xml:space="preserve">增量与累计</t>
    </r>
  </si>
  <si>
    <t xml:space="preserve">严格边界</t>
  </si>
  <si>
    <t xml:space="preserve">范围说明</t>
  </si>
  <si>
    <r>
      <rPr>
        <sz val="11"/>
        <color rgb="FF20334A"/>
        <rFont val="Arial"/>
        <family val="2"/>
        <charset val="1"/>
      </rPr>
      <t xml:space="preserve">B3</t>
    </r>
    <r>
      <rPr>
        <sz val="11"/>
        <color rgb="FF20334A"/>
        <rFont val="Noto Sans CJK SC"/>
        <family val="2"/>
        <charset val="1"/>
      </rPr>
      <t xml:space="preserve">第三批</t>
    </r>
  </si>
  <si>
    <r>
      <rPr>
        <sz val="11"/>
        <color rgb="FF20334A"/>
        <rFont val="Arial"/>
        <family val="2"/>
        <charset val="1"/>
      </rPr>
      <t xml:space="preserve">5</t>
    </r>
    <r>
      <rPr>
        <sz val="11"/>
        <color rgb="FF20334A"/>
        <rFont val="Noto Sans CJK SC"/>
        <family val="2"/>
        <charset val="1"/>
      </rPr>
      <t xml:space="preserve">份现存全文</t>
    </r>
    <r>
      <rPr>
        <sz val="11"/>
        <color rgb="FF20334A"/>
        <rFont val="Arial"/>
        <family val="2"/>
        <charset val="1"/>
      </rPr>
      <t xml:space="preserve">184</t>
    </r>
    <r>
      <rPr>
        <sz val="11"/>
        <color rgb="FF20334A"/>
        <rFont val="Noto Sans CJK SC"/>
        <family val="2"/>
        <charset val="1"/>
      </rPr>
      <t xml:space="preserve">页；文件主文角色净增</t>
    </r>
    <r>
      <rPr>
        <sz val="11"/>
        <color rgb="FF20334A"/>
        <rFont val="Arial"/>
        <family val="2"/>
        <charset val="1"/>
      </rPr>
      <t xml:space="preserve">4</t>
    </r>
    <r>
      <rPr>
        <sz val="11"/>
        <color rgb="FF20334A"/>
        <rFont val="Noto Sans CJK SC"/>
        <family val="2"/>
        <charset val="1"/>
      </rPr>
      <t xml:space="preserve">。含</t>
    </r>
    <r>
      <rPr>
        <sz val="11"/>
        <color rgb="FF20334A"/>
        <rFont val="Arial"/>
        <family val="2"/>
        <charset val="1"/>
      </rPr>
      <t xml:space="preserve">VN</t>
    </r>
    <r>
      <rPr>
        <sz val="11"/>
        <color rgb="FF20334A"/>
        <rFont val="Noto Sans CJK SC"/>
        <family val="2"/>
        <charset val="1"/>
      </rPr>
      <t xml:space="preserve">附约纠偏−</t>
    </r>
    <r>
      <rPr>
        <sz val="11"/>
        <color rgb="FF20334A"/>
        <rFont val="Arial"/>
        <family val="2"/>
        <charset val="1"/>
      </rPr>
      <t xml:space="preserve">1</t>
    </r>
    <r>
      <rPr>
        <sz val="11"/>
        <color rgb="FF20334A"/>
        <rFont val="Noto Sans CJK SC"/>
        <family val="2"/>
        <charset val="1"/>
      </rPr>
      <t xml:space="preserve">，严格／产品闭合</t>
    </r>
    <r>
      <rPr>
        <sz val="11"/>
        <color rgb="FF20334A"/>
        <rFont val="Arial"/>
        <family val="2"/>
        <charset val="1"/>
      </rPr>
      <t xml:space="preserve">0</t>
    </r>
    <r>
      <rPr>
        <sz val="11"/>
        <color rgb="FF20334A"/>
        <rFont val="Noto Sans CJK SC"/>
        <family val="2"/>
        <charset val="1"/>
      </rPr>
      <t xml:space="preserve">。</t>
    </r>
  </si>
  <si>
    <r>
      <rPr>
        <sz val="11"/>
        <color rgb="FF20334A"/>
        <rFont val="Arial"/>
        <family val="2"/>
        <charset val="1"/>
      </rPr>
      <t xml:space="preserve">B4</t>
    </r>
    <r>
      <rPr>
        <sz val="11"/>
        <color rgb="FF20334A"/>
        <rFont val="Noto Sans CJK SC"/>
        <family val="2"/>
        <charset val="1"/>
      </rPr>
      <t xml:space="preserve">第四批</t>
    </r>
  </si>
  <si>
    <r>
      <rPr>
        <sz val="11"/>
        <color rgb="FF20334A"/>
        <rFont val="Arial"/>
        <family val="2"/>
        <charset val="1"/>
      </rPr>
      <t xml:space="preserve">7</t>
    </r>
    <r>
      <rPr>
        <sz val="11"/>
        <color rgb="FF20334A"/>
        <rFont val="Noto Sans CJK SC"/>
        <family val="2"/>
        <charset val="1"/>
      </rPr>
      <t xml:space="preserve">份全文</t>
    </r>
    <r>
      <rPr>
        <sz val="11"/>
        <color rgb="FF20334A"/>
        <rFont val="Arial"/>
        <family val="2"/>
        <charset val="1"/>
      </rPr>
      <t xml:space="preserve">213</t>
    </r>
    <r>
      <rPr>
        <sz val="11"/>
        <color rgb="FF20334A"/>
        <rFont val="Noto Sans CJK SC"/>
        <family val="2"/>
        <charset val="1"/>
      </rPr>
      <t xml:space="preserve">页：</t>
    </r>
    <r>
      <rPr>
        <sz val="11"/>
        <color rgb="FF20334A"/>
        <rFont val="Arial"/>
        <family val="2"/>
        <charset val="1"/>
      </rPr>
      <t xml:space="preserve">MY5</t>
    </r>
    <r>
      <rPr>
        <sz val="11"/>
        <color rgb="FF20334A"/>
        <rFont val="Noto Sans CJK SC"/>
        <family val="2"/>
        <charset val="1"/>
      </rPr>
      <t xml:space="preserve">份</t>
    </r>
    <r>
      <rPr>
        <sz val="11"/>
        <color rgb="FF20334A"/>
        <rFont val="Arial"/>
        <family val="2"/>
        <charset val="1"/>
      </rPr>
      <t xml:space="preserve">198</t>
    </r>
    <r>
      <rPr>
        <sz val="11"/>
        <color rgb="FF20334A"/>
        <rFont val="Noto Sans CJK SC"/>
        <family val="2"/>
        <charset val="1"/>
      </rPr>
      <t xml:space="preserve">页＋</t>
    </r>
    <r>
      <rPr>
        <sz val="11"/>
        <color rgb="FF20334A"/>
        <rFont val="Arial"/>
        <family val="2"/>
        <charset val="1"/>
      </rPr>
      <t xml:space="preserve">MM2</t>
    </r>
    <r>
      <rPr>
        <sz val="11"/>
        <color rgb="FF20334A"/>
        <rFont val="Noto Sans CJK SC"/>
        <family val="2"/>
        <charset val="1"/>
      </rPr>
      <t xml:space="preserve">组件</t>
    </r>
    <r>
      <rPr>
        <sz val="11"/>
        <color rgb="FF20334A"/>
        <rFont val="Arial"/>
        <family val="2"/>
        <charset val="1"/>
      </rPr>
      <t xml:space="preserve">15</t>
    </r>
    <r>
      <rPr>
        <sz val="11"/>
        <color rgb="FF20334A"/>
        <rFont val="Noto Sans CJK SC"/>
        <family val="2"/>
        <charset val="1"/>
      </rPr>
      <t xml:space="preserve">页；</t>
    </r>
    <r>
      <rPr>
        <sz val="11"/>
        <color rgb="FF20334A"/>
        <rFont val="Arial"/>
        <family val="2"/>
        <charset val="1"/>
      </rPr>
      <t xml:space="preserve">ID18</t>
    </r>
    <r>
      <rPr>
        <sz val="11"/>
        <color rgb="FF20334A"/>
        <rFont val="Noto Sans CJK SC"/>
        <family val="2"/>
        <charset val="1"/>
      </rPr>
      <t xml:space="preserve">页</t>
    </r>
    <r>
      <rPr>
        <sz val="11"/>
        <color rgb="FF20334A"/>
        <rFont val="Arial"/>
        <family val="2"/>
        <charset val="1"/>
      </rPr>
      <t xml:space="preserve">partial</t>
    </r>
    <r>
      <rPr>
        <sz val="11"/>
        <color rgb="FF20334A"/>
        <rFont val="Noto Sans CJK SC"/>
        <family val="2"/>
        <charset val="1"/>
      </rPr>
      <t xml:space="preserve">。身份</t>
    </r>
    <r>
      <rPr>
        <sz val="11"/>
        <color rgb="FF20334A"/>
        <rFont val="Arial"/>
        <family val="2"/>
        <charset val="1"/>
      </rPr>
      <t xml:space="preserve">4</t>
    </r>
    <r>
      <rPr>
        <sz val="11"/>
        <color rgb="FF20334A"/>
        <rFont val="Noto Sans CJK SC"/>
        <family val="2"/>
        <charset val="1"/>
      </rPr>
      <t xml:space="preserve">版本／</t>
    </r>
    <r>
      <rPr>
        <sz val="11"/>
        <color rgb="FF20334A"/>
        <rFont val="Arial"/>
        <family val="2"/>
        <charset val="1"/>
      </rPr>
      <t xml:space="preserve">31</t>
    </r>
    <r>
      <rPr>
        <sz val="11"/>
        <color rgb="FF20334A"/>
        <rFont val="Noto Sans CJK SC"/>
        <family val="2"/>
        <charset val="1"/>
      </rPr>
      <t xml:space="preserve">关系不重计。</t>
    </r>
  </si>
  <si>
    <r>
      <rPr>
        <sz val="11"/>
        <color rgb="FF20334A"/>
        <rFont val="Arial"/>
        <family val="2"/>
        <charset val="1"/>
      </rPr>
      <t xml:space="preserve">B5</t>
    </r>
    <r>
      <rPr>
        <sz val="11"/>
        <color rgb="FF20334A"/>
        <rFont val="Noto Sans CJK SC"/>
        <family val="2"/>
        <charset val="1"/>
      </rPr>
      <t xml:space="preserve">第五批</t>
    </r>
  </si>
  <si>
    <r>
      <rPr>
        <sz val="11"/>
        <color rgb="FF20334A"/>
        <rFont val="Arial"/>
        <family val="2"/>
        <charset val="1"/>
      </rPr>
      <t xml:space="preserve">12</t>
    </r>
    <r>
      <rPr>
        <sz val="11"/>
        <color rgb="FF20334A"/>
        <rFont val="Noto Sans CJK SC"/>
        <family val="2"/>
        <charset val="1"/>
      </rPr>
      <t xml:space="preserve">条香港有限路线，</t>
    </r>
    <r>
      <rPr>
        <sz val="11"/>
        <color rgb="FF20334A"/>
        <rFont val="Arial"/>
        <family val="2"/>
        <charset val="1"/>
      </rPr>
      <t xml:space="preserve">7</t>
    </r>
    <r>
      <rPr>
        <sz val="11"/>
        <color rgb="FF20334A"/>
        <rFont val="Noto Sans CJK SC"/>
        <family val="2"/>
        <charset val="1"/>
      </rPr>
      <t xml:space="preserve">个</t>
    </r>
    <r>
      <rPr>
        <sz val="11"/>
        <color rgb="FF20334A"/>
        <rFont val="Arial"/>
        <family val="2"/>
        <charset val="1"/>
      </rPr>
      <t xml:space="preserve">live 200</t>
    </r>
    <r>
      <rPr>
        <sz val="11"/>
        <color rgb="FF20334A"/>
        <rFont val="Noto Sans CJK SC"/>
        <family val="2"/>
        <charset val="1"/>
      </rPr>
      <t xml:space="preserve">／</t>
    </r>
    <r>
      <rPr>
        <sz val="11"/>
        <color rgb="FF20334A"/>
        <rFont val="Arial"/>
        <family val="2"/>
        <charset val="1"/>
      </rPr>
      <t xml:space="preserve">5</t>
    </r>
    <r>
      <rPr>
        <sz val="11"/>
        <color rgb="FF20334A"/>
        <rFont val="Noto Sans CJK SC"/>
        <family val="2"/>
        <charset val="1"/>
      </rPr>
      <t xml:space="preserve">个摘录</t>
    </r>
    <r>
      <rPr>
        <sz val="11"/>
        <color rgb="FF20334A"/>
        <rFont val="Arial"/>
        <family val="2"/>
        <charset val="1"/>
      </rPr>
      <t xml:space="preserve">HTTP</t>
    </r>
    <r>
      <rPr>
        <sz val="11"/>
        <color rgb="FF20334A"/>
        <rFont val="Noto Sans CJK SC"/>
        <family val="2"/>
        <charset val="1"/>
      </rPr>
      <t xml:space="preserve">未知；零原件、全文、主文、严格或闭合。</t>
    </r>
  </si>
  <si>
    <r>
      <rPr>
        <sz val="11"/>
        <color rgb="FF20334A"/>
        <rFont val="Arial"/>
        <family val="2"/>
        <charset val="1"/>
      </rPr>
      <t xml:space="preserve">B6</t>
    </r>
    <r>
      <rPr>
        <sz val="11"/>
        <color rgb="FF20334A"/>
        <rFont val="Noto Sans CJK SC"/>
        <family val="2"/>
        <charset val="1"/>
      </rPr>
      <t xml:space="preserve">第六批</t>
    </r>
  </si>
  <si>
    <r>
      <rPr>
        <sz val="11"/>
        <color rgb="FF20334A"/>
        <rFont val="Arial"/>
        <family val="2"/>
        <charset val="1"/>
      </rPr>
      <t xml:space="preserve">12</t>
    </r>
    <r>
      <rPr>
        <sz val="11"/>
        <color rgb="FF20334A"/>
        <rFont val="Noto Sans CJK SC"/>
        <family val="2"/>
        <charset val="1"/>
      </rPr>
      <t xml:space="preserve">条</t>
    </r>
    <r>
      <rPr>
        <sz val="11"/>
        <color rgb="FF20334A"/>
        <rFont val="Arial"/>
        <family val="2"/>
        <charset val="1"/>
      </rPr>
      <t xml:space="preserve">SG</t>
    </r>
    <r>
      <rPr>
        <sz val="11"/>
        <color rgb="FF20334A"/>
        <rFont val="Noto Sans CJK SC"/>
        <family val="2"/>
        <charset val="1"/>
      </rPr>
      <t xml:space="preserve">限定路线、</t>
    </r>
    <r>
      <rPr>
        <sz val="11"/>
        <color rgb="FF20334A"/>
        <rFont val="Arial"/>
        <family val="2"/>
        <charset val="1"/>
      </rPr>
      <t xml:space="preserve">11</t>
    </r>
    <r>
      <rPr>
        <sz val="11"/>
        <color rgb="FF20334A"/>
        <rFont val="Noto Sans CJK SC"/>
        <family val="2"/>
        <charset val="1"/>
      </rPr>
      <t xml:space="preserve">个唯一官方</t>
    </r>
    <r>
      <rPr>
        <sz val="11"/>
        <color rgb="FF20334A"/>
        <rFont val="Arial"/>
        <family val="2"/>
        <charset val="1"/>
      </rPr>
      <t xml:space="preserve">URL</t>
    </r>
    <r>
      <rPr>
        <sz val="11"/>
        <color rgb="FF20334A"/>
        <rFont val="Noto Sans CJK SC"/>
        <family val="2"/>
        <charset val="1"/>
      </rPr>
      <t xml:space="preserve">；零原件／全文／严格／闭合，</t>
    </r>
    <r>
      <rPr>
        <sz val="11"/>
        <color rgb="FF20334A"/>
        <rFont val="Arial"/>
        <family val="2"/>
        <charset val="1"/>
      </rPr>
      <t xml:space="preserve">294</t>
    </r>
    <r>
      <rPr>
        <sz val="11"/>
        <color rgb="FF20334A"/>
        <rFont val="Noto Sans CJK SC"/>
        <family val="2"/>
        <charset val="1"/>
      </rPr>
      <t xml:space="preserve">身份层并非全市场分母。</t>
    </r>
  </si>
  <si>
    <t xml:space="preserve">D1–B6历史累计</t>
  </si>
  <si>
    <t xml:space="preserve">任务完成、取得原件、全文、文件主角色及产品闭合互不替代。</t>
  </si>
  <si>
    <t xml:space="preserve">累计新增原件</t>
  </si>
  <si>
    <r>
      <rPr>
        <sz val="11"/>
        <color rgb="FF20334A"/>
        <rFont val="Arial"/>
        <family val="2"/>
        <charset val="1"/>
      </rPr>
      <t xml:space="preserve">3</t>
    </r>
    <r>
      <rPr>
        <sz val="11"/>
        <color rgb="FF20334A"/>
        <rFont val="Noto Sans CJK SC"/>
        <family val="2"/>
        <charset val="1"/>
      </rPr>
      <t xml:space="preserve">份全部为</t>
    </r>
    <r>
      <rPr>
        <sz val="11"/>
        <color rgb="FF20334A"/>
        <rFont val="Arial"/>
        <family val="2"/>
        <charset val="1"/>
      </rPr>
      <t xml:space="preserve">D1</t>
    </r>
    <r>
      <rPr>
        <sz val="11"/>
        <color rgb="FF20334A"/>
        <rFont val="Noto Sans CJK SC"/>
        <family val="2"/>
        <charset val="1"/>
      </rPr>
      <t xml:space="preserve">支持原件，不能当作主文。</t>
    </r>
  </si>
  <si>
    <t xml:space="preserve">文件主角色净增</t>
  </si>
  <si>
    <r>
      <rPr>
        <sz val="11"/>
        <color rgb="FF20334A"/>
        <rFont val="Arial"/>
        <family val="2"/>
        <charset val="1"/>
      </rPr>
      <t xml:space="preserve">D1–B6</t>
    </r>
    <r>
      <rPr>
        <sz val="11"/>
        <color rgb="FF20334A"/>
        <rFont val="Noto Sans CJK SC"/>
        <family val="2"/>
        <charset val="1"/>
      </rPr>
      <t xml:space="preserve">净</t>
    </r>
    <r>
      <rPr>
        <sz val="11"/>
        <color rgb="FF20334A"/>
        <rFont val="Arial"/>
        <family val="2"/>
        <charset val="1"/>
      </rPr>
      <t xml:space="preserve">+13</t>
    </r>
    <r>
      <rPr>
        <sz val="11"/>
        <color rgb="FF20334A"/>
        <rFont val="Noto Sans CJK SC"/>
        <family val="2"/>
        <charset val="1"/>
      </rPr>
      <t xml:space="preserve">；</t>
    </r>
    <r>
      <rPr>
        <sz val="11"/>
        <color rgb="FF20334A"/>
        <rFont val="Arial"/>
        <family val="2"/>
        <charset val="1"/>
      </rPr>
      <t xml:space="preserve">B7 +3</t>
    </r>
    <r>
      <rPr>
        <sz val="11"/>
        <color rgb="FF20334A"/>
        <rFont val="Noto Sans CJK SC"/>
        <family val="2"/>
        <charset val="1"/>
      </rPr>
      <t xml:space="preserve">、</t>
    </r>
    <r>
      <rPr>
        <sz val="11"/>
        <color rgb="FF20334A"/>
        <rFont val="Arial"/>
        <family val="2"/>
        <charset val="1"/>
      </rPr>
      <t xml:space="preserve">B8 +5</t>
    </r>
    <r>
      <rPr>
        <sz val="11"/>
        <color rgb="FF20334A"/>
        <rFont val="Noto Sans CJK SC"/>
        <family val="2"/>
        <charset val="1"/>
      </rPr>
      <t xml:space="preserve">、</t>
    </r>
    <r>
      <rPr>
        <sz val="11"/>
        <color rgb="FF20334A"/>
        <rFont val="Arial"/>
        <family val="2"/>
        <charset val="1"/>
      </rPr>
      <t xml:space="preserve">B12 +5</t>
    </r>
    <r>
      <rPr>
        <sz val="11"/>
        <color rgb="FF20334A"/>
        <rFont val="Noto Sans CJK SC"/>
        <family val="2"/>
        <charset val="1"/>
      </rPr>
      <t xml:space="preserve">，共</t>
    </r>
    <r>
      <rPr>
        <sz val="11"/>
        <color rgb="FF20334A"/>
        <rFont val="Arial"/>
        <family val="2"/>
        <charset val="1"/>
      </rPr>
      <t xml:space="preserve">+26</t>
    </r>
    <r>
      <rPr>
        <sz val="11"/>
        <color rgb="FF20334A"/>
        <rFont val="Noto Sans CJK SC"/>
        <family val="2"/>
        <charset val="1"/>
      </rPr>
      <t xml:space="preserve">。仅文件主角色，不是</t>
    </r>
    <r>
      <rPr>
        <sz val="11"/>
        <color rgb="FF20334A"/>
        <rFont val="Arial"/>
        <family val="2"/>
        <charset val="1"/>
      </rPr>
      <t xml:space="preserve">26</t>
    </r>
    <r>
      <rPr>
        <sz val="11"/>
        <color rgb="FF20334A"/>
        <rFont val="Noto Sans CJK SC"/>
        <family val="2"/>
        <charset val="1"/>
      </rPr>
      <t xml:space="preserve">个产品或齐套。</t>
    </r>
  </si>
  <si>
    <t xml:space="preserve">当前公开合同包闭合</t>
  </si>
  <si>
    <t xml:space="preserve">没有新增已证当前齐备包；未核定不是已证明永不存在。</t>
  </si>
  <si>
    <t xml:space="preserve">当前采用／现售</t>
  </si>
  <si>
    <t xml:space="preserve">未核定</t>
  </si>
  <si>
    <t xml:space="preserve">状态</t>
  </si>
  <si>
    <t xml:space="preserve">目录列示、历史具名合同、材料关联和最新批单均不能自动证明当前采用或现售。</t>
  </si>
  <si>
    <r>
      <rPr>
        <sz val="11"/>
        <color rgb="FF20334A"/>
        <rFont val="Arial"/>
        <family val="2"/>
        <charset val="1"/>
      </rPr>
      <t xml:space="preserve">B4/B5/B6</t>
    </r>
    <r>
      <rPr>
        <sz val="11"/>
        <color rgb="FF20334A"/>
        <rFont val="Noto Sans CJK SC"/>
        <family val="2"/>
        <charset val="1"/>
      </rPr>
      <t xml:space="preserve">内容验收</t>
    </r>
  </si>
  <si>
    <t xml:space="preserve">已完成</t>
  </si>
  <si>
    <r>
      <rPr>
        <sz val="11"/>
        <color rgb="FF20334A"/>
        <rFont val="Noto Sans CJK SC"/>
        <family val="2"/>
        <charset val="1"/>
      </rPr>
      <t xml:space="preserve">仅计最终独立</t>
    </r>
    <r>
      <rPr>
        <sz val="11"/>
        <color rgb="FF20334A"/>
        <rFont val="Arial"/>
        <family val="2"/>
        <charset val="1"/>
      </rPr>
      <t xml:space="preserve">QA</t>
    </r>
    <r>
      <rPr>
        <sz val="11"/>
        <color rgb="FF20334A"/>
        <rFont val="Noto Sans CJK SC"/>
        <family val="2"/>
        <charset val="1"/>
      </rPr>
      <t xml:space="preserve">接受范围；与对外发布状态分开。</t>
    </r>
  </si>
  <si>
    <r>
      <rPr>
        <sz val="11"/>
        <color rgb="FF20334A"/>
        <rFont val="Arial"/>
        <family val="2"/>
        <charset val="1"/>
      </rPr>
      <t xml:space="preserve">B4/B5/B6</t>
    </r>
    <r>
      <rPr>
        <sz val="11"/>
        <color rgb="FF20334A"/>
        <rFont val="Noto Sans CJK SC"/>
        <family val="2"/>
        <charset val="1"/>
      </rPr>
      <t xml:space="preserve">发布</t>
    </r>
  </si>
  <si>
    <t xml:space="preserve">已发布并回验</t>
  </si>
  <si>
    <t xml:space="preserve">实际网站v117／固定索引v93已据成功发布和精确回验回执确认。</t>
  </si>
  <si>
    <r>
      <rPr>
        <sz val="11"/>
        <color rgb="FF20334A"/>
        <rFont val="Noto Sans CJK SC"/>
        <family val="2"/>
        <charset val="1"/>
      </rPr>
      <t xml:space="preserve">来源</t>
    </r>
    <r>
      <rPr>
        <sz val="11"/>
        <color rgb="FF20334A"/>
        <rFont val="Arial"/>
        <family val="2"/>
        <charset val="1"/>
      </rPr>
      <t xml:space="preserve">QA</t>
    </r>
    <r>
      <rPr>
        <sz val="11"/>
        <color rgb="FF20334A"/>
        <rFont val="Noto Sans CJK SC"/>
        <family val="2"/>
        <charset val="1"/>
      </rPr>
      <t xml:space="preserve">纠正</t>
    </r>
  </si>
  <si>
    <t xml:space="preserve">已落实</t>
  </si>
  <si>
    <r>
      <rPr>
        <sz val="11"/>
        <color rgb="FF20334A"/>
        <rFont val="Arial"/>
        <family val="2"/>
        <charset val="1"/>
      </rPr>
      <t xml:space="preserve">10Life</t>
    </r>
    <r>
      <rPr>
        <sz val="11"/>
        <color rgb="FF20334A"/>
        <rFont val="Noto Sans CJK SC"/>
        <family val="2"/>
        <charset val="1"/>
      </rPr>
      <t xml:space="preserve">为旧版广告主供稿、非独立佐证／授权销售；</t>
    </r>
    <r>
      <rPr>
        <sz val="11"/>
        <color rgb="FF20334A"/>
        <rFont val="Arial"/>
        <family val="2"/>
        <charset val="1"/>
      </rPr>
      <t xml:space="preserve">HSBC</t>
    </r>
    <r>
      <rPr>
        <sz val="11"/>
        <color rgb="FF20334A"/>
        <rFont val="Noto Sans CJK SC"/>
        <family val="2"/>
        <charset val="1"/>
      </rPr>
      <t xml:space="preserve">含</t>
    </r>
    <r>
      <rPr>
        <sz val="11"/>
        <color rgb="FF20334A"/>
        <rFont val="Arial"/>
        <family val="2"/>
        <charset val="1"/>
      </rPr>
      <t xml:space="preserve">policy</t>
    </r>
    <r>
      <rPr>
        <sz val="11"/>
        <color rgb="FF20334A"/>
        <rFont val="Noto Sans CJK SC"/>
        <family val="2"/>
        <charset val="1"/>
      </rPr>
      <t xml:space="preserve">文件名仍属册。</t>
    </r>
  </si>
  <si>
    <t xml:space="preserve">访问不确定</t>
  </si>
  <si>
    <t xml:space="preserve">保留</t>
  </si>
  <si>
    <r>
      <rPr>
        <sz val="11"/>
        <color rgb="FF20334A"/>
        <rFont val="Arial"/>
        <family val="2"/>
        <charset val="1"/>
      </rPr>
      <t xml:space="preserve">BOCHK</t>
    </r>
    <r>
      <rPr>
        <sz val="11"/>
        <color rgb="FF20334A"/>
        <rFont val="Noto Sans CJK SC"/>
        <family val="2"/>
        <charset val="1"/>
      </rPr>
      <t xml:space="preserve">超时与缓存缺失不等于站方拒绝、来源</t>
    </r>
    <r>
      <rPr>
        <sz val="11"/>
        <color rgb="FF20334A"/>
        <rFont val="Arial"/>
        <family val="2"/>
        <charset val="1"/>
      </rPr>
      <t xml:space="preserve">HTTP</t>
    </r>
    <r>
      <rPr>
        <sz val="11"/>
        <color rgb="FF20334A"/>
        <rFont val="Noto Sans CJK SC"/>
        <family val="2"/>
        <charset val="1"/>
      </rPr>
      <t xml:space="preserve">状态或无主文。</t>
    </r>
  </si>
  <si>
    <t xml:space="preserve">权利边界</t>
  </si>
  <si>
    <t xml:space="preserve">独立保留</t>
  </si>
  <si>
    <t xml:space="preserve">原件可读或全文已审，不授予复制、打印、转载、再托管或商业复用许可。</t>
  </si>
  <si>
    <t xml:space="preserve">网站入口（回执）</t>
  </si>
  <si>
    <t xml:space="preserve">v126</t>
  </si>
  <si>
    <t xml:space="preserve">公开网站</t>
  </si>
  <si>
    <t xml:space="preserve">https://hong-kong-insurance-library.balabalaniuniu.chatgpt.site</t>
  </si>
  <si>
    <t xml:space="preserve">私有索引状态</t>
  </si>
  <si>
    <t xml:space="preserve">v102</t>
  </si>
  <si>
    <t xml:space="preserve">已同步回验</t>
  </si>
  <si>
    <t xml:space="preserve">三个固定索引原生v102及精确远端字节、独立终态、双私有指针均确认。</t>
  </si>
  <si>
    <r>
      <rPr>
        <b val="true"/>
        <sz val="11"/>
        <color rgb="FFFFFFFF"/>
        <rFont val="Arial"/>
        <family val="2"/>
        <charset val="1"/>
      </rPr>
      <t xml:space="preserve">B7–B14</t>
    </r>
    <r>
      <rPr>
        <b val="true"/>
        <sz val="11"/>
        <color rgb="FFFFFFFF"/>
        <rFont val="Noto Sans CJK SC"/>
        <family val="2"/>
        <charset val="1"/>
      </rPr>
      <t xml:space="preserve">追加验收</t>
    </r>
  </si>
  <si>
    <t xml:space="preserve">范围与边界</t>
  </si>
  <si>
    <t xml:space="preserve">B7</t>
  </si>
  <si>
    <r>
      <rPr>
        <sz val="11"/>
        <color rgb="FF20334A"/>
        <rFont val="Arial"/>
        <family val="2"/>
        <charset val="1"/>
      </rPr>
      <t xml:space="preserve">8</t>
    </r>
    <r>
      <rPr>
        <sz val="11"/>
        <color rgb="FF20334A"/>
        <rFont val="Noto Sans CJK SC"/>
        <family val="2"/>
        <charset val="1"/>
      </rPr>
      <t xml:space="preserve">份</t>
    </r>
    <r>
      <rPr>
        <sz val="11"/>
        <color rgb="FF20334A"/>
        <rFont val="Arial"/>
        <family val="2"/>
        <charset val="1"/>
      </rPr>
      <t xml:space="preserve">125</t>
    </r>
    <r>
      <rPr>
        <sz val="11"/>
        <color rgb="FF20334A"/>
        <rFont val="Noto Sans CJK SC"/>
        <family val="2"/>
        <charset val="1"/>
      </rPr>
      <t xml:space="preserve">页：</t>
    </r>
    <r>
      <rPr>
        <sz val="11"/>
        <color rgb="FF20334A"/>
        <rFont val="Arial"/>
        <family val="2"/>
        <charset val="1"/>
      </rPr>
      <t xml:space="preserve">MY</t>
    </r>
    <r>
      <rPr>
        <sz val="11"/>
        <color rgb="FF20334A"/>
        <rFont val="Noto Sans CJK SC"/>
        <family val="2"/>
        <charset val="1"/>
      </rPr>
      <t xml:space="preserve">主合同</t>
    </r>
    <r>
      <rPr>
        <sz val="11"/>
        <color rgb="FF20334A"/>
        <rFont val="Arial"/>
        <family val="2"/>
        <charset val="1"/>
      </rPr>
      <t xml:space="preserve">3</t>
    </r>
    <r>
      <rPr>
        <sz val="11"/>
        <color rgb="FF20334A"/>
        <rFont val="Noto Sans CJK SC"/>
        <family val="2"/>
        <charset val="1"/>
      </rPr>
      <t xml:space="preserve">份</t>
    </r>
    <r>
      <rPr>
        <sz val="11"/>
        <color rgb="FF20334A"/>
        <rFont val="Arial"/>
        <family val="2"/>
        <charset val="1"/>
      </rPr>
      <t xml:space="preserve">85</t>
    </r>
    <r>
      <rPr>
        <sz val="11"/>
        <color rgb="FF20334A"/>
        <rFont val="Noto Sans CJK SC"/>
        <family val="2"/>
        <charset val="1"/>
      </rPr>
      <t xml:space="preserve">页，</t>
    </r>
    <r>
      <rPr>
        <sz val="11"/>
        <color rgb="FF20334A"/>
        <rFont val="Arial"/>
        <family val="2"/>
        <charset val="1"/>
      </rPr>
      <t xml:space="preserve">MM</t>
    </r>
    <r>
      <rPr>
        <sz val="11"/>
        <color rgb="FF20334A"/>
        <rFont val="Noto Sans CJK SC"/>
        <family val="2"/>
        <charset val="1"/>
      </rPr>
      <t xml:space="preserve">组件</t>
    </r>
    <r>
      <rPr>
        <sz val="11"/>
        <color rgb="FF20334A"/>
        <rFont val="Arial"/>
        <family val="2"/>
        <charset val="1"/>
      </rPr>
      <t xml:space="preserve">5</t>
    </r>
    <r>
      <rPr>
        <sz val="11"/>
        <color rgb="FF20334A"/>
        <rFont val="Noto Sans CJK SC"/>
        <family val="2"/>
        <charset val="1"/>
      </rPr>
      <t xml:space="preserve">份</t>
    </r>
    <r>
      <rPr>
        <sz val="11"/>
        <color rgb="FF20334A"/>
        <rFont val="Arial"/>
        <family val="2"/>
        <charset val="1"/>
      </rPr>
      <t xml:space="preserve">40</t>
    </r>
    <r>
      <rPr>
        <sz val="11"/>
        <color rgb="FF20334A"/>
        <rFont val="Noto Sans CJK SC"/>
        <family val="2"/>
        <charset val="1"/>
      </rPr>
      <t xml:space="preserve">页。主角色</t>
    </r>
    <r>
      <rPr>
        <sz val="11"/>
        <color rgb="FF20334A"/>
        <rFont val="Arial"/>
        <family val="2"/>
        <charset val="1"/>
      </rPr>
      <t xml:space="preserve">+3</t>
    </r>
    <r>
      <rPr>
        <sz val="11"/>
        <color rgb="FF20334A"/>
        <rFont val="Noto Sans CJK SC"/>
        <family val="2"/>
        <charset val="1"/>
      </rPr>
      <t xml:space="preserve">，严格</t>
    </r>
    <r>
      <rPr>
        <sz val="11"/>
        <color rgb="FF20334A"/>
        <rFont val="Arial"/>
        <family val="2"/>
        <charset val="1"/>
      </rPr>
      <t xml:space="preserve">0</t>
    </r>
    <r>
      <rPr>
        <sz val="11"/>
        <color rgb="FF20334A"/>
        <rFont val="Noto Sans CJK SC"/>
        <family val="2"/>
        <charset val="1"/>
      </rPr>
      <t xml:space="preserve">。</t>
    </r>
  </si>
  <si>
    <t xml:space="preserve">B8</t>
  </si>
  <si>
    <r>
      <rPr>
        <sz val="11"/>
        <color rgb="FF20334A"/>
        <rFont val="Arial"/>
        <family val="2"/>
        <charset val="1"/>
      </rPr>
      <t xml:space="preserve">5</t>
    </r>
    <r>
      <rPr>
        <sz val="11"/>
        <color rgb="FF20334A"/>
        <rFont val="Noto Sans CJK SC"/>
        <family val="2"/>
        <charset val="1"/>
      </rPr>
      <t xml:space="preserve">份</t>
    </r>
    <r>
      <rPr>
        <sz val="11"/>
        <color rgb="FF20334A"/>
        <rFont val="Arial"/>
        <family val="2"/>
        <charset val="1"/>
      </rPr>
      <t xml:space="preserve">104</t>
    </r>
    <r>
      <rPr>
        <sz val="11"/>
        <color rgb="FF20334A"/>
        <rFont val="Noto Sans CJK SC"/>
        <family val="2"/>
        <charset val="1"/>
      </rPr>
      <t xml:space="preserve">页全审，主角色</t>
    </r>
    <r>
      <rPr>
        <sz val="11"/>
        <color rgb="FF20334A"/>
        <rFont val="Arial"/>
        <family val="2"/>
        <charset val="1"/>
      </rPr>
      <t xml:space="preserve">+5</t>
    </r>
    <r>
      <rPr>
        <sz val="11"/>
        <color rgb="FF20334A"/>
        <rFont val="Noto Sans CJK SC"/>
        <family val="2"/>
        <charset val="1"/>
      </rPr>
      <t xml:space="preserve">，文件严格</t>
    </r>
    <r>
      <rPr>
        <sz val="11"/>
        <color rgb="FF20334A"/>
        <rFont val="Arial"/>
        <family val="2"/>
        <charset val="1"/>
      </rPr>
      <t xml:space="preserve">+2</t>
    </r>
    <r>
      <rPr>
        <sz val="11"/>
        <color rgb="FF20334A"/>
        <rFont val="Noto Sans CJK SC"/>
        <family val="2"/>
        <charset val="1"/>
      </rPr>
      <t xml:space="preserve">；其余</t>
    </r>
    <r>
      <rPr>
        <sz val="11"/>
        <color rgb="FF20334A"/>
        <rFont val="Arial"/>
        <family val="2"/>
        <charset val="1"/>
      </rPr>
      <t xml:space="preserve">3</t>
    </r>
    <r>
      <rPr>
        <sz val="11"/>
        <color rgb="FF20334A"/>
        <rFont val="Noto Sans CJK SC"/>
        <family val="2"/>
        <charset val="1"/>
      </rPr>
      <t xml:space="preserve">份结构／引用问题保留。</t>
    </r>
  </si>
  <si>
    <t xml:space="preserve">B9</t>
  </si>
  <si>
    <r>
      <rPr>
        <sz val="11"/>
        <color rgb="FF20334A"/>
        <rFont val="Arial"/>
        <family val="2"/>
        <charset val="1"/>
      </rPr>
      <t xml:space="preserve">12</t>
    </r>
    <r>
      <rPr>
        <sz val="11"/>
        <color rgb="FF20334A"/>
        <rFont val="Noto Sans CJK SC"/>
        <family val="2"/>
        <charset val="1"/>
      </rPr>
      <t xml:space="preserve">个既有家族的有限路线。原件、全文、主文、严格和闭合均</t>
    </r>
    <r>
      <rPr>
        <sz val="11"/>
        <color rgb="FF20334A"/>
        <rFont val="Arial"/>
        <family val="2"/>
        <charset val="1"/>
      </rPr>
      <t xml:space="preserve">0</t>
    </r>
    <r>
      <rPr>
        <sz val="11"/>
        <color rgb="FF20334A"/>
        <rFont val="Noto Sans CJK SC"/>
        <family val="2"/>
        <charset val="1"/>
      </rPr>
      <t xml:space="preserve">。</t>
    </r>
  </si>
  <si>
    <t xml:space="preserve">B10</t>
  </si>
  <si>
    <r>
      <rPr>
        <sz val="11"/>
        <color rgb="FF20334A"/>
        <rFont val="Arial"/>
        <family val="2"/>
        <charset val="1"/>
      </rPr>
      <t xml:space="preserve">1</t>
    </r>
    <r>
      <rPr>
        <sz val="11"/>
        <color rgb="FF20334A"/>
        <rFont val="Noto Sans CJK SC"/>
        <family val="2"/>
        <charset val="1"/>
      </rPr>
      <t xml:space="preserve">条</t>
    </r>
    <r>
      <rPr>
        <sz val="11"/>
        <color rgb="FF20334A"/>
        <rFont val="Arial"/>
        <family val="2"/>
        <charset val="1"/>
      </rPr>
      <t xml:space="preserve">Harvest</t>
    </r>
    <r>
      <rPr>
        <sz val="11"/>
        <color rgb="FF20334A"/>
        <rFont val="Noto Sans CJK SC"/>
        <family val="2"/>
        <charset val="1"/>
      </rPr>
      <t xml:space="preserve">两年缴费变体线索，不是新增独立产品；</t>
    </r>
    <r>
      <rPr>
        <sz val="11"/>
        <color rgb="FF20334A"/>
        <rFont val="Arial"/>
        <family val="2"/>
        <charset val="1"/>
      </rPr>
      <t xml:space="preserve">403</t>
    </r>
    <r>
      <rPr>
        <sz val="11"/>
        <color rgb="FF20334A"/>
        <rFont val="Noto Sans CJK SC"/>
        <family val="2"/>
        <charset val="1"/>
      </rPr>
      <t xml:space="preserve">后停止。</t>
    </r>
  </si>
  <si>
    <t xml:space="preserve">B11</t>
  </si>
  <si>
    <r>
      <rPr>
        <sz val="11"/>
        <color rgb="FF20334A"/>
        <rFont val="Arial"/>
        <family val="2"/>
        <charset val="1"/>
      </rPr>
      <t xml:space="preserve">4</t>
    </r>
    <r>
      <rPr>
        <sz val="11"/>
        <color rgb="FF20334A"/>
        <rFont val="Noto Sans CJK SC"/>
        <family val="2"/>
        <charset val="1"/>
      </rPr>
      <t xml:space="preserve">份</t>
    </r>
    <r>
      <rPr>
        <sz val="11"/>
        <color rgb="FF20334A"/>
        <rFont val="Arial"/>
        <family val="2"/>
        <charset val="1"/>
      </rPr>
      <t xml:space="preserve">103</t>
    </r>
    <r>
      <rPr>
        <sz val="11"/>
        <color rgb="FF20334A"/>
        <rFont val="Noto Sans CJK SC"/>
        <family val="2"/>
        <charset val="1"/>
      </rPr>
      <t xml:space="preserve">页非合同说明。新增</t>
    </r>
    <r>
      <rPr>
        <sz val="11"/>
        <color rgb="FF20334A"/>
        <rFont val="Arial"/>
        <family val="2"/>
        <charset val="1"/>
      </rPr>
      <t xml:space="preserve">1</t>
    </r>
    <r>
      <rPr>
        <sz val="11"/>
        <color rgb="FF20334A"/>
        <rFont val="Noto Sans CJK SC"/>
        <family val="2"/>
        <charset val="1"/>
      </rPr>
      <t xml:space="preserve">项历史解释支持关系，</t>
    </r>
    <r>
      <rPr>
        <sz val="11"/>
        <color rgb="FF20334A"/>
        <rFont val="Arial"/>
        <family val="2"/>
        <charset val="1"/>
      </rPr>
      <t xml:space="preserve">3</t>
    </r>
    <r>
      <rPr>
        <sz val="11"/>
        <color rgb="FF20334A"/>
        <rFont val="Noto Sans CJK SC"/>
        <family val="2"/>
        <charset val="1"/>
      </rPr>
      <t xml:space="preserve">候选未定；不升主文或采用。</t>
    </r>
  </si>
  <si>
    <t xml:space="preserve">B12</t>
  </si>
  <si>
    <r>
      <rPr>
        <sz val="11"/>
        <color rgb="FF20334A"/>
        <rFont val="Arial"/>
        <family val="2"/>
        <charset val="1"/>
      </rPr>
      <t xml:space="preserve">5</t>
    </r>
    <r>
      <rPr>
        <sz val="11"/>
        <color rgb="FF20334A"/>
        <rFont val="Noto Sans CJK SC"/>
        <family val="2"/>
        <charset val="1"/>
      </rPr>
      <t xml:space="preserve">份</t>
    </r>
    <r>
      <rPr>
        <sz val="11"/>
        <color rgb="FF20334A"/>
        <rFont val="Arial"/>
        <family val="2"/>
        <charset val="1"/>
      </rPr>
      <t xml:space="preserve">195</t>
    </r>
    <r>
      <rPr>
        <sz val="11"/>
        <color rgb="FF20334A"/>
        <rFont val="Noto Sans CJK SC"/>
        <family val="2"/>
        <charset val="1"/>
      </rPr>
      <t xml:space="preserve">页零售主文，主角色</t>
    </r>
    <r>
      <rPr>
        <sz val="11"/>
        <color rgb="FF20334A"/>
        <rFont val="Arial"/>
        <family val="2"/>
        <charset val="1"/>
      </rPr>
      <t xml:space="preserve">+5</t>
    </r>
    <r>
      <rPr>
        <sz val="11"/>
        <color rgb="FF20334A"/>
        <rFont val="Noto Sans CJK SC"/>
        <family val="2"/>
        <charset val="1"/>
      </rPr>
      <t xml:space="preserve">。仅</t>
    </r>
    <r>
      <rPr>
        <sz val="11"/>
        <color rgb="FF20334A"/>
        <rFont val="Arial"/>
        <family val="2"/>
        <charset val="1"/>
      </rPr>
      <t xml:space="preserve">PA Direct</t>
    </r>
    <r>
      <rPr>
        <sz val="11"/>
        <color rgb="FF20334A"/>
        <rFont val="Noto Sans CJK SC"/>
        <family val="2"/>
        <charset val="1"/>
      </rPr>
      <t xml:space="preserve">文件严格</t>
    </r>
    <r>
      <rPr>
        <sz val="11"/>
        <color rgb="FF20334A"/>
        <rFont val="Arial"/>
        <family val="2"/>
        <charset val="1"/>
      </rPr>
      <t xml:space="preserve">+1</t>
    </r>
    <r>
      <rPr>
        <sz val="11"/>
        <color rgb="FF20334A"/>
        <rFont val="Noto Sans CJK SC"/>
        <family val="2"/>
        <charset val="1"/>
      </rPr>
      <t xml:space="preserve">，其余</t>
    </r>
    <r>
      <rPr>
        <sz val="11"/>
        <color rgb="FF20334A"/>
        <rFont val="Arial"/>
        <family val="2"/>
        <charset val="1"/>
      </rPr>
      <t xml:space="preserve">4</t>
    </r>
    <r>
      <rPr>
        <sz val="11"/>
        <color rgb="FF20334A"/>
        <rFont val="Noto Sans CJK SC"/>
        <family val="2"/>
        <charset val="1"/>
      </rPr>
      <t xml:space="preserve">项保留</t>
    </r>
    <r>
      <rPr>
        <sz val="11"/>
        <color rgb="FF20334A"/>
        <rFont val="Arial"/>
        <family val="2"/>
        <charset val="1"/>
      </rPr>
      <t xml:space="preserve">hold</t>
    </r>
    <r>
      <rPr>
        <sz val="11"/>
        <color rgb="FF20334A"/>
        <rFont val="Noto Sans CJK SC"/>
        <family val="2"/>
        <charset val="1"/>
      </rPr>
      <t xml:space="preserve">。</t>
    </r>
  </si>
  <si>
    <t xml:space="preserve">B13</t>
  </si>
  <si>
    <r>
      <rPr>
        <sz val="11"/>
        <color rgb="FF20334A"/>
        <rFont val="Arial"/>
        <family val="2"/>
        <charset val="1"/>
      </rPr>
      <t xml:space="preserve">4</t>
    </r>
    <r>
      <rPr>
        <sz val="11"/>
        <color rgb="FF20334A"/>
        <rFont val="Noto Sans CJK SC"/>
        <family val="2"/>
        <charset val="1"/>
      </rPr>
      <t xml:space="preserve">条恢复路线。无新</t>
    </r>
    <r>
      <rPr>
        <sz val="11"/>
        <color rgb="FF20334A"/>
        <rFont val="Arial"/>
        <family val="2"/>
        <charset val="1"/>
      </rPr>
      <t xml:space="preserve">PDF</t>
    </r>
    <r>
      <rPr>
        <sz val="11"/>
        <color rgb="FF20334A"/>
        <rFont val="Noto Sans CJK SC"/>
        <family val="2"/>
        <charset val="1"/>
      </rPr>
      <t xml:space="preserve">；正文哈希缺失，浏览器证据重建限制明确。</t>
    </r>
  </si>
  <si>
    <t xml:space="preserve">B14</t>
  </si>
  <si>
    <r>
      <rPr>
        <sz val="11"/>
        <color rgb="FF20334A"/>
        <rFont val="Arial"/>
        <family val="2"/>
        <charset val="1"/>
      </rPr>
      <t xml:space="preserve">2</t>
    </r>
    <r>
      <rPr>
        <sz val="11"/>
        <color rgb="FF20334A"/>
        <rFont val="Noto Sans CJK SC"/>
        <family val="2"/>
        <charset val="1"/>
      </rPr>
      <t xml:space="preserve">次</t>
    </r>
    <r>
      <rPr>
        <sz val="11"/>
        <color rgb="FF20334A"/>
        <rFont val="Arial"/>
        <family val="2"/>
        <charset val="1"/>
      </rPr>
      <t xml:space="preserve">Trinity</t>
    </r>
    <r>
      <rPr>
        <sz val="11"/>
        <color rgb="FF20334A"/>
        <rFont val="Noto Sans CJK SC"/>
        <family val="2"/>
        <charset val="1"/>
      </rPr>
      <t xml:space="preserve">标签探测，未取得</t>
    </r>
    <r>
      <rPr>
        <sz val="11"/>
        <color rgb="FF20334A"/>
        <rFont val="Arial"/>
        <family val="2"/>
        <charset val="1"/>
      </rPr>
      <t xml:space="preserve">PDF</t>
    </r>
    <r>
      <rPr>
        <sz val="11"/>
        <color rgb="FF20334A"/>
        <rFont val="Noto Sans CJK SC"/>
        <family val="2"/>
        <charset val="1"/>
      </rPr>
      <t xml:space="preserve">。元数据时间为区间／上界，不是精确事件时刻。</t>
    </r>
  </si>
  <si>
    <r>
      <rPr>
        <sz val="11"/>
        <color rgb="FF20334A"/>
        <rFont val="Arial"/>
        <family val="2"/>
        <charset val="1"/>
      </rPr>
      <t xml:space="preserve">D1–B14</t>
    </r>
    <r>
      <rPr>
        <sz val="11"/>
        <color rgb="FF20334A"/>
        <rFont val="Noto Sans CJK SC"/>
        <family val="2"/>
        <charset val="1"/>
      </rPr>
      <t xml:space="preserve">累计</t>
    </r>
  </si>
  <si>
    <r>
      <rPr>
        <sz val="11"/>
        <color rgb="FF20334A"/>
        <rFont val="Arial"/>
        <family val="2"/>
        <charset val="1"/>
      </rPr>
      <t xml:space="preserve">108</t>
    </r>
    <r>
      <rPr>
        <sz val="11"/>
        <color rgb="FF20334A"/>
        <rFont val="Noto Sans CJK SC"/>
        <family val="2"/>
        <charset val="1"/>
      </rPr>
      <t xml:space="preserve">个限定工单。新原件、全审、主角色、严格及产品齐套分别统计。</t>
    </r>
  </si>
  <si>
    <r>
      <rPr>
        <sz val="11"/>
        <color rgb="FF20334A"/>
        <rFont val="Arial"/>
        <family val="2"/>
        <charset val="1"/>
      </rPr>
      <t xml:space="preserve">B7–B10</t>
    </r>
    <r>
      <rPr>
        <sz val="11"/>
        <color rgb="FF20334A"/>
        <rFont val="Noto Sans CJK SC"/>
        <family val="2"/>
        <charset val="1"/>
      </rPr>
      <t xml:space="preserve">发布</t>
    </r>
  </si>
  <si>
    <r>
      <rPr>
        <sz val="11"/>
        <color rgb="FF20334A"/>
        <rFont val="Noto Sans CJK SC"/>
        <family val="2"/>
        <charset val="1"/>
      </rPr>
      <t xml:space="preserve">实际网站</t>
    </r>
    <r>
      <rPr>
        <sz val="11"/>
        <color rgb="FF20334A"/>
        <rFont val="Arial"/>
        <family val="2"/>
        <charset val="1"/>
      </rPr>
      <t xml:space="preserve">v118</t>
    </r>
    <r>
      <rPr>
        <sz val="11"/>
        <color rgb="FF20334A"/>
        <rFont val="Noto Sans CJK SC"/>
        <family val="2"/>
        <charset val="1"/>
      </rPr>
      <t xml:space="preserve">／索引</t>
    </r>
    <r>
      <rPr>
        <sz val="11"/>
        <color rgb="FF20334A"/>
        <rFont val="Arial"/>
        <family val="2"/>
        <charset val="1"/>
      </rPr>
      <t xml:space="preserve">v94</t>
    </r>
    <r>
      <rPr>
        <sz val="11"/>
        <color rgb="FF20334A"/>
        <rFont val="Noto Sans CJK SC"/>
        <family val="2"/>
        <charset val="1"/>
      </rPr>
      <t xml:space="preserve">，已据成功回执与精确远端字节回验确认。</t>
    </r>
  </si>
  <si>
    <r>
      <rPr>
        <sz val="11"/>
        <color rgb="FF20334A"/>
        <rFont val="Arial"/>
        <family val="2"/>
        <charset val="1"/>
      </rPr>
      <t xml:space="preserve">B11–B14</t>
    </r>
    <r>
      <rPr>
        <sz val="11"/>
        <color rgb="FF20334A"/>
        <rFont val="Noto Sans CJK SC"/>
        <family val="2"/>
        <charset val="1"/>
      </rPr>
      <t xml:space="preserve">内容</t>
    </r>
  </si>
  <si>
    <t xml:space="preserve">已验收</t>
  </si>
  <si>
    <t xml:space="preserve">此段保留B11–B14内容验收。B15–B18另列角色层，不增加本段全文或严格数量。</t>
  </si>
  <si>
    <r>
      <rPr>
        <sz val="11"/>
        <color rgb="FF20334A"/>
        <rFont val="Arial"/>
        <family val="2"/>
        <charset val="1"/>
      </rPr>
      <t xml:space="preserve">B11–B14</t>
    </r>
    <r>
      <rPr>
        <sz val="11"/>
        <color rgb="FF20334A"/>
        <rFont val="Noto Sans CJK SC"/>
        <family val="2"/>
        <charset val="1"/>
      </rPr>
      <t xml:space="preserve">发布</t>
    </r>
  </si>
  <si>
    <t xml:space="preserve">网站v119成功部署，固定索引v95已精确回验并通过终态QA；B15及后续批次不纳入。</t>
  </si>
  <si>
    <t xml:space="preserve">当前已发布主角色</t>
  </si>
  <si>
    <t xml:space="preserve">网站v126／索引v102主角色2749；B28主角色增量0。</t>
  </si>
  <si>
    <t xml:space="preserve">当前已发布严格</t>
  </si>
  <si>
    <t xml:space="preserve">B28仅恢复B24-012文件级verified，严格＋1至423；当前B24为3verified／17needs_review。</t>
  </si>
  <si>
    <t xml:space="preserve">历史解释支持关系</t>
  </si>
  <si>
    <r>
      <rPr>
        <sz val="11"/>
        <color rgb="FF20334A"/>
        <rFont val="Arial"/>
        <family val="2"/>
        <charset val="1"/>
      </rPr>
      <t xml:space="preserve">B11</t>
    </r>
    <r>
      <rPr>
        <sz val="11"/>
        <color rgb="FF20334A"/>
        <rFont val="Noto Sans CJK SC"/>
        <family val="2"/>
        <charset val="1"/>
      </rPr>
      <t xml:space="preserve">仅</t>
    </r>
    <r>
      <rPr>
        <sz val="11"/>
        <color rgb="FF20334A"/>
        <rFont val="Arial"/>
        <family val="2"/>
        <charset val="1"/>
      </rPr>
      <t xml:space="preserve">1</t>
    </r>
    <r>
      <rPr>
        <sz val="11"/>
        <color rgb="FF20334A"/>
        <rFont val="Noto Sans CJK SC"/>
        <family val="2"/>
        <charset val="1"/>
      </rPr>
      <t xml:space="preserve">项同编号／同持有人历史关系。合同并入、准确版次配对和当前采用未证。</t>
    </r>
  </si>
  <si>
    <r>
      <rPr>
        <sz val="11"/>
        <color rgb="FF20334A"/>
        <rFont val="Arial"/>
        <family val="2"/>
        <charset val="1"/>
      </rPr>
      <t xml:space="preserve">B13</t>
    </r>
    <r>
      <rPr>
        <sz val="11"/>
        <color rgb="FF20334A"/>
        <rFont val="Noto Sans CJK SC"/>
        <family val="2"/>
        <charset val="1"/>
      </rPr>
      <t xml:space="preserve">响应正文身份</t>
    </r>
  </si>
  <si>
    <t xml:space="preserve">不能回证</t>
  </si>
  <si>
    <r>
      <rPr>
        <sz val="11"/>
        <color rgb="FF20334A"/>
        <rFont val="Noto Sans CJK SC"/>
        <family val="2"/>
        <charset val="1"/>
      </rPr>
      <t xml:space="preserve">未留正文及正文哈希。元数据文件</t>
    </r>
    <r>
      <rPr>
        <sz val="11"/>
        <color rgb="FF20334A"/>
        <rFont val="Arial"/>
        <family val="2"/>
        <charset val="1"/>
      </rPr>
      <t xml:space="preserve">SHA</t>
    </r>
    <r>
      <rPr>
        <sz val="11"/>
        <color rgb="FF20334A"/>
        <rFont val="Noto Sans CJK SC"/>
        <family val="2"/>
        <charset val="1"/>
      </rPr>
      <t xml:space="preserve">不能充作</t>
    </r>
    <r>
      <rPr>
        <sz val="11"/>
        <color rgb="FF20334A"/>
        <rFont val="Arial"/>
        <family val="2"/>
        <charset val="1"/>
      </rPr>
      <t xml:space="preserve">HTTP</t>
    </r>
    <r>
      <rPr>
        <sz val="11"/>
        <color rgb="FF20334A"/>
        <rFont val="Noto Sans CJK SC"/>
        <family val="2"/>
        <charset val="1"/>
      </rPr>
      <t xml:space="preserve">响应正文</t>
    </r>
    <r>
      <rPr>
        <sz val="11"/>
        <color rgb="FF20334A"/>
        <rFont val="Arial"/>
        <family val="2"/>
        <charset val="1"/>
      </rPr>
      <t xml:space="preserve">SHA</t>
    </r>
    <r>
      <rPr>
        <sz val="11"/>
        <color rgb="FF20334A"/>
        <rFont val="Noto Sans CJK SC"/>
        <family val="2"/>
        <charset val="1"/>
      </rPr>
      <t xml:space="preserve">。</t>
    </r>
  </si>
  <si>
    <r>
      <rPr>
        <sz val="11"/>
        <color rgb="FF20334A"/>
        <rFont val="Arial"/>
        <family val="2"/>
        <charset val="1"/>
      </rPr>
      <t xml:space="preserve">B14</t>
    </r>
    <r>
      <rPr>
        <sz val="11"/>
        <color rgb="FF20334A"/>
        <rFont val="Noto Sans CJK SC"/>
        <family val="2"/>
        <charset val="1"/>
      </rPr>
      <t xml:space="preserve">动作时间</t>
    </r>
  </si>
  <si>
    <t xml:space="preserve">区间／上界</t>
  </si>
  <si>
    <r>
      <rPr>
        <sz val="11"/>
        <color rgb="FF20334A"/>
        <rFont val="Noto Sans CJK SC"/>
        <family val="2"/>
        <charset val="1"/>
      </rPr>
      <t xml:space="preserve">下载等待先于点击设置；不能称点击后完整</t>
    </r>
    <r>
      <rPr>
        <sz val="11"/>
        <color rgb="FF20334A"/>
        <rFont val="Arial"/>
        <family val="2"/>
        <charset val="1"/>
      </rPr>
      <t xml:space="preserve">10</t>
    </r>
    <r>
      <rPr>
        <sz val="11"/>
        <color rgb="FF20334A"/>
        <rFont val="Noto Sans CJK SC"/>
        <family val="2"/>
        <charset val="1"/>
      </rPr>
      <t xml:space="preserve">秒或精确点击／超时时刻。</t>
    </r>
  </si>
  <si>
    <t xml:space="preserve">个人合同齐套闭合</t>
  </si>
  <si>
    <t xml:space="preserve">没有新增已证个人完整合同包；未核定不等于永久不存在。</t>
  </si>
  <si>
    <t xml:space="preserve">当前采用确认新增</t>
  </si>
  <si>
    <r>
      <rPr>
        <sz val="11"/>
        <color rgb="FF20334A"/>
        <rFont val="Noto Sans CJK SC"/>
        <family val="2"/>
        <charset val="1"/>
      </rPr>
      <t xml:space="preserve">不从文件级</t>
    </r>
    <r>
      <rPr>
        <sz val="11"/>
        <color rgb="FF20334A"/>
        <rFont val="Arial"/>
        <family val="2"/>
        <charset val="1"/>
      </rPr>
      <t xml:space="preserve">verified</t>
    </r>
    <r>
      <rPr>
        <sz val="11"/>
        <color rgb="FF20334A"/>
        <rFont val="Noto Sans CJK SC"/>
        <family val="2"/>
        <charset val="1"/>
      </rPr>
      <t xml:space="preserve">、目录、历史编号或支持关系推导。</t>
    </r>
  </si>
  <si>
    <t xml:space="preserve">后续批次边界</t>
  </si>
  <si>
    <t xml:space="preserve">新增角色层90条</t>
  </si>
  <si>
    <t xml:space="preserve">原258工单及角色历史保留；B28仅另增1条状态纠正工单，累计259。</t>
  </si>
  <si>
    <r>
      <rPr>
        <b val="true"/>
        <sz val="11"/>
        <color rgb="FFFFFFFF"/>
        <rFont val="Arial"/>
        <family val="2"/>
        <charset val="1"/>
      </rPr>
      <t xml:space="preserve">B15–B18</t>
    </r>
    <r>
      <rPr>
        <b val="true"/>
        <sz val="11"/>
        <color rgb="FFFFFFFF"/>
        <rFont val="Noto Sans CJK SC"/>
        <family val="2"/>
        <charset val="1"/>
      </rPr>
      <t xml:space="preserve">角色层与累计</t>
    </r>
  </si>
  <si>
    <t xml:space="preserve">角色验收不等于全文或产品验收</t>
  </si>
  <si>
    <t xml:space="preserve">原D1–B14冻结工单</t>
  </si>
  <si>
    <t xml:space="preserve">条</t>
  </si>
  <si>
    <t xml:space="preserve">原执行／冻结明细108条保留；不是108个产品。</t>
  </si>
  <si>
    <t xml:space="preserve">新增角色限定工单</t>
  </si>
  <si>
    <t xml:space="preserve">90个SHA互异原件；只确认角色及身份锚点。</t>
  </si>
  <si>
    <t xml:space="preserve">D1–B18历史限定范围</t>
  </si>
  <si>
    <t xml:space="preserve">原108＋角色90；不增加原件库存，不计算独立产品覆盖率。</t>
  </si>
  <si>
    <t xml:space="preserve">角色证据已验收</t>
  </si>
  <si>
    <t xml:space="preserve">执行与独立QA锚点已核对；本段保留角色验收时90份待全文快照，后续结果另列。</t>
  </si>
  <si>
    <t xml:space="preserve">合格文件主角色提议</t>
  </si>
  <si>
    <t xml:space="preserve">B15 3＋B16 27＋B17 30＋B18 17＝77；只提议文件角色，不采用来源产品／持有人身份。</t>
  </si>
  <si>
    <t xml:space="preserve">非合同CIS</t>
  </si>
  <si>
    <t xml:space="preserve">B15七份只属信息说明，不能替代主合同。</t>
  </si>
  <si>
    <t xml:space="preserve">主角色映射保留</t>
  </si>
  <si>
    <t xml:space="preserve">B16三份＋B18三份；6项身份／变体／语言冲突保留，不强行升格。</t>
  </si>
  <si>
    <t xml:space="preserve">本轮已发布主角色新增</t>
  </si>
  <si>
    <t xml:space="preserve">网站v120及固定索引v96已纳入本轮77项限定文件主角色；6项映射保留，7份CIS不升主文。</t>
  </si>
  <si>
    <t xml:space="preserve">网站已发布主角色合计</t>
  </si>
  <si>
    <t xml:space="preserve">当前网站v126／索引v102主角色2749；历史角色纠正不重计。</t>
  </si>
  <si>
    <t xml:space="preserve">角色库存物理页</t>
  </si>
  <si>
    <t xml:space="preserve">5186页是文件总页数，不是审读量。</t>
  </si>
  <si>
    <t xml:space="preserve">执行锚点文件页对</t>
  </si>
  <si>
    <t xml:space="preserve">对</t>
  </si>
  <si>
    <t xml:space="preserve">945仅为各文件选页的有限锚点；不是选中页全文通读。</t>
  </si>
  <si>
    <t xml:space="preserve">独立QA锚点文件页对</t>
  </si>
  <si>
    <t xml:space="preserve">627与执行945分别计；不能相加当作完整审读。</t>
  </si>
  <si>
    <t xml:space="preserve">角色阶段待全文快照</t>
  </si>
  <si>
    <t xml:space="preserve">冻结角色90份待全文是历史状态，不改写。B19后为4全审、1部分、85未尝试，86仍未全审。</t>
  </si>
  <si>
    <t xml:space="preserve">期初全文待核快照</t>
  </si>
  <si>
    <t xml:space="preserve">历史期初138不改写；不能把角色验收90写成全文完成90。</t>
  </si>
  <si>
    <t xml:space="preserve">角色新增全文／严格</t>
  </si>
  <si>
    <t xml:space="preserve">本轮全文、严格、当前采用、齐套、独立产品与产品缺口闭合均0。</t>
  </si>
  <si>
    <t xml:space="preserve">原累计全文成果</t>
  </si>
  <si>
    <t xml:space="preserve">B19前历史45份／1243页保留；最新累计49份／1349页见B19区，支持原件仍3份。</t>
  </si>
  <si>
    <t xml:space="preserve">角色层公开状态</t>
  </si>
  <si>
    <t xml:space="preserve">B15–B18网站v120／索引v96已发布并回验。本段保留角色历史；B19内容验收与发布状态另列。</t>
  </si>
  <si>
    <t xml:space="preserve">冻结</t>
  </si>
  <si>
    <t xml:space="preserve">验收</t>
  </si>
  <si>
    <t xml:space="preserve">库存页／执行锚点／独立QA；均非全文计量</t>
  </si>
  <si>
    <t xml:space="preserve">B15</t>
  </si>
  <si>
    <t xml:space="preserve">330页库存；执行69／QA69；主角色提议3，非合同CIS7。</t>
  </si>
  <si>
    <t xml:space="preserve">B16</t>
  </si>
  <si>
    <t xml:space="preserve">1595页库存；执行329／QA202；主角色提议27，映射保留3。</t>
  </si>
  <si>
    <t xml:space="preserve">B17</t>
  </si>
  <si>
    <t xml:space="preserve">1890页库存；执行359／QA239；30项均仅合格文件角色，未无条件采用来源身份。</t>
  </si>
  <si>
    <t xml:space="preserve">B18</t>
  </si>
  <si>
    <t xml:space="preserve">1371页库存；执行188／QA117；主角色提议17，映射保留3。</t>
  </si>
  <si>
    <t xml:space="preserve">私有元数据包</t>
  </si>
  <si>
    <t xml:space="preserve">版本</t>
  </si>
  <si>
    <t xml:space="preserve">性质</t>
  </si>
  <si>
    <t xml:space="preserve">原件和全文不在这些包内；下载入口仅置于私有台账</t>
  </si>
  <si>
    <t xml:space="preserve">已远端回验</t>
  </si>
  <si>
    <r>
      <rPr>
        <b val="true"/>
        <sz val="11"/>
        <color rgb="FFFFFFFF"/>
        <rFont val="Arial"/>
        <family val="2"/>
        <charset val="1"/>
      </rPr>
      <t xml:space="preserve">B19</t>
    </r>
    <r>
      <rPr>
        <b val="true"/>
        <sz val="11"/>
        <color rgb="FFFFFFFF"/>
        <rFont val="Noto Sans CJK SC"/>
        <family val="2"/>
        <charset val="1"/>
      </rPr>
      <t xml:space="preserve">内容验收与累计</t>
    </r>
  </si>
  <si>
    <t xml:space="preserve">内容验收不等于远端发布</t>
  </si>
  <si>
    <t xml:space="preserve">D1–B18历史工单</t>
  </si>
  <si>
    <t xml:space="preserve">原108＋角色90完整保留；不重复计算原件或产品。</t>
  </si>
  <si>
    <t xml:space="preserve">B19冻结工单</t>
  </si>
  <si>
    <t xml:space="preserve">5份既存原件的新内容工单。本段不纳入B20，无新原件取得。</t>
  </si>
  <si>
    <t xml:space="preserve">B19任务记录</t>
  </si>
  <si>
    <t xml:space="preserve">按唯一任务ID记录；与前次角色工单明确关联。</t>
  </si>
  <si>
    <t xml:space="preserve">B19内容已验收</t>
  </si>
  <si>
    <t xml:space="preserve">独立QA通过且展示／语义／身份／时间／证据符合行级条件。</t>
  </si>
  <si>
    <t xml:space="preserve">截至B19限定工单</t>
  </si>
  <si>
    <t xml:space="preserve">198＋5＝203；不是203产品，不把既存文件再次计为新原件。</t>
  </si>
  <si>
    <t xml:space="preserve">B19全审新增</t>
  </si>
  <si>
    <t xml:space="preserve">MY三份88页＋Tune18页，共4份106页。</t>
  </si>
  <si>
    <t xml:space="preserve">B19部分新增</t>
  </si>
  <si>
    <t xml:space="preserve">Forte PA：40页展示，20英文语义完成，20高棉文仍未解。</t>
  </si>
  <si>
    <t xml:space="preserve">B19严格新增</t>
  </si>
  <si>
    <t xml:space="preserve">仅MRTTFB2018文件级verified；其余三份全审及PA部分仍needs_review。</t>
  </si>
  <si>
    <t xml:space="preserve">B19主角色新增</t>
  </si>
  <si>
    <t xml:space="preserve">既有角色已计入，不能再次增加主角色。</t>
  </si>
  <si>
    <t xml:space="preserve">B19全审计量页数</t>
  </si>
  <si>
    <t xml:space="preserve">只累加4份全审文件106页；不把146展示页或PA40页加入。</t>
  </si>
  <si>
    <t xml:space="preserve">累计全审文件</t>
  </si>
  <si>
    <t xml:space="preserve">原45＋4＝49；文件级成果，不等于49套完整产品合同。</t>
  </si>
  <si>
    <t xml:space="preserve">累计全审物理页</t>
  </si>
  <si>
    <t xml:space="preserve">原1243＋106＝1349；角色锚点及部分语义页不混入。</t>
  </si>
  <si>
    <t xml:space="preserve">B19执行展示页</t>
  </si>
  <si>
    <t xml:space="preserve">146个现存物理页逐页展示；展示不自动等于可靠语义审读。</t>
  </si>
  <si>
    <t xml:space="preserve">B19执行语义页</t>
  </si>
  <si>
    <t xml:space="preserve">126页可靠语义，另20页高棉文未解。</t>
  </si>
  <si>
    <t xml:space="preserve">B19独立QA展示页</t>
  </si>
  <si>
    <t xml:space="preserve">独立QA亦展示146页；不与执行146相加。</t>
  </si>
  <si>
    <t xml:space="preserve">B19独立QA语义页</t>
  </si>
  <si>
    <t xml:space="preserve">独立QA126页；执行与QA是同一批页的两层证据，不重计。</t>
  </si>
  <si>
    <t xml:space="preserve">B19语言未解页</t>
  </si>
  <si>
    <t xml:space="preserve">PA高棉文20页未取得可靠逐条语义；双语等同／优先未核定。</t>
  </si>
  <si>
    <t xml:space="preserve">原期初队列快照</t>
  </si>
  <si>
    <t xml:space="preserve">原138条冻结保留；后续全审／部分／未尝试分开。</t>
  </si>
  <si>
    <t xml:space="preserve">原138内已全审</t>
  </si>
  <si>
    <t xml:space="preserve">截至B19已验收49全审；其中45为前期、4为本批。</t>
  </si>
  <si>
    <t xml:space="preserve">B19前原队列部分</t>
  </si>
  <si>
    <t xml:space="preserve">原期初138内历史部分3份；作为本批前基线保留。</t>
  </si>
  <si>
    <t xml:space="preserve">原138内部分审读</t>
  </si>
  <si>
    <t xml:space="preserve">历史部分3＋B19 PA1＝4，不属于全审。</t>
  </si>
  <si>
    <t xml:space="preserve">原队列尚未尝试</t>
  </si>
  <si>
    <t xml:space="preserve">角色90中本批尝试5后，85未尝试；不是全部未全审数量。</t>
  </si>
  <si>
    <t xml:space="preserve">原138内仍未全审</t>
  </si>
  <si>
    <t xml:space="preserve">138−49＝89，包括4部分＋85未尝试。</t>
  </si>
  <si>
    <t xml:space="preserve">角色90内新增全审</t>
  </si>
  <si>
    <t xml:space="preserve">4全审；不改写90条角色阶段历史状态。</t>
  </si>
  <si>
    <t xml:space="preserve">角色90内部分审读</t>
  </si>
  <si>
    <t xml:space="preserve">1部分；与85未尝试合计86未全审。</t>
  </si>
  <si>
    <t xml:space="preserve">角色90内仍未全审</t>
  </si>
  <si>
    <t xml:space="preserve">90−4＝86，不得把85未尝试称作总全文待办。</t>
  </si>
  <si>
    <t xml:space="preserve">B19发布状态</t>
  </si>
  <si>
    <t xml:space="preserve">B19内容已纳入网站v121／固定索引v97；成功发布与精确远端回验均已确认。</t>
  </si>
  <si>
    <t xml:space="preserve">B19前发布全文基线</t>
  </si>
  <si>
    <t xml:space="preserve">冻结实际Site120／索引96全文；后续发布不回改本基线。</t>
  </si>
  <si>
    <t xml:space="preserve">B19前发布部分基线</t>
  </si>
  <si>
    <t xml:space="preserve">冻结实际Site120／索引96部分计数。</t>
  </si>
  <si>
    <t xml:space="preserve">B19前发布严格基线</t>
  </si>
  <si>
    <t xml:space="preserve">冻结实际Site120／索引96严格计数。</t>
  </si>
  <si>
    <t xml:space="preserve">B19前发布主角色基线</t>
  </si>
  <si>
    <t xml:space="preserve">冻结实际Site120／索引96主角色；B19增量为0。</t>
  </si>
  <si>
    <t xml:space="preserve">B19整合后全文</t>
  </si>
  <si>
    <t xml:space="preserve">冻结基线2290＋B19全审4＝2294；已由实际网站v121／索引v97确认。</t>
  </si>
  <si>
    <t xml:space="preserve">B19整合后部分</t>
  </si>
  <si>
    <t xml:space="preserve">冻结基线16＋B19部分1＝17；已由实际网站v121／索引v97确认。</t>
  </si>
  <si>
    <t xml:space="preserve">B19整合后严格</t>
  </si>
  <si>
    <t xml:space="preserve">冻结基线414＋B19严格1＝415；已发布，不推导个人齐套或当前采用。</t>
  </si>
  <si>
    <t xml:space="preserve">B19整合后主角色</t>
  </si>
  <si>
    <t xml:space="preserve">2747＋0＝2747；不重复角色层计量。</t>
  </si>
  <si>
    <t xml:space="preserve">B19发布快照</t>
  </si>
  <si>
    <r>
      <rPr>
        <sz val="11"/>
        <color rgb="FF20334A"/>
        <rFont val="Arial"/>
        <family val="2"/>
        <charset val="1"/>
      </rPr>
      <t xml:space="preserve">v121</t>
    </r>
    <r>
      <rPr>
        <sz val="11"/>
        <color rgb="FF20334A"/>
        <rFont val="Noto Sans CJK SC"/>
        <family val="2"/>
        <charset val="1"/>
      </rPr>
      <t xml:space="preserve">／</t>
    </r>
    <r>
      <rPr>
        <sz val="11"/>
        <color rgb="FF20334A"/>
        <rFont val="Arial"/>
        <family val="2"/>
        <charset val="1"/>
      </rPr>
      <t xml:space="preserve">v97</t>
    </r>
  </si>
  <si>
    <t xml:space="preserve">B19历史实际全文2294、部分17、严格415、主角色2747；新批实际状态见下方。</t>
  </si>
  <si>
    <t xml:space="preserve">B19私有元数据包</t>
  </si>
  <si>
    <t xml:space="preserve">已精确回验</t>
  </si>
  <si>
    <t xml:space="preserve">官方样本询问草稿</t>
  </si>
  <si>
    <t xml:space="preserve">尚未获发送授权</t>
  </si>
  <si>
    <t xml:space="preserve">不发送邮件或外联；草稿审核不等于发送许可。</t>
  </si>
  <si>
    <t xml:space="preserve">其他调查边界</t>
  </si>
  <si>
    <r>
      <rPr>
        <sz val="11"/>
        <color rgb="FF20334A"/>
        <rFont val="Noto Sans CJK SC"/>
        <family val="2"/>
        <charset val="1"/>
      </rPr>
      <t xml:space="preserve">不计入</t>
    </r>
    <r>
      <rPr>
        <sz val="11"/>
        <color rgb="FF20334A"/>
        <rFont val="Arial"/>
        <family val="2"/>
        <charset val="1"/>
      </rPr>
      <t xml:space="preserve">B19</t>
    </r>
  </si>
  <si>
    <t xml:space="preserve">Trinity／CIS补充调查不作B19新工单、新原件或新增计数。</t>
  </si>
  <si>
    <r>
      <rPr>
        <b val="true"/>
        <sz val="11"/>
        <color rgb="FFFFFFFF"/>
        <rFont val="Arial"/>
        <family val="2"/>
        <charset val="1"/>
      </rPr>
      <t xml:space="preserve">B20–B21</t>
    </r>
    <r>
      <rPr>
        <b val="true"/>
        <sz val="11"/>
        <color rgb="FFFFFFFF"/>
        <rFont val="Noto Sans CJK SC"/>
        <family val="2"/>
        <charset val="1"/>
      </rPr>
      <t xml:space="preserve">主文获取与纠正</t>
    </r>
  </si>
  <si>
    <t xml:space="preserve">既存主文标记纠正与新取得分开</t>
  </si>
  <si>
    <t xml:space="preserve">截至B19工单</t>
  </si>
  <si>
    <t xml:space="preserve">203条历史保留。</t>
  </si>
  <si>
    <t xml:space="preserve">B20工单</t>
  </si>
  <si>
    <t xml:space="preserve">6项有限主文获取工单。</t>
  </si>
  <si>
    <t xml:space="preserve">B21工单</t>
  </si>
  <si>
    <t xml:space="preserve">1项Paramount既存主文误分类纠正。</t>
  </si>
  <si>
    <t xml:space="preserve">本批唯一工单</t>
  </si>
  <si>
    <t xml:space="preserve">6＋1＝7。PRU追加观察不增加工单。</t>
  </si>
  <si>
    <t xml:space="preserve">截至B21累计工单</t>
  </si>
  <si>
    <t xml:space="preserve">203＋7＝210，不是独立产品数量。</t>
  </si>
  <si>
    <t xml:space="preserve">本批范围已验收</t>
  </si>
  <si>
    <t xml:space="preserve">身份、唯一工单与零增量边界同时成立。</t>
  </si>
  <si>
    <t xml:space="preserve">本批主角色增量</t>
  </si>
  <si>
    <t xml:space="preserve">Starr及Paramount各1，仅is_primary由false改true。</t>
  </si>
  <si>
    <t xml:space="preserve">本批全文新增</t>
  </si>
  <si>
    <t xml:space="preserve">两件旧全文true仍属历史，不再次计量。</t>
  </si>
  <si>
    <t xml:space="preserve">本批严格新增</t>
  </si>
  <si>
    <t xml:space="preserve">两件needs_review均保留。</t>
  </si>
  <si>
    <t xml:space="preserve">本批原件新增</t>
  </si>
  <si>
    <t xml:space="preserve">既存原件不计作新下载。</t>
  </si>
  <si>
    <t xml:space="preserve">本批独立产品新增</t>
  </si>
  <si>
    <t xml:space="preserve">个</t>
  </si>
  <si>
    <t xml:space="preserve">来源标签身份与归属不变，不建立产品分母。</t>
  </si>
  <si>
    <t xml:space="preserve">本批当前采用新增</t>
  </si>
  <si>
    <t xml:space="preserve">无现行采用结论。</t>
  </si>
  <si>
    <t xml:space="preserve">本批完整合同包新增</t>
  </si>
  <si>
    <t xml:space="preserve">套</t>
  </si>
  <si>
    <t xml:space="preserve">通用或样本主文不证明个人签发合同齐全。</t>
  </si>
  <si>
    <t xml:space="preserve">本批缺口闭合新增</t>
  </si>
  <si>
    <t xml:space="preserve">五项未取得主文仍缺口，角色修正不闭合产品缺口。</t>
  </si>
  <si>
    <t xml:space="preserve">本批新主文原件</t>
  </si>
  <si>
    <t xml:space="preserve">主角色纠正＋2，不是新取得主文原件＋2。</t>
  </si>
  <si>
    <t xml:space="preserve">本批部分审读新增</t>
  </si>
  <si>
    <t xml:space="preserve">有限锚点不新增完整或部分内容验收。</t>
  </si>
  <si>
    <t xml:space="preserve">截至B21阶段全审</t>
  </si>
  <si>
    <t xml:space="preserve">49不变；本批新增全文0。</t>
  </si>
  <si>
    <t xml:space="preserve">截至B21全审页数</t>
  </si>
  <si>
    <t xml:space="preserve">1349不变，有限角色锚点不加入。</t>
  </si>
  <si>
    <t xml:space="preserve">本批主文仍未取得</t>
  </si>
  <si>
    <t xml:space="preserve">ID两项、PRU一项、TH两项；未取得不等于公开不存在。</t>
  </si>
  <si>
    <t xml:space="preserve">B20–B21网站快照</t>
  </si>
  <si>
    <t xml:space="preserve">v122</t>
  </si>
  <si>
    <t xml:space="preserve">实际</t>
  </si>
  <si>
    <t xml:space="preserve">成功部署回执已确认。</t>
  </si>
  <si>
    <t xml:space="preserve">B20–B21索引快照</t>
  </si>
  <si>
    <t xml:space="preserve">v98</t>
  </si>
  <si>
    <t xml:space="preserve">三个固定文件原生v98、字节与SHA及终态验收已确认。</t>
  </si>
  <si>
    <t xml:space="preserve">B20–B21网站主角色</t>
  </si>
  <si>
    <t xml:space="preserve">2747＋2，仅既存误分类纠正。</t>
  </si>
  <si>
    <t xml:space="preserve">B20–B21索引主角色</t>
  </si>
  <si>
    <t xml:space="preserve">实际索引v98主角色2749；仅本批+2，不含历史SEA校准103。</t>
  </si>
  <si>
    <t xml:space="preserve">B20–B21全文计数</t>
  </si>
  <si>
    <t xml:space="preserve">网站／当前索引不变。</t>
  </si>
  <si>
    <t xml:space="preserve">部分计数</t>
  </si>
  <si>
    <t xml:space="preserve">严格计数</t>
  </si>
  <si>
    <t xml:space="preserve">B20–B21私有元数据包</t>
  </si>
  <si>
    <t xml:space="preserve">原生版本</t>
  </si>
  <si>
    <t xml:space="preserve">SEA旧存主角色</t>
  </si>
  <si>
    <t xml:space="preserve">保留旧存1273；不是本批真实起点。</t>
  </si>
  <si>
    <t xml:space="preserve">SEA真实基线</t>
  </si>
  <si>
    <t xml:space="preserve">按既存已下载唯一SHA及is_primary重算为1376。</t>
  </si>
  <si>
    <t xml:space="preserve">SEA当前主角色</t>
  </si>
  <si>
    <t xml:space="preserve">真实基线1376＋本批2＝1378。</t>
  </si>
  <si>
    <t xml:space="preserve">SEA历史汇总校准</t>
  </si>
  <si>
    <t xml:space="preserve">103是旧存偏差，不计新增主角色／原件／审读。</t>
  </si>
  <si>
    <t xml:space="preserve">SEA本批角色增量</t>
  </si>
  <si>
    <t xml:space="preserve">只有菲律宾29→31为本批＋2。</t>
  </si>
  <si>
    <t xml:space="preserve">截至B21原138队列</t>
  </si>
  <si>
    <r>
      <rPr>
        <sz val="11"/>
        <color rgb="FF20334A"/>
        <rFont val="Arial"/>
        <family val="2"/>
        <charset val="1"/>
      </rPr>
      <t xml:space="preserve">49</t>
    </r>
    <r>
      <rPr>
        <sz val="11"/>
        <color rgb="FF20334A"/>
        <rFont val="Noto Sans CJK SC"/>
        <family val="2"/>
        <charset val="1"/>
      </rPr>
      <t xml:space="preserve">全审／</t>
    </r>
    <r>
      <rPr>
        <sz val="11"/>
        <color rgb="FF20334A"/>
        <rFont val="Arial"/>
        <family val="2"/>
        <charset val="1"/>
      </rPr>
      <t xml:space="preserve">4</t>
    </r>
    <r>
      <rPr>
        <sz val="11"/>
        <color rgb="FF20334A"/>
        <rFont val="Noto Sans CJK SC"/>
        <family val="2"/>
        <charset val="1"/>
      </rPr>
      <t xml:space="preserve">部分／</t>
    </r>
    <r>
      <rPr>
        <sz val="11"/>
        <color rgb="FF20334A"/>
        <rFont val="Arial"/>
        <family val="2"/>
        <charset val="1"/>
      </rPr>
      <t xml:space="preserve">85</t>
    </r>
    <r>
      <rPr>
        <sz val="11"/>
        <color rgb="FF20334A"/>
        <rFont val="Noto Sans CJK SC"/>
        <family val="2"/>
        <charset val="1"/>
      </rPr>
      <t xml:space="preserve">未尝试</t>
    </r>
  </si>
  <si>
    <t xml:space="preserve">历史延续</t>
  </si>
  <si>
    <t xml:space="preserve">仍未全审89，未因本批角色修正减少。</t>
  </si>
  <si>
    <t xml:space="preserve">截至B21角色90队列</t>
  </si>
  <si>
    <r>
      <rPr>
        <sz val="11"/>
        <color rgb="FF20334A"/>
        <rFont val="Arial"/>
        <family val="2"/>
        <charset val="1"/>
      </rPr>
      <t xml:space="preserve">4</t>
    </r>
    <r>
      <rPr>
        <sz val="11"/>
        <color rgb="FF20334A"/>
        <rFont val="Noto Sans CJK SC"/>
        <family val="2"/>
        <charset val="1"/>
      </rPr>
      <t xml:space="preserve">全审／</t>
    </r>
    <r>
      <rPr>
        <sz val="11"/>
        <color rgb="FF20334A"/>
        <rFont val="Arial"/>
        <family val="2"/>
        <charset val="1"/>
      </rPr>
      <t xml:space="preserve">1</t>
    </r>
    <r>
      <rPr>
        <sz val="11"/>
        <color rgb="FF20334A"/>
        <rFont val="Noto Sans CJK SC"/>
        <family val="2"/>
        <charset val="1"/>
      </rPr>
      <t xml:space="preserve">部分／</t>
    </r>
    <r>
      <rPr>
        <sz val="11"/>
        <color rgb="FF20334A"/>
        <rFont val="Arial"/>
        <family val="2"/>
        <charset val="1"/>
      </rPr>
      <t xml:space="preserve">85</t>
    </r>
    <r>
      <rPr>
        <sz val="11"/>
        <color rgb="FF20334A"/>
        <rFont val="Noto Sans CJK SC"/>
        <family val="2"/>
        <charset val="1"/>
      </rPr>
      <t xml:space="preserve">未尝试</t>
    </r>
  </si>
  <si>
    <t xml:space="preserve">仍未全审86；90条原角色历史保留。</t>
  </si>
  <si>
    <t xml:space="preserve">TH方法例外</t>
  </si>
  <si>
    <r>
      <rPr>
        <sz val="11"/>
        <color rgb="FF20334A"/>
        <rFont val="Noto Sans CJK SC"/>
        <family val="2"/>
        <charset val="1"/>
      </rPr>
      <t xml:space="preserve">首</t>
    </r>
    <r>
      <rPr>
        <sz val="11"/>
        <color rgb="FF20334A"/>
        <rFont val="Arial"/>
        <family val="2"/>
        <charset val="1"/>
      </rPr>
      <t xml:space="preserve">403</t>
    </r>
    <r>
      <rPr>
        <sz val="11"/>
        <color rgb="FF20334A"/>
        <rFont val="Noto Sans CJK SC"/>
        <family val="2"/>
        <charset val="1"/>
      </rPr>
      <t xml:space="preserve">后另发</t>
    </r>
    <r>
      <rPr>
        <sz val="11"/>
        <color rgb="FF20334A"/>
        <rFont val="Arial"/>
        <family val="2"/>
        <charset val="1"/>
      </rPr>
      <t xml:space="preserve">2URL</t>
    </r>
  </si>
  <si>
    <t xml:space="preserve">已披露</t>
  </si>
  <si>
    <t xml:space="preserve">同一顺序批处理三次403后停止；不称首拒即停，不推断公开合同不存在。</t>
  </si>
  <si>
    <t xml:space="preserve">PRU追加观察</t>
  </si>
  <si>
    <r>
      <rPr>
        <sz val="11"/>
        <color rgb="FF20334A"/>
        <rFont val="Noto Sans CJK SC"/>
        <family val="2"/>
        <charset val="1"/>
      </rPr>
      <t xml:space="preserve">归</t>
    </r>
    <r>
      <rPr>
        <sz val="11"/>
        <color rgb="FF20334A"/>
        <rFont val="Arial"/>
        <family val="2"/>
        <charset val="1"/>
      </rPr>
      <t xml:space="preserve">PH-004</t>
    </r>
    <r>
      <rPr>
        <sz val="11"/>
        <color rgb="FF20334A"/>
        <rFont val="Noto Sans CJK SC"/>
        <family val="2"/>
        <charset val="1"/>
      </rPr>
      <t xml:space="preserve">，不另计</t>
    </r>
  </si>
  <si>
    <t xml:space="preserve">观察</t>
  </si>
  <si>
    <t xml:space="preserve">普通浏览器为应用错误；未确认WAF／403，未取得Policy Contract。</t>
  </si>
  <si>
    <t xml:space="preserve">B20–B21恢复验证</t>
  </si>
  <si>
    <t xml:space="preserve">全逻辑恢复验证</t>
  </si>
  <si>
    <t xml:space="preserve">本次1248文件完整逻辑恢复验证通过，新增物理恢复0。以前的实际物理恢复仅属历史证据。</t>
  </si>
  <si>
    <t xml:space="preserve">B20–B21范围历史</t>
  </si>
  <si>
    <r>
      <rPr>
        <sz val="11"/>
        <color rgb="FF20334A"/>
        <rFont val="Noto Sans CJK SC"/>
        <family val="2"/>
        <charset val="1"/>
      </rPr>
      <t xml:space="preserve">不纳入</t>
    </r>
    <r>
      <rPr>
        <sz val="11"/>
        <color rgb="FF20334A"/>
        <rFont val="Arial"/>
        <family val="2"/>
        <charset val="1"/>
      </rPr>
      <t xml:space="preserve">B22</t>
    </r>
  </si>
  <si>
    <t xml:space="preserve">本段仅B20六项＋B21一项；B22此次另列，不回写本段历史。</t>
  </si>
  <si>
    <t xml:space="preserve">B20–B21发布状态</t>
  </si>
  <si>
    <t xml:space="preserve">Site122与三个固定索引v98、终态验证及双指针一致；没有新增物理恢复声明。</t>
  </si>
  <si>
    <r>
      <rPr>
        <b val="true"/>
        <sz val="11"/>
        <color rgb="FFFFFFFF"/>
        <rFont val="Arial"/>
        <family val="2"/>
        <charset val="1"/>
      </rPr>
      <t xml:space="preserve">B22</t>
    </r>
    <r>
      <rPr>
        <b val="true"/>
        <sz val="11"/>
        <color rgb="FFFFFFFF"/>
        <rFont val="Noto Sans CJK SC"/>
        <family val="2"/>
        <charset val="1"/>
      </rPr>
      <t xml:space="preserve">现存全文内容验收</t>
    </r>
  </si>
  <si>
    <t xml:space="preserve">8份MY文件；全文完成与严格核验分开</t>
  </si>
  <si>
    <t xml:space="preserve">截至B21工单</t>
  </si>
  <si>
    <t xml:space="preserve">210条历史完整保留。</t>
  </si>
  <si>
    <t xml:space="preserve">B22唯一工单</t>
  </si>
  <si>
    <t xml:space="preserve">8份既存MY原件的新逐页内容审读，不新增原件。</t>
  </si>
  <si>
    <t xml:space="preserve">截至B22累计工单</t>
  </si>
  <si>
    <t xml:space="preserve">210＋8＝218；B23／B24不计入完成。</t>
  </si>
  <si>
    <t xml:space="preserve">本批新增全文</t>
  </si>
  <si>
    <t xml:space="preserve">8份全部现存物理页完成独立QA。</t>
  </si>
  <si>
    <t xml:space="preserve">本批新增部分</t>
  </si>
  <si>
    <t xml:space="preserve">0；本批不是有限锚点审读。</t>
  </si>
  <si>
    <t xml:space="preserve">本批新增严格</t>
  </si>
  <si>
    <t xml:space="preserve">0；8份仍needs_review，真实正文及批单问题未解。</t>
  </si>
  <si>
    <t xml:space="preserve">本批新增主角色</t>
  </si>
  <si>
    <t xml:space="preserve">0；既存已接受主文角色不重复计数。</t>
  </si>
  <si>
    <t xml:space="preserve">本批新增原件</t>
  </si>
  <si>
    <t xml:space="preserve">0；来源归档及原件SHA保持不变。</t>
  </si>
  <si>
    <t xml:space="preserve">0；文件标签不构成独立产品分母。</t>
  </si>
  <si>
    <t xml:space="preserve">0；不确认当前采用或销售。</t>
  </si>
  <si>
    <t xml:space="preserve">0；全现存页审读不等于个人签发合同齐套。</t>
  </si>
  <si>
    <t xml:space="preserve">0；缺页、引用、身份与适用问题依证据保留。</t>
  </si>
  <si>
    <t xml:space="preserve">本批全文页数</t>
  </si>
  <si>
    <t xml:space="preserve">636个唯一物理页；旧角色锚点不复用为新全审。</t>
  </si>
  <si>
    <t xml:space="preserve">截至B22阶段全审</t>
  </si>
  <si>
    <t xml:space="preserve">截至B21为49，本批8，累计57。</t>
  </si>
  <si>
    <t xml:space="preserve">截至B22全审页数</t>
  </si>
  <si>
    <t xml:space="preserve">1349＋636＝1985，不重计历史锚点。</t>
  </si>
  <si>
    <t xml:space="preserve">截至B22原138全审</t>
  </si>
  <si>
    <t xml:space="preserve">49＋8＝57。</t>
  </si>
  <si>
    <t xml:space="preserve">截至B22原138部分</t>
  </si>
  <si>
    <t xml:space="preserve">4不变。</t>
  </si>
  <si>
    <t xml:space="preserve">截至B22原138未试</t>
  </si>
  <si>
    <t xml:space="preserve">85−8＝77。</t>
  </si>
  <si>
    <t xml:space="preserve">截至B22原138未全审</t>
  </si>
  <si>
    <t xml:space="preserve">4＋77＝81；原138分母保留。</t>
  </si>
  <si>
    <t xml:space="preserve">截至B22角色90全审</t>
  </si>
  <si>
    <t xml:space="preserve">4＋8＝12；90条角色历史不删除。</t>
  </si>
  <si>
    <t xml:space="preserve">截至B22角色90部分</t>
  </si>
  <si>
    <t xml:space="preserve">1不变。</t>
  </si>
  <si>
    <t xml:space="preserve">截至B22角色90未试</t>
  </si>
  <si>
    <t xml:space="preserve">截至B22角色90未全审</t>
  </si>
  <si>
    <t xml:space="preserve">1＋77＝78。</t>
  </si>
  <si>
    <t xml:space="preserve">本批needs_review</t>
  </si>
  <si>
    <t xml:space="preserve">8份均全文完成但未达严格核验。</t>
  </si>
  <si>
    <t xml:space="preserve">执行语义审读页数</t>
  </si>
  <si>
    <t xml:space="preserve">636；逐物理页语义证据与SHA绑定。</t>
  </si>
  <si>
    <t xml:space="preserve">独立QA语义审读页数</t>
  </si>
  <si>
    <t xml:space="preserve">636；独立显示与语义审读，不只核元数据。</t>
  </si>
  <si>
    <t xml:space="preserve">B22网站快照</t>
  </si>
  <si>
    <t xml:space="preserve">v123</t>
  </si>
  <si>
    <t xml:space="preserve">B22索引快照</t>
  </si>
  <si>
    <t xml:space="preserve">v99</t>
  </si>
  <si>
    <t xml:space="preserve">三个固定索引原生v99，已精确远端字节回验及终态确认。</t>
  </si>
  <si>
    <t xml:space="preserve">B22全文计数</t>
  </si>
  <si>
    <t xml:space="preserve">2294＋8＝2302。</t>
  </si>
  <si>
    <t xml:space="preserve">B22部分计数</t>
  </si>
  <si>
    <t xml:space="preserve">本批不增加。</t>
  </si>
  <si>
    <t xml:space="preserve">B22主角色计数</t>
  </si>
  <si>
    <t xml:space="preserve">本批不增加，历史SEA校准103不新增。</t>
  </si>
  <si>
    <t xml:space="preserve">B22严格计数</t>
  </si>
  <si>
    <t xml:space="preserve">本批不增加；全审不替代严格核验。</t>
  </si>
  <si>
    <t xml:space="preserve">正式／公开／隔离</t>
  </si>
  <si>
    <r>
      <rPr>
        <sz val="11"/>
        <color rgb="FF20334A"/>
        <rFont val="Arial"/>
        <family val="2"/>
        <charset val="1"/>
      </rPr>
      <t xml:space="preserve">4713</t>
    </r>
    <r>
      <rPr>
        <sz val="11"/>
        <color rgb="FF20334A"/>
        <rFont val="Noto Sans CJK SC"/>
        <family val="2"/>
        <charset val="1"/>
      </rPr>
      <t xml:space="preserve">／</t>
    </r>
    <r>
      <rPr>
        <sz val="11"/>
        <color rgb="FF20334A"/>
        <rFont val="Arial"/>
        <family val="2"/>
        <charset val="1"/>
      </rPr>
      <t xml:space="preserve">4662</t>
    </r>
    <r>
      <rPr>
        <sz val="11"/>
        <color rgb="FF20334A"/>
        <rFont val="Noto Sans CJK SC"/>
        <family val="2"/>
        <charset val="1"/>
      </rPr>
      <t xml:space="preserve">／</t>
    </r>
    <r>
      <rPr>
        <sz val="11"/>
        <color rgb="FF20334A"/>
        <rFont val="Arial"/>
        <family val="2"/>
        <charset val="1"/>
      </rPr>
      <t xml:space="preserve">51</t>
    </r>
  </si>
  <si>
    <t xml:space="preserve">全局原件总量不变。</t>
  </si>
  <si>
    <t xml:space="preserve">B22私有元数据包</t>
  </si>
  <si>
    <t xml:space="preserve">B22发布状态</t>
  </si>
  <si>
    <t xml:space="preserve">Site123／三个固定索引v99及双私有指针终态一致。</t>
  </si>
  <si>
    <t xml:space="preserve">B22恢复验证</t>
  </si>
  <si>
    <t xml:space="preserve">完整逻辑恢复验证</t>
  </si>
  <si>
    <t xml:space="preserve">本次1269文件完整逻辑恢复验证通过，新增物理恢复0；历史物理恢复不冒充本批。</t>
  </si>
  <si>
    <t xml:space="preserve">B22范围历史</t>
  </si>
  <si>
    <r>
      <rPr>
        <sz val="11"/>
        <color rgb="FF20334A"/>
        <rFont val="Arial"/>
        <family val="2"/>
        <charset val="1"/>
      </rPr>
      <t xml:space="preserve">B23</t>
    </r>
    <r>
      <rPr>
        <sz val="11"/>
        <color rgb="FF20334A"/>
        <rFont val="Noto Sans CJK SC"/>
        <family val="2"/>
        <charset val="1"/>
      </rPr>
      <t xml:space="preserve">／</t>
    </r>
    <r>
      <rPr>
        <sz val="11"/>
        <color rgb="FF20334A"/>
        <rFont val="Arial"/>
        <family val="2"/>
        <charset val="1"/>
      </rPr>
      <t xml:space="preserve">B24</t>
    </r>
    <r>
      <rPr>
        <sz val="11"/>
        <color rgb="FF20334A"/>
        <rFont val="Noto Sans CJK SC"/>
        <family val="2"/>
        <charset val="1"/>
      </rPr>
      <t xml:space="preserve">不计入</t>
    </r>
  </si>
  <si>
    <t xml:space="preserve">本段B22历史不计B23／B24；B23本次另列，不回写本段。</t>
  </si>
  <si>
    <t xml:space="preserve">B20–B21遗留五项</t>
  </si>
  <si>
    <t xml:space="preserve">仍保留</t>
  </si>
  <si>
    <t xml:space="preserve">五项未取得主文缺口不因B22全文内容审读闭合。</t>
  </si>
  <si>
    <r>
      <rPr>
        <b val="true"/>
        <sz val="11"/>
        <color rgb="FFFFFFFF"/>
        <rFont val="Arial"/>
        <family val="2"/>
        <charset val="1"/>
      </rPr>
      <t xml:space="preserve">B23</t>
    </r>
    <r>
      <rPr>
        <b val="true"/>
        <sz val="11"/>
        <color rgb="FFFFFFFF"/>
        <rFont val="Noto Sans CJK SC"/>
        <family val="2"/>
        <charset val="1"/>
      </rPr>
      <t xml:space="preserve">现存全文内容验收</t>
    </r>
  </si>
  <si>
    <t xml:space="preserve">20份MY文件；5严格通过、15仍需复核</t>
  </si>
  <si>
    <t xml:space="preserve">截至B22工单</t>
  </si>
  <si>
    <t xml:space="preserve">218条历史完整保留。</t>
  </si>
  <si>
    <t xml:space="preserve">B23唯一工单</t>
  </si>
  <si>
    <t xml:space="preserve">20份既存MY文件的新逐页内容审读。</t>
  </si>
  <si>
    <t xml:space="preserve">截至B23累计工单</t>
  </si>
  <si>
    <t xml:space="preserve">218＋20＝238；B24／B25不计入完成。</t>
  </si>
  <si>
    <t xml:space="preserve">20份全部现存物理页完成独立QA。</t>
  </si>
  <si>
    <t xml:space="preserve">0。</t>
  </si>
  <si>
    <t xml:space="preserve">003、005、007、008、009共5份；仍不确认个人合同齐套或当前采用。</t>
  </si>
  <si>
    <t xml:space="preserve">0；既存主文角色不重复计量。</t>
  </si>
  <si>
    <t xml:space="preserve">0；原归档、原件SHA与权限保留。</t>
  </si>
  <si>
    <t xml:space="preserve">0；文件标签不建立独立产品分母。</t>
  </si>
  <si>
    <t xml:space="preserve">0；不确认当前销售或个人采用。</t>
  </si>
  <si>
    <t xml:space="preserve">0；严格文件核验不等于个人签发齐套。</t>
  </si>
  <si>
    <t xml:space="preserve">0；实际引用缺件及范围问题保留。</t>
  </si>
  <si>
    <t xml:space="preserve">992个唯一现存物理页；不是历史角色锚点复用。</t>
  </si>
  <si>
    <t xml:space="preserve">截至B23阶段全审</t>
  </si>
  <si>
    <t xml:space="preserve">57＋20＝77。</t>
  </si>
  <si>
    <t xml:space="preserve">截至B23全审页数</t>
  </si>
  <si>
    <t xml:space="preserve">1985＋992＝2977。</t>
  </si>
  <si>
    <t xml:space="preserve">截至B23原138全审</t>
  </si>
  <si>
    <t xml:space="preserve">截至B23原138部分</t>
  </si>
  <si>
    <t xml:space="preserve">截至B23原138未试</t>
  </si>
  <si>
    <t xml:space="preserve">77−20＝57。</t>
  </si>
  <si>
    <t xml:space="preserve">截至B23原138未全审</t>
  </si>
  <si>
    <t xml:space="preserve">4＋57＝61；原138分母不删除。</t>
  </si>
  <si>
    <t xml:space="preserve">截至B23角色90全审</t>
  </si>
  <si>
    <t xml:space="preserve">12＋20＝32。</t>
  </si>
  <si>
    <t xml:space="preserve">截至B23角色90部分</t>
  </si>
  <si>
    <t xml:space="preserve">截至B23角色90未试</t>
  </si>
  <si>
    <t xml:space="preserve">截至B23角色90未全审</t>
  </si>
  <si>
    <t xml:space="preserve">1＋57＝58；角色90历史保留。</t>
  </si>
  <si>
    <t xml:space="preserve">15份；真实文件级未解事项不省略。</t>
  </si>
  <si>
    <t xml:space="preserve">本批verified</t>
  </si>
  <si>
    <t xml:space="preserve">5份；非阻断身份／附表／采用边界仍保留。</t>
  </si>
  <si>
    <t xml:space="preserve">992；逐页执行证据与原件SHA绑定。</t>
  </si>
  <si>
    <t xml:space="preserve">992；独立显示与语义审读均完整。</t>
  </si>
  <si>
    <t xml:space="preserve">B23网站快照</t>
  </si>
  <si>
    <t xml:space="preserve">v124</t>
  </si>
  <si>
    <t xml:space="preserve">成功部署及原生Site终态已确认。</t>
  </si>
  <si>
    <t xml:space="preserve">B23索引快照</t>
  </si>
  <si>
    <t xml:space="preserve">v100</t>
  </si>
  <si>
    <t xml:space="preserve">三个固定索引完整远端字节及身份回验通过。</t>
  </si>
  <si>
    <t xml:space="preserve">B23全文计数</t>
  </si>
  <si>
    <t xml:space="preserve">2302＋20＝2322。</t>
  </si>
  <si>
    <t xml:space="preserve">B23部分计数</t>
  </si>
  <si>
    <t xml:space="preserve">B23主角色计数</t>
  </si>
  <si>
    <t xml:space="preserve">本批不增加；历史SEA校准103不计新增。</t>
  </si>
  <si>
    <t xml:space="preserve">B23严格计数</t>
  </si>
  <si>
    <t xml:space="preserve">415＋5＝420。</t>
  </si>
  <si>
    <t xml:space="preserve">原件总量不变。</t>
  </si>
  <si>
    <t xml:space="preserve">B23私有接受包</t>
  </si>
  <si>
    <t xml:space="preserve">B23发布状态</t>
  </si>
  <si>
    <t xml:space="preserve">Site124／index100及双私有指针终态一致。</t>
  </si>
  <si>
    <t xml:space="preserve">B23恢复验证</t>
  </si>
  <si>
    <r>
      <rPr>
        <sz val="11"/>
        <color rgb="FF20334A"/>
        <rFont val="Arial"/>
        <family val="2"/>
        <charset val="1"/>
      </rPr>
      <t xml:space="preserve">1290</t>
    </r>
    <r>
      <rPr>
        <sz val="11"/>
        <color rgb="FF20334A"/>
        <rFont val="Noto Sans CJK SC"/>
        <family val="2"/>
        <charset val="1"/>
      </rPr>
      <t xml:space="preserve">文件完整逻辑验证</t>
    </r>
  </si>
  <si>
    <t xml:space="preserve">对真实Git字节验证通过；本批物理恢复0，历史恢复不冒称新增。</t>
  </si>
  <si>
    <t xml:space="preserve">B23范围历史</t>
  </si>
  <si>
    <r>
      <rPr>
        <sz val="11"/>
        <color rgb="FF20334A"/>
        <rFont val="Arial"/>
        <family val="2"/>
        <charset val="1"/>
      </rPr>
      <t xml:space="preserve">B24</t>
    </r>
    <r>
      <rPr>
        <sz val="11"/>
        <color rgb="FF20334A"/>
        <rFont val="Noto Sans CJK SC"/>
        <family val="2"/>
        <charset val="1"/>
      </rPr>
      <t xml:space="preserve">／</t>
    </r>
    <r>
      <rPr>
        <sz val="11"/>
        <color rgb="FF20334A"/>
        <rFont val="Arial"/>
        <family val="2"/>
        <charset val="1"/>
      </rPr>
      <t xml:space="preserve">B25</t>
    </r>
    <r>
      <rPr>
        <sz val="11"/>
        <color rgb="FF20334A"/>
        <rFont val="Noto Sans CJK SC"/>
        <family val="2"/>
        <charset val="1"/>
      </rPr>
      <t xml:space="preserve">不计入</t>
    </r>
  </si>
  <si>
    <t xml:space="preserve">本段B23历史不计B24／B25；B24本次另列，不回写本段。</t>
  </si>
  <si>
    <t xml:space="preserve">接受包修订历史</t>
  </si>
  <si>
    <r>
      <rPr>
        <sz val="11"/>
        <color rgb="FF20334A"/>
        <rFont val="Arial"/>
        <family val="2"/>
        <charset val="1"/>
      </rPr>
      <t xml:space="preserve">v0</t>
    </r>
    <r>
      <rPr>
        <sz val="11"/>
        <color rgb="FF20334A"/>
        <rFont val="Noto Sans CJK SC"/>
        <family val="2"/>
        <charset val="1"/>
      </rPr>
      <t xml:space="preserve">从未应用</t>
    </r>
  </si>
  <si>
    <t xml:space="preserve">仅revision1／v1正式接受；修复46处逐页澄清字段，原始证据不变，旧版本历史保留。</t>
  </si>
  <si>
    <t xml:space="preserve">严格与齐套边界</t>
  </si>
  <si>
    <r>
      <rPr>
        <sz val="11"/>
        <color rgb="FF20334A"/>
        <rFont val="Noto Sans CJK SC"/>
        <family val="2"/>
        <charset val="1"/>
      </rPr>
      <t xml:space="preserve">严格</t>
    </r>
    <r>
      <rPr>
        <sz val="11"/>
        <color rgb="FF20334A"/>
        <rFont val="Arial"/>
        <family val="2"/>
        <charset val="1"/>
      </rPr>
      <t xml:space="preserve">5</t>
    </r>
    <r>
      <rPr>
        <sz val="11"/>
        <color rgb="FF20334A"/>
        <rFont val="Noto Sans CJK SC"/>
        <family val="2"/>
        <charset val="1"/>
      </rPr>
      <t xml:space="preserve">；齐套</t>
    </r>
    <r>
      <rPr>
        <sz val="11"/>
        <color rgb="FF20334A"/>
        <rFont val="Arial"/>
        <family val="2"/>
        <charset val="1"/>
      </rPr>
      <t xml:space="preserve">0</t>
    </r>
  </si>
  <si>
    <t xml:space="preserve">个人附表缺失、历史标签或来源时间边界不单独否决文件级严格核验。</t>
  </si>
  <si>
    <t xml:space="preserve">索引CSV核对</t>
  </si>
  <si>
    <r>
      <rPr>
        <sz val="11"/>
        <color rgb="FF20334A"/>
        <rFont val="Arial"/>
        <family val="2"/>
        <charset val="1"/>
      </rPr>
      <t xml:space="preserve">813</t>
    </r>
    <r>
      <rPr>
        <sz val="11"/>
        <color rgb="FF20334A"/>
        <rFont val="Noto Sans CJK SC"/>
        <family val="2"/>
        <charset val="1"/>
      </rPr>
      <t xml:space="preserve">列／</t>
    </r>
    <r>
      <rPr>
        <sz val="11"/>
        <color rgb="FF20334A"/>
        <rFont val="Arial"/>
        <family val="2"/>
        <charset val="1"/>
      </rPr>
      <t xml:space="preserve">80</t>
    </r>
    <r>
      <rPr>
        <sz val="11"/>
        <color rgb="FF20334A"/>
        <rFont val="Noto Sans CJK SC"/>
        <family val="2"/>
        <charset val="1"/>
      </rPr>
      <t xml:space="preserve">单元格变更</t>
    </r>
  </si>
  <si>
    <t xml:space="preserve">既有CSV架构保留；20项各4格变化，历史3100项路径差异未声称普遍相等。</t>
  </si>
  <si>
    <t xml:space="preserve">索引归档核对</t>
  </si>
  <si>
    <t xml:space="preserve">成员</t>
  </si>
  <si>
    <t xml:space="preserve">新归档CRC与嵌入索引通过；新旧历史证据各自保留。</t>
  </si>
  <si>
    <r>
      <rPr>
        <b val="true"/>
        <sz val="11"/>
        <color rgb="FFFFFFFF"/>
        <rFont val="Arial"/>
        <family val="2"/>
        <charset val="1"/>
      </rPr>
      <t xml:space="preserve">B24</t>
    </r>
    <r>
      <rPr>
        <b val="true"/>
        <sz val="11"/>
        <color rgb="FFFFFFFF"/>
        <rFont val="Noto Sans CJK SC"/>
        <family val="2"/>
        <charset val="1"/>
      </rPr>
      <t xml:space="preserve">全文验收历史快照</t>
    </r>
  </si>
  <si>
    <t xml:space="preserve">发布时2严格、18需复核；012当前更正见B28追加记录。</t>
  </si>
  <si>
    <t xml:space="preserve">截至B23工单</t>
  </si>
  <si>
    <t xml:space="preserve">238条历史完整保留。</t>
  </si>
  <si>
    <t xml:space="preserve">B24唯一工单</t>
  </si>
  <si>
    <t xml:space="preserve">截至B24累计工单</t>
  </si>
  <si>
    <t xml:space="preserve">238＋20＝258；B25不计入完成。</t>
  </si>
  <si>
    <t xml:space="preserve">019、020共2份；012执行strict被独立QA撤回。</t>
  </si>
  <si>
    <t xml:space="preserve">0；001／002 FI/NFI来源标签不证明独立产品。</t>
  </si>
  <si>
    <t xml:space="preserve">1273个唯一现存物理页；不是历史角色锚点复用。</t>
  </si>
  <si>
    <t xml:space="preserve">截至B24阶段全审</t>
  </si>
  <si>
    <t xml:space="preserve">77＋20＝97。</t>
  </si>
  <si>
    <t xml:space="preserve">截至B24全审页数</t>
  </si>
  <si>
    <t xml:space="preserve">2977＋1273＝4250。</t>
  </si>
  <si>
    <t xml:space="preserve">原138队列全审</t>
  </si>
  <si>
    <t xml:space="preserve">原138队列部分</t>
  </si>
  <si>
    <t xml:space="preserve">原138队列未尝试</t>
  </si>
  <si>
    <t xml:space="preserve">57−20＝37。</t>
  </si>
  <si>
    <t xml:space="preserve">原138队列未全审</t>
  </si>
  <si>
    <t xml:space="preserve">4＋37＝41；原138分母不删除。</t>
  </si>
  <si>
    <t xml:space="preserve">角色90队列全审</t>
  </si>
  <si>
    <t xml:space="preserve">32＋20＝52。</t>
  </si>
  <si>
    <t xml:space="preserve">角色90队列部分</t>
  </si>
  <si>
    <t xml:space="preserve">角色90队列未尝试</t>
  </si>
  <si>
    <t xml:space="preserve">角色90队列未全审</t>
  </si>
  <si>
    <t xml:space="preserve">1＋37＝38；角色90历史保留。</t>
  </si>
  <si>
    <t xml:space="preserve">18份；真实文件级未解事项不省略。</t>
  </si>
  <si>
    <t xml:space="preserve">2份；个人附表／采用边界仍保留。</t>
  </si>
  <si>
    <t xml:space="preserve">1273；逐页执行证据与原件SHA绑定。</t>
  </si>
  <si>
    <t xml:space="preserve">1273；独立显示与语义审读均完整。</t>
  </si>
  <si>
    <t xml:space="preserve">B24网站快照</t>
  </si>
  <si>
    <t xml:space="preserve">v125</t>
  </si>
  <si>
    <t xml:space="preserve">B24索引快照</t>
  </si>
  <si>
    <t xml:space="preserve">v101</t>
  </si>
  <si>
    <t xml:space="preserve">B24全文计数</t>
  </si>
  <si>
    <t xml:space="preserve">网站／索引均2342，新增20。</t>
  </si>
  <si>
    <t xml:space="preserve">B24部分计数</t>
  </si>
  <si>
    <t xml:space="preserve">B24主角色计数</t>
  </si>
  <si>
    <t xml:space="preserve">B24严格计数</t>
  </si>
  <si>
    <t xml:space="preserve">网站／索引均422，新增2。</t>
  </si>
  <si>
    <t xml:space="preserve">B24私有接受包</t>
  </si>
  <si>
    <t xml:space="preserve">B24发布状态</t>
  </si>
  <si>
    <t xml:space="preserve">网站v125／索引v101已回验</t>
  </si>
  <si>
    <t xml:space="preserve">B24恢复验证</t>
  </si>
  <si>
    <r>
      <rPr>
        <sz val="11"/>
        <color rgb="FF20334A"/>
        <rFont val="Arial"/>
        <family val="2"/>
        <charset val="1"/>
      </rPr>
      <t xml:space="preserve">1311</t>
    </r>
    <r>
      <rPr>
        <sz val="11"/>
        <color rgb="FF20334A"/>
        <rFont val="Noto Sans CJK SC"/>
        <family val="2"/>
        <charset val="1"/>
      </rPr>
      <t xml:space="preserve">文件完整逻辑验证</t>
    </r>
  </si>
  <si>
    <t xml:space="preserve">后续批次范围</t>
  </si>
  <si>
    <r>
      <rPr>
        <sz val="11"/>
        <color rgb="FF20334A"/>
        <rFont val="Arial"/>
        <family val="2"/>
        <charset val="1"/>
      </rPr>
      <t xml:space="preserve">B25</t>
    </r>
    <r>
      <rPr>
        <sz val="11"/>
        <color rgb="FF20334A"/>
        <rFont val="Noto Sans CJK SC"/>
        <family val="2"/>
        <charset val="1"/>
      </rPr>
      <t xml:space="preserve">不计入</t>
    </r>
  </si>
  <si>
    <t xml:space="preserve">执行／QA中的后续批次不作为本批已完成成果。</t>
  </si>
  <si>
    <t xml:space="preserve">012历史QA状态</t>
  </si>
  <si>
    <r>
      <rPr>
        <sz val="11"/>
        <color rgb="FF20334A"/>
        <rFont val="Arial"/>
        <family val="2"/>
        <charset val="1"/>
      </rPr>
      <t xml:space="preserve">needs_review</t>
    </r>
    <r>
      <rPr>
        <sz val="11"/>
        <color rgb="FF20334A"/>
        <rFont val="Noto Sans CJK SC"/>
        <family val="2"/>
        <charset val="1"/>
      </rPr>
      <t xml:space="preserve">；全文</t>
    </r>
    <r>
      <rPr>
        <sz val="11"/>
        <color rgb="FF20334A"/>
        <rFont val="Arial"/>
        <family val="2"/>
        <charset val="1"/>
      </rPr>
      <t xml:space="preserve">51</t>
    </r>
    <r>
      <rPr>
        <sz val="11"/>
        <color rgb="FF20334A"/>
        <rFont val="Noto Sans CJK SC"/>
        <family val="2"/>
        <charset val="1"/>
      </rPr>
      <t xml:space="preserve">页保留</t>
    </r>
  </si>
  <si>
    <t xml:space="preserve">原QA判断保留；B28已将该唯一问题改列非阻断并恢复verified。当前更正见B28。</t>
  </si>
  <si>
    <t xml:space="preserve">B24严格历史边界</t>
  </si>
  <si>
    <r>
      <rPr>
        <sz val="11"/>
        <color rgb="FF20334A"/>
        <rFont val="Noto Sans CJK SC"/>
        <family val="2"/>
        <charset val="1"/>
      </rPr>
      <t xml:space="preserve">严格</t>
    </r>
    <r>
      <rPr>
        <sz val="11"/>
        <color rgb="FF20334A"/>
        <rFont val="Arial"/>
        <family val="2"/>
        <charset val="1"/>
      </rPr>
      <t xml:space="preserve">2</t>
    </r>
    <r>
      <rPr>
        <sz val="11"/>
        <color rgb="FF20334A"/>
        <rFont val="Noto Sans CJK SC"/>
        <family val="2"/>
        <charset val="1"/>
      </rPr>
      <t xml:space="preserve">；齐套</t>
    </r>
    <r>
      <rPr>
        <sz val="11"/>
        <color rgb="FF20334A"/>
        <rFont val="Arial"/>
        <family val="2"/>
        <charset val="1"/>
      </rPr>
      <t xml:space="preserve">0</t>
    </r>
  </si>
  <si>
    <t xml:space="preserve">019／020文件级严格通过，不证明当前采用或个人签发完整。</t>
  </si>
  <si>
    <t xml:space="preserve">既有CSV架构与历史差异分别保留，不声称普遍等价。</t>
  </si>
  <si>
    <t xml:space="preserve">新归档5628成员及CRC核对通过；既有历史证据保留。</t>
  </si>
  <si>
    <r>
      <rPr>
        <b val="true"/>
        <sz val="11"/>
        <color rgb="FFFFFFFF"/>
        <rFont val="Arial"/>
        <family val="2"/>
        <charset val="1"/>
      </rPr>
      <t xml:space="preserve">B28</t>
    </r>
    <r>
      <rPr>
        <b val="true"/>
        <sz val="11"/>
        <color rgb="FFFFFFFF"/>
        <rFont val="Noto Sans CJK SC"/>
        <family val="2"/>
        <charset val="1"/>
      </rPr>
      <t xml:space="preserve">文件级状态纠正</t>
    </r>
  </si>
  <si>
    <t xml:space="preserve">1条纠正工单，3项比较校验，无新增全文</t>
  </si>
  <si>
    <t xml:space="preserve">原258工单完整保留。</t>
  </si>
  <si>
    <t xml:space="preserve">本批纠正工单</t>
  </si>
  <si>
    <t xml:space="preserve">仅B24-MY-012状态纠正。</t>
  </si>
  <si>
    <t xml:space="preserve">比较校验</t>
  </si>
  <si>
    <t xml:space="preserve">B23-003及B25-006／007，不新增工单。</t>
  </si>
  <si>
    <t xml:space="preserve">累计限定工单</t>
  </si>
  <si>
    <t xml:space="preserve">258＋1＝259。</t>
  </si>
  <si>
    <t xml:space="preserve">仅恢复012文件级verified。</t>
  </si>
  <si>
    <t xml:space="preserve">0，原51页全审事实不重计。</t>
  </si>
  <si>
    <t xml:space="preserve">本批新增全审页数</t>
  </si>
  <si>
    <t xml:space="preserve">0，45页窄核不加到全审总页数。</t>
  </si>
  <si>
    <t xml:space="preserve">本次窄核页数</t>
  </si>
  <si>
    <t xml:space="preserve">17＋16＋6＋6＝45，与全审计量分开。</t>
  </si>
  <si>
    <t xml:space="preserve">阶段累计全审</t>
  </si>
  <si>
    <t xml:space="preserve">97不变。</t>
  </si>
  <si>
    <t xml:space="preserve">阶段累计全审页数</t>
  </si>
  <si>
    <t xml:space="preserve">4250不变。</t>
  </si>
  <si>
    <t xml:space="preserve">012当前文件级状态</t>
  </si>
  <si>
    <t xml:space="preserve">当前</t>
  </si>
  <si>
    <t xml:space="preserve">问题保留为非阻断设计／应用解释，strict_eligible=true。</t>
  </si>
  <si>
    <t xml:space="preserve">B24历史verified</t>
  </si>
  <si>
    <t xml:space="preserve">原B24快照仍2。</t>
  </si>
  <si>
    <t xml:space="preserve">B24历史needs_review</t>
  </si>
  <si>
    <t xml:space="preserve">原B24快照仍18。</t>
  </si>
  <si>
    <t xml:space="preserve">B24当前verified</t>
  </si>
  <si>
    <t xml:space="preserve">历史2＋状态纠正1＝3。</t>
  </si>
  <si>
    <t xml:space="preserve">B24当前needs_review</t>
  </si>
  <si>
    <t xml:space="preserve">历史18−状态纠正1＝17。</t>
  </si>
  <si>
    <t xml:space="preserve">当前网站严格</t>
  </si>
  <si>
    <t xml:space="preserve">422＋1＝423。</t>
  </si>
  <si>
    <t xml:space="preserve">当前全文</t>
  </si>
  <si>
    <t xml:space="preserve">本批新增0。</t>
  </si>
  <si>
    <t xml:space="preserve">当前部分</t>
  </si>
  <si>
    <t xml:space="preserve">当前主角色</t>
  </si>
  <si>
    <t xml:space="preserve">本批新增0，历史SEA校准不重计。</t>
  </si>
  <si>
    <t xml:space="preserve">所有原件总量不变。</t>
  </si>
  <si>
    <t xml:space="preserve">当前网站</t>
  </si>
  <si>
    <t xml:space="preserve">成功部署及源提交已确认。</t>
  </si>
  <si>
    <t xml:space="preserve">当前固定私有索引</t>
  </si>
  <si>
    <t xml:space="preserve">原生102及精确远端回验、双私有指针一致。</t>
  </si>
  <si>
    <t xml:space="preserve">当前私有严格</t>
  </si>
  <si>
    <t xml:space="preserve">与网站423一致。</t>
  </si>
  <si>
    <t xml:space="preserve">原138队列</t>
  </si>
  <si>
    <r>
      <rPr>
        <sz val="11"/>
        <color rgb="FF20334A"/>
        <rFont val="Arial"/>
        <family val="2"/>
        <charset val="1"/>
      </rPr>
      <t xml:space="preserve">97</t>
    </r>
    <r>
      <rPr>
        <sz val="11"/>
        <color rgb="FF20334A"/>
        <rFont val="Noto Sans CJK SC"/>
        <family val="2"/>
        <charset val="1"/>
      </rPr>
      <t xml:space="preserve">／</t>
    </r>
    <r>
      <rPr>
        <sz val="11"/>
        <color rgb="FF20334A"/>
        <rFont val="Arial"/>
        <family val="2"/>
        <charset val="1"/>
      </rPr>
      <t xml:space="preserve">4</t>
    </r>
    <r>
      <rPr>
        <sz val="11"/>
        <color rgb="FF20334A"/>
        <rFont val="Noto Sans CJK SC"/>
        <family val="2"/>
        <charset val="1"/>
      </rPr>
      <t xml:space="preserve">／</t>
    </r>
    <r>
      <rPr>
        <sz val="11"/>
        <color rgb="FF20334A"/>
        <rFont val="Arial"/>
        <family val="2"/>
        <charset val="1"/>
      </rPr>
      <t xml:space="preserve">37</t>
    </r>
  </si>
  <si>
    <t xml:space="preserve">全审／部分／未试</t>
  </si>
  <si>
    <t xml:space="preserve">未全审41，保持原分母。</t>
  </si>
  <si>
    <t xml:space="preserve">角色90队列</t>
  </si>
  <si>
    <r>
      <rPr>
        <sz val="11"/>
        <color rgb="FF20334A"/>
        <rFont val="Arial"/>
        <family val="2"/>
        <charset val="1"/>
      </rPr>
      <t xml:space="preserve">52</t>
    </r>
    <r>
      <rPr>
        <sz val="11"/>
        <color rgb="FF20334A"/>
        <rFont val="Noto Sans CJK SC"/>
        <family val="2"/>
        <charset val="1"/>
      </rPr>
      <t xml:space="preserve">／</t>
    </r>
    <r>
      <rPr>
        <sz val="11"/>
        <color rgb="FF20334A"/>
        <rFont val="Arial"/>
        <family val="2"/>
        <charset val="1"/>
      </rPr>
      <t xml:space="preserve">1</t>
    </r>
    <r>
      <rPr>
        <sz val="11"/>
        <color rgb="FF20334A"/>
        <rFont val="Noto Sans CJK SC"/>
        <family val="2"/>
        <charset val="1"/>
      </rPr>
      <t xml:space="preserve">／</t>
    </r>
    <r>
      <rPr>
        <sz val="11"/>
        <color rgb="FF20334A"/>
        <rFont val="Arial"/>
        <family val="2"/>
        <charset val="1"/>
      </rPr>
      <t xml:space="preserve">37</t>
    </r>
  </si>
  <si>
    <t xml:space="preserve">未全审38，角色历史保留。</t>
  </si>
  <si>
    <t xml:space="preserve">B28私有证据包</t>
  </si>
  <si>
    <t xml:space="preserve">纠正依据</t>
  </si>
  <si>
    <t xml:space="preserve">互斥分段非同情形冲突</t>
  </si>
  <si>
    <t xml:space="preserve">不连续及指数差真实，不推定同条件竞争金额；保留设计解释边界。</t>
  </si>
  <si>
    <t xml:space="preserve">当前恢复验证</t>
  </si>
  <si>
    <r>
      <rPr>
        <sz val="11"/>
        <color rgb="FF20334A"/>
        <rFont val="Arial"/>
        <family val="2"/>
        <charset val="1"/>
      </rPr>
      <t xml:space="preserve">1334</t>
    </r>
    <r>
      <rPr>
        <sz val="11"/>
        <color rgb="FF20334A"/>
        <rFont val="Noto Sans CJK SC"/>
        <family val="2"/>
        <charset val="1"/>
      </rPr>
      <t xml:space="preserve">文件完整逻辑验证</t>
    </r>
  </si>
  <si>
    <t xml:space="preserve">新增物理恢复0；历史实际恢复不冒称本批。</t>
  </si>
  <si>
    <t xml:space="preserve">其他新增信用</t>
  </si>
  <si>
    <t xml:space="preserve">原件等</t>
  </si>
  <si>
    <t xml:space="preserve">部分、主角色、原件、产品、采用、合同包及缺口闭合均0。</t>
  </si>
  <si>
    <t xml:space="preserve">后续批次</t>
  </si>
  <si>
    <r>
      <rPr>
        <sz val="11"/>
        <color rgb="FF20334A"/>
        <rFont val="Arial"/>
        <family val="2"/>
        <charset val="1"/>
      </rPr>
      <t xml:space="preserve">B25</t>
    </r>
    <r>
      <rPr>
        <sz val="11"/>
        <color rgb="FF20334A"/>
        <rFont val="Noto Sans CJK SC"/>
        <family val="2"/>
        <charset val="1"/>
      </rPr>
      <t xml:space="preserve">未计成果</t>
    </r>
  </si>
  <si>
    <t xml:space="preserve">两项比较不预认B25全审、严格或整批QA。</t>
  </si>
  <si>
    <t xml:space="preserve">历史更正轨迹</t>
  </si>
  <si>
    <t xml:space="preserve">原判断及证据全部保留</t>
  </si>
  <si>
    <t xml:space="preserve">原258工单表格、公式、样式及历史QA不删除；当前通过本次追加更正体现。</t>
  </si>
  <si>
    <t xml:space="preserve">CSV核对</t>
  </si>
  <si>
    <r>
      <rPr>
        <sz val="11"/>
        <color rgb="FF20334A"/>
        <rFont val="Arial"/>
        <family val="2"/>
        <charset val="1"/>
      </rPr>
      <t xml:space="preserve">813</t>
    </r>
    <r>
      <rPr>
        <sz val="11"/>
        <color rgb="FF20334A"/>
        <rFont val="Noto Sans CJK SC"/>
        <family val="2"/>
        <charset val="1"/>
      </rPr>
      <t xml:space="preserve">列／</t>
    </r>
    <r>
      <rPr>
        <sz val="11"/>
        <color rgb="FF20334A"/>
        <rFont val="Arial"/>
        <family val="2"/>
        <charset val="1"/>
      </rPr>
      <t xml:space="preserve">3</t>
    </r>
    <r>
      <rPr>
        <sz val="11"/>
        <color rgb="FF20334A"/>
        <rFont val="Noto Sans CJK SC"/>
        <family val="2"/>
        <charset val="1"/>
      </rPr>
      <t xml:space="preserve">格变更</t>
    </r>
  </si>
  <si>
    <t xml:space="preserve">历史CSV／JSON差异保留，不声称普遍等价。</t>
  </si>
  <si>
    <t xml:space="preserve">归档核对</t>
  </si>
  <si>
    <t xml:space="preserve">新归档及历史成员保留情况依据本次终态证明。</t>
  </si>
  <si>
    <t xml:space="preserve">接受边界</t>
  </si>
  <si>
    <t xml:space="preserve">文件级严格通过</t>
  </si>
  <si>
    <t xml:space="preserve">不证明精算合理、实际可赔、现售采用或个人合同包完整。</t>
  </si>
  <si>
    <r>
      <rPr>
        <b val="true"/>
        <sz val="11"/>
        <color rgb="FFFFFFFF"/>
        <rFont val="Arial"/>
        <family val="2"/>
        <charset val="1"/>
      </rPr>
      <t xml:space="preserve">B25</t>
    </r>
    <r>
      <rPr>
        <b val="true"/>
        <sz val="11"/>
        <color rgb="FFFFFFFF"/>
        <rFont val="Noto Sans CJK SC"/>
        <family val="2"/>
      </rPr>
      <t xml:space="preserve">／</t>
    </r>
    <r>
      <rPr>
        <b val="true"/>
        <sz val="11"/>
        <color rgb="FFFFFFFF"/>
        <rFont val="Arial"/>
        <family val="2"/>
        <charset val="1"/>
      </rPr>
      <t xml:space="preserve">B26</t>
    </r>
    <r>
      <rPr>
        <b val="true"/>
        <sz val="11"/>
        <color rgb="FFFFFFFF"/>
        <rFont val="Noto Sans CJK SC"/>
        <family val="2"/>
      </rPr>
      <t xml:space="preserve">／</t>
    </r>
    <r>
      <rPr>
        <b val="true"/>
        <sz val="11"/>
        <color rgb="FFFFFFFF"/>
        <rFont val="Arial"/>
        <family val="2"/>
        <charset val="1"/>
      </rPr>
      <t xml:space="preserve">B27</t>
    </r>
    <r>
      <rPr>
        <b val="true"/>
        <sz val="11"/>
        <color rgb="FFFFFFFF"/>
        <rFont val="Noto Sans CJK SC"/>
        <family val="2"/>
      </rPr>
      <t xml:space="preserve">合并内容交付</t>
    </r>
  </si>
  <si>
    <t xml:space="preserve">以最终QA和实际发布终态为准；原历史全部保留</t>
  </si>
  <si>
    <t xml:space="preserve">截至B28累计工单</t>
  </si>
  <si>
    <t xml:space="preserve">原259条完整保留。</t>
  </si>
  <si>
    <t xml:space="preserve">本次内容工单</t>
  </si>
  <si>
    <t xml:space="preserve">仅本次实际接受的不同原件；事实明细不另计工单。</t>
  </si>
  <si>
    <t xml:space="preserve">既有工单加本次内容工单；不等于独立产品。</t>
  </si>
  <si>
    <t xml:space="preserve">新增全文</t>
  </si>
  <si>
    <t xml:space="preserve">完整现存文件覆盖通过；不代表身份、严格或合同包全部闭合。</t>
  </si>
  <si>
    <t xml:space="preserve">部分增量</t>
  </si>
  <si>
    <t xml:space="preserve">B27从部分审读转为全文，原部分历史不删除。</t>
  </si>
  <si>
    <t xml:space="preserve">新增严格</t>
  </si>
  <si>
    <t xml:space="preserve">只取最终独立QA接受，不取执行提议。</t>
  </si>
  <si>
    <t xml:space="preserve">新增主角色</t>
  </si>
  <si>
    <t xml:space="preserve">仅B26-005 Business Financing MRTT主合同及内含ROC，非独立ROC或所有变体。</t>
  </si>
  <si>
    <t xml:space="preserve">本次全审物理页数</t>
  </si>
  <si>
    <t xml:space="preserve">B27原partial18页此前未计full页，本次可随新full入账。</t>
  </si>
  <si>
    <t xml:space="preserve">97份基线加本次新增；B28窄核不重计。</t>
  </si>
  <si>
    <t xml:space="preserve">4250页基线加本次新full物理页；B28的45页及旧51页不重计。</t>
  </si>
  <si>
    <t xml:space="preserve">原138全审</t>
  </si>
  <si>
    <t xml:space="preserve">固定SHA分母138不删除、不扩大为全市场。</t>
  </si>
  <si>
    <t xml:space="preserve">原138部分</t>
  </si>
  <si>
    <t xml:space="preserve">每个原件仅一个全文覆盖状态。</t>
  </si>
  <si>
    <t xml:space="preserve">原138未全审尝试</t>
  </si>
  <si>
    <t xml:space="preserve">全文新增中排除由既有partial转full的一件后，扣减未尝试。</t>
  </si>
  <si>
    <t xml:space="preserve">原138未全审</t>
  </si>
  <si>
    <t xml:space="preserve">部分＋未尝试；具体名单以实际终态逐SHA对账为准。</t>
  </si>
  <si>
    <t xml:space="preserve">角色90全审</t>
  </si>
  <si>
    <t xml:space="preserve">B25、B26在原角色90；B27不在该分母。</t>
  </si>
  <si>
    <t xml:space="preserve">角色90部分</t>
  </si>
  <si>
    <t xml:space="preserve">保留角色90原分母。</t>
  </si>
  <si>
    <t xml:space="preserve">角色90未尝试</t>
  </si>
  <si>
    <t xml:space="preserve">不将B27转换套入角色90。</t>
  </si>
  <si>
    <t xml:space="preserve">角色90未全审</t>
  </si>
  <si>
    <t xml:space="preserve">部分＋未尝试；身份held另计。</t>
  </si>
  <si>
    <t xml:space="preserve">本次verified</t>
  </si>
  <si>
    <t xml:space="preserve">最终QA文件级严格；个人采用和齐套仍另核。</t>
  </si>
  <si>
    <t xml:space="preserve">本次needs_review</t>
  </si>
  <si>
    <t xml:space="preserve">全文可以完成而保留具体未解问题。</t>
  </si>
  <si>
    <t xml:space="preserve">执行逐页覆盖</t>
  </si>
  <si>
    <t xml:space="preserve">与确切原件及现存页清单绑定；空白页明确标记。</t>
  </si>
  <si>
    <t xml:space="preserve">独立QA逐页覆盖</t>
  </si>
  <si>
    <t xml:space="preserve">独立语义核对及明确空白页覆盖，不以显示次数充当审读。</t>
  </si>
  <si>
    <t xml:space="preserve">v127</t>
  </si>
  <si>
    <t xml:space="preserve">成功发布及源提交已确认。</t>
  </si>
  <si>
    <t xml:space="preserve">v103</t>
  </si>
  <si>
    <t xml:space="preserve">三个固定身份与精确远端字节及双指针已确认。</t>
  </si>
  <si>
    <t xml:space="preserve">与实际网站及私有索引一致。</t>
  </si>
  <si>
    <t xml:space="preserve">partial转full净减1。</t>
  </si>
  <si>
    <t xml:space="preserve">历史SEA校准与旧主角色不重计。</t>
  </si>
  <si>
    <t xml:space="preserve">当前严格</t>
  </si>
  <si>
    <t xml:space="preserve">B28纠正后的423基线保持。</t>
  </si>
  <si>
    <r>
      <rPr>
        <sz val="11"/>
        <color rgb="FF20334A"/>
        <rFont val="Arial"/>
        <family val="2"/>
        <charset val="1"/>
      </rPr>
      <t xml:space="preserve">4713</t>
    </r>
    <r>
      <rPr>
        <sz val="11"/>
        <color rgb="FF20334A"/>
        <rFont val="Noto Sans CJK SC"/>
        <family val="2"/>
      </rPr>
      <t xml:space="preserve">／</t>
    </r>
    <r>
      <rPr>
        <sz val="11"/>
        <color rgb="FF20334A"/>
        <rFont val="Arial"/>
        <family val="2"/>
        <charset val="1"/>
      </rPr>
      <t xml:space="preserve">4662</t>
    </r>
    <r>
      <rPr>
        <sz val="11"/>
        <color rgb="FF20334A"/>
        <rFont val="Noto Sans CJK SC"/>
        <family val="2"/>
      </rPr>
      <t xml:space="preserve">／</t>
    </r>
    <r>
      <rPr>
        <sz val="11"/>
        <color rgb="FF20334A"/>
        <rFont val="Arial"/>
        <family val="2"/>
        <charset val="1"/>
      </rPr>
      <t xml:space="preserve">51</t>
    </r>
  </si>
  <si>
    <t xml:space="preserve">全站隔离51不是身份held计数。</t>
  </si>
  <si>
    <t xml:space="preserve">新增原件</t>
  </si>
  <si>
    <t xml:space="preserve">0；原私有归档、SHA和来源身份保留。</t>
  </si>
  <si>
    <t xml:space="preserve">新增独立产品</t>
  </si>
  <si>
    <t xml:space="preserve">0；不同文件、版本和内含rider不是自动新产品。</t>
  </si>
  <si>
    <t xml:space="preserve">新增当前采用</t>
  </si>
  <si>
    <t xml:space="preserve">0；不确认现售或个人采用。</t>
  </si>
  <si>
    <t xml:space="preserve">新增完整合同包</t>
  </si>
  <si>
    <t xml:space="preserve">0；文件级核验不等于个人签发齐套。</t>
  </si>
  <si>
    <t xml:space="preserve">新增缺口闭合</t>
  </si>
  <si>
    <t xml:space="preserve">0；准确身份、通用组件及个人边界仍分别记录。</t>
  </si>
  <si>
    <t xml:space="preserve">本次私有接受包</t>
  </si>
  <si>
    <t xml:space="preserve">本次发布状态</t>
  </si>
  <si>
    <t xml:space="preserve">网站v127／索引v103已回验</t>
  </si>
  <si>
    <t xml:space="preserve">文件</t>
  </si>
  <si>
    <t xml:space="preserve">对实际Git字节验证；本次新物理恢复0，不继承历史实际恢复。</t>
  </si>
  <si>
    <r>
      <rPr>
        <sz val="11"/>
        <color rgb="FF20334A"/>
        <rFont val="Arial"/>
        <family val="2"/>
        <charset val="1"/>
      </rPr>
      <t xml:space="preserve">813</t>
    </r>
    <r>
      <rPr>
        <sz val="11"/>
        <color rgb="FF20334A"/>
        <rFont val="Noto Sans CJK SC"/>
        <family val="2"/>
      </rPr>
      <t xml:space="preserve">列／</t>
    </r>
    <r>
      <rPr>
        <sz val="11"/>
        <color rgb="FF20334A"/>
        <rFont val="Arial"/>
        <family val="2"/>
        <charset val="1"/>
      </rPr>
      <t xml:space="preserve">120</t>
    </r>
    <r>
      <rPr>
        <sz val="11"/>
        <color rgb="FF20334A"/>
        <rFont val="Noto Sans CJK SC"/>
        <family val="2"/>
      </rPr>
      <t xml:space="preserve">格变更</t>
    </r>
  </si>
  <si>
    <t xml:space="preserve">保留既有架构及历史差异，不宣称CSV／JSON普遍等价。</t>
  </si>
  <si>
    <t xml:space="preserve">本次归档成员</t>
  </si>
  <si>
    <t xml:space="preserve">真实远端ZIP与成员及历史payload保留由终态证明。</t>
  </si>
  <si>
    <t xml:space="preserve">角色90身份held</t>
  </si>
  <si>
    <t xml:space="preserve">四MY已full但身份held，另有一KH未full且held；不同于全站隔离51。</t>
  </si>
  <si>
    <t xml:space="preserve">B26五MY中的身份held</t>
  </si>
  <si>
    <t xml:space="preserve">仅005主身份获限定接受；001至004身份问题仍在。</t>
  </si>
  <si>
    <t xml:space="preserve">KH未全审且held</t>
  </si>
  <si>
    <t xml:space="preserve">保持准确语言、身份与组件缺口；未预认新阅读。</t>
  </si>
  <si>
    <t xml:space="preserve">MY已full但身份held</t>
  </si>
  <si>
    <t xml:space="preserve">全文不自动解除身份held或正文问题。</t>
  </si>
  <si>
    <t xml:space="preserve">阶段边界</t>
  </si>
  <si>
    <r>
      <rPr>
        <sz val="11"/>
        <color rgb="FF20334A"/>
        <rFont val="Noto Sans CJK SC"/>
        <family val="2"/>
      </rPr>
      <t xml:space="preserve">固定</t>
    </r>
    <r>
      <rPr>
        <sz val="11"/>
        <color rgb="FF20334A"/>
        <rFont val="Arial"/>
        <family val="2"/>
        <charset val="1"/>
      </rPr>
      <t xml:space="preserve">138</t>
    </r>
    <r>
      <rPr>
        <sz val="11"/>
        <color rgb="FF20334A"/>
        <rFont val="Noto Sans CJK SC"/>
        <family val="2"/>
      </rPr>
      <t xml:space="preserve">份原件</t>
    </r>
  </si>
  <si>
    <t xml:space="preserve">范围</t>
  </si>
  <si>
    <t xml:space="preserve">不称全市场完成；地区→准确产品／holder／版次→材料。</t>
  </si>
  <si>
    <t xml:space="preserve">官方联系</t>
  </si>
  <si>
    <t xml:space="preserve">未发送</t>
  </si>
  <si>
    <t xml:space="preserve">须明确发送批准及可用发件环境；此前readiness失败，不称等待保司回信。</t>
  </si>
  <si>
    <t xml:space="preserve">B28纠正保留</t>
  </si>
  <si>
    <r>
      <rPr>
        <sz val="11"/>
        <color rgb="FF20334A"/>
        <rFont val="Arial"/>
        <family val="2"/>
        <charset val="1"/>
      </rPr>
      <t xml:space="preserve">B24</t>
    </r>
    <r>
      <rPr>
        <sz val="11"/>
        <color rgb="FF20334A"/>
        <rFont val="Noto Sans CJK SC"/>
        <family val="2"/>
      </rPr>
      <t xml:space="preserve">当前</t>
    </r>
    <r>
      <rPr>
        <sz val="11"/>
        <color rgb="FF20334A"/>
        <rFont val="Arial"/>
        <family val="2"/>
        <charset val="1"/>
      </rPr>
      <t xml:space="preserve">3</t>
    </r>
    <r>
      <rPr>
        <sz val="11"/>
        <color rgb="FF20334A"/>
        <rFont val="Noto Sans CJK SC"/>
        <family val="2"/>
      </rPr>
      <t xml:space="preserve">／</t>
    </r>
    <r>
      <rPr>
        <sz val="11"/>
        <color rgb="FF20334A"/>
        <rFont val="Arial"/>
        <family val="2"/>
        <charset val="1"/>
      </rPr>
      <t xml:space="preserve">17</t>
    </r>
  </si>
  <si>
    <t xml:space="preserve">历史B24 2／18不改；012恢复verified及strict＋1不回滚。</t>
  </si>
  <si>
    <t xml:space="preserve">实际原138余项</t>
  </si>
  <si>
    <t xml:space="preserve">按本次实际索引逐SHA对账；旧计划17仅作历史，不以条件数代替。</t>
  </si>
  <si>
    <t xml:space="preserve">B27转换范围</t>
  </si>
  <si>
    <r>
      <rPr>
        <sz val="11"/>
        <color rgb="FF20334A"/>
        <rFont val="Arial"/>
        <family val="2"/>
        <charset val="1"/>
      </rPr>
      <t xml:space="preserve">full</t>
    </r>
    <r>
      <rPr>
        <sz val="11"/>
        <color rgb="FF20334A"/>
        <rFont val="Noto Sans CJK SC"/>
        <family val="2"/>
      </rPr>
      <t xml:space="preserve">＋</t>
    </r>
    <r>
      <rPr>
        <sz val="11"/>
        <color rgb="FF20334A"/>
        <rFont val="Arial"/>
        <family val="2"/>
        <charset val="1"/>
      </rPr>
      <t xml:space="preserve">1</t>
    </r>
    <r>
      <rPr>
        <sz val="11"/>
        <color rgb="FF20334A"/>
        <rFont val="Noto Sans CJK SC"/>
        <family val="2"/>
      </rPr>
      <t xml:space="preserve">／</t>
    </r>
    <r>
      <rPr>
        <sz val="11"/>
        <color rgb="FF20334A"/>
        <rFont val="Arial"/>
        <family val="2"/>
        <charset val="1"/>
      </rPr>
      <t xml:space="preserve">partial−1</t>
    </r>
  </si>
  <si>
    <t xml:space="preserve">18现存页完整BI／EN核对；仍needs_review、primary0、strict0。</t>
  </si>
  <si>
    <r>
      <rPr>
        <b val="true"/>
        <sz val="11"/>
        <color rgb="FFFFFFFF"/>
        <rFont val="Noto Sans CJK SC"/>
        <family val="2"/>
        <charset val="1"/>
      </rPr>
      <t xml:space="preserve">任务</t>
    </r>
    <r>
      <rPr>
        <b val="true"/>
        <sz val="11"/>
        <color rgb="FFFFFFFF"/>
        <rFont val="Arial"/>
        <family val="0"/>
        <charset val="1"/>
      </rPr>
      <t xml:space="preserve">ID</t>
    </r>
  </si>
  <si>
    <t xml:space="preserve">地区</t>
  </si>
  <si>
    <t xml:space="preserve">处理状态</t>
  </si>
  <si>
    <t xml:space="preserve">本批结论</t>
  </si>
  <si>
    <t xml:space="preserve">新支持材料</t>
  </si>
  <si>
    <t xml:space="preserve">现存页全文核验</t>
  </si>
  <si>
    <t xml:space="preserve">严格新增</t>
  </si>
  <si>
    <t xml:space="preserve">缺口关闭</t>
  </si>
  <si>
    <t xml:space="preserve">复核状态</t>
  </si>
  <si>
    <t xml:space="preserve">复核证据</t>
  </si>
  <si>
    <t xml:space="preserve">处理完成日</t>
  </si>
  <si>
    <t xml:space="preserve">后续动作</t>
  </si>
  <si>
    <t xml:space="preserve">验收判定</t>
  </si>
  <si>
    <t xml:space="preserve">保司</t>
  </si>
  <si>
    <t xml:space="preserve">新增全文页数</t>
  </si>
  <si>
    <t xml:space="preserve">新增主文角色</t>
  </si>
  <si>
    <t xml:space="preserve">范围匹配</t>
  </si>
  <si>
    <t xml:space="preserve">内容状态</t>
  </si>
  <si>
    <t xml:space="preserve">文件角色／审读范围</t>
  </si>
  <si>
    <t xml:space="preserve">产品主文可得性</t>
  </si>
  <si>
    <t xml:space="preserve">当前公开合同包</t>
  </si>
  <si>
    <t xml:space="preserve">来源证据类型</t>
  </si>
  <si>
    <t xml:space="preserve">重要边界</t>
  </si>
  <si>
    <r>
      <rPr>
        <b val="true"/>
        <sz val="11"/>
        <color rgb="FFFFFFFF"/>
        <rFont val="Noto Sans CJK SC"/>
        <family val="2"/>
        <charset val="1"/>
      </rPr>
      <t xml:space="preserve">原始文件／族</t>
    </r>
    <r>
      <rPr>
        <b val="true"/>
        <sz val="11"/>
        <color rgb="FFFFFFFF"/>
        <rFont val="Arial"/>
        <family val="2"/>
        <charset val="1"/>
      </rPr>
      <t xml:space="preserve">ID</t>
    </r>
  </si>
  <si>
    <t xml:space="preserve">D1-HK-001</t>
  </si>
  <si>
    <t xml:space="preserve">香港</t>
  </si>
  <si>
    <t xml:space="preserve">已复核</t>
  </si>
  <si>
    <r>
      <rPr>
        <sz val="11"/>
        <color rgb="FF20334A"/>
        <rFont val="Noto Sans CJK SC"/>
        <family val="2"/>
        <charset val="1"/>
      </rPr>
      <t xml:space="preserve">官方页及产品册集中库只见宣传册；</t>
    </r>
    <r>
      <rPr>
        <sz val="11"/>
        <color rgb="FF20334A"/>
        <rFont val="Arial"/>
        <family val="0"/>
        <charset val="1"/>
      </rPr>
      <t xml:space="preserve">BEA</t>
    </r>
    <r>
      <rPr>
        <sz val="11"/>
        <color rgb="FF20334A"/>
        <rFont val="Noto Sans CJK SC"/>
        <family val="2"/>
        <charset val="1"/>
      </rPr>
      <t xml:space="preserve">专属产品页仅链接产品册。</t>
    </r>
    <r>
      <rPr>
        <sz val="11"/>
        <color rgb="FF20334A"/>
        <rFont val="Arial"/>
        <family val="0"/>
        <charset val="1"/>
      </rPr>
      <t xml:space="preserve">BEA</t>
    </r>
    <r>
      <rPr>
        <sz val="11"/>
        <color rgb="FF20334A"/>
        <rFont val="Noto Sans CJK SC"/>
        <family val="2"/>
        <charset val="1"/>
      </rPr>
      <t xml:space="preserve">册第</t>
    </r>
    <r>
      <rPr>
        <sz val="11"/>
        <color rgb="FF20334A"/>
        <rFont val="Arial"/>
        <family val="0"/>
        <charset val="1"/>
      </rPr>
      <t xml:space="preserve">16</t>
    </r>
    <r>
      <rPr>
        <sz val="11"/>
        <color rgb="FF20334A"/>
        <rFont val="Noto Sans CJK SC"/>
        <family val="2"/>
        <charset val="1"/>
      </rPr>
      <t xml:space="preserve">物理页排除合同角色，第</t>
    </r>
    <r>
      <rPr>
        <sz val="11"/>
        <color rgb="FF20334A"/>
        <rFont val="Arial"/>
        <family val="0"/>
        <charset val="1"/>
      </rPr>
      <t xml:space="preserve">23</t>
    </r>
    <r>
      <rPr>
        <sz val="11"/>
        <color rgb="FF20334A"/>
        <rFont val="Noto Sans CJK SC"/>
        <family val="2"/>
        <charset val="1"/>
      </rPr>
      <t xml:space="preserve">页列银行版本。</t>
    </r>
    <r>
      <rPr>
        <sz val="11"/>
        <color rgb="FF20334A"/>
        <rFont val="Arial"/>
        <family val="0"/>
        <charset val="1"/>
      </rPr>
      <t xml:space="preserve">10Life</t>
    </r>
    <r>
      <rPr>
        <sz val="11"/>
        <color rgb="FF20334A"/>
        <rFont val="Noto Sans CJK SC"/>
        <family val="2"/>
        <charset val="1"/>
      </rPr>
      <t xml:space="preserve">具体场景页未见文档下载链接。</t>
    </r>
  </si>
  <si>
    <t xml:space="preserve">通过</t>
  </si>
  <si>
    <r>
      <rPr>
        <sz val="11"/>
        <color rgb="FF20334A"/>
        <rFont val="Noto Sans CJK SC"/>
        <family val="2"/>
        <charset val="1"/>
      </rPr>
      <t xml:space="preserve">公开路线及支持件角色</t>
    </r>
    <r>
      <rPr>
        <sz val="11"/>
        <color rgb="FF20334A"/>
        <rFont val="Arial"/>
        <family val="0"/>
        <charset val="1"/>
      </rPr>
      <t xml:space="preserve">/SHA</t>
    </r>
    <r>
      <rPr>
        <sz val="11"/>
        <color rgb="FF20334A"/>
        <rFont val="Noto Sans CJK SC"/>
        <family val="2"/>
        <charset val="1"/>
      </rPr>
      <t xml:space="preserve">已复核；准确既有产品下正式新增</t>
    </r>
    <r>
      <rPr>
        <sz val="11"/>
        <color rgb="FF20334A"/>
        <rFont val="Arial"/>
        <family val="0"/>
        <charset val="1"/>
      </rPr>
      <t xml:space="preserve">1</t>
    </r>
    <r>
      <rPr>
        <sz val="11"/>
        <color rgb="FF20334A"/>
        <rFont val="Noto Sans CJK SC"/>
        <family val="2"/>
        <charset val="1"/>
      </rPr>
      <t xml:space="preserve">份银行宣传册（未全文），完整主文仍未取得，现存页全文</t>
    </r>
    <r>
      <rPr>
        <sz val="11"/>
        <color rgb="FF20334A"/>
        <rFont val="Arial"/>
        <family val="0"/>
        <charset val="1"/>
      </rPr>
      <t xml:space="preserve">/</t>
    </r>
    <r>
      <rPr>
        <sz val="11"/>
        <color rgb="FF20334A"/>
        <rFont val="Noto Sans CJK SC"/>
        <family val="2"/>
        <charset val="1"/>
      </rPr>
      <t xml:space="preserve">严格通过</t>
    </r>
    <r>
      <rPr>
        <sz val="11"/>
        <color rgb="FF20334A"/>
        <rFont val="Arial"/>
        <family val="0"/>
        <charset val="1"/>
      </rPr>
      <t xml:space="preserve">/</t>
    </r>
    <r>
      <rPr>
        <sz val="11"/>
        <color rgb="FF20334A"/>
        <rFont val="Noto Sans CJK SC"/>
        <family val="2"/>
        <charset val="1"/>
      </rPr>
      <t xml:space="preserve">缺口关闭增量</t>
    </r>
    <r>
      <rPr>
        <sz val="11"/>
        <color rgb="FF20334A"/>
        <rFont val="Arial"/>
        <family val="0"/>
        <charset val="1"/>
      </rPr>
      <t xml:space="preserve">0</t>
    </r>
    <r>
      <rPr>
        <sz val="11"/>
        <color rgb="FF20334A"/>
        <rFont val="Noto Sans CJK SC"/>
        <family val="2"/>
        <charset val="1"/>
      </rPr>
      <t xml:space="preserve">。</t>
    </r>
  </si>
  <si>
    <r>
      <rPr>
        <sz val="11"/>
        <color rgb="FF20334A"/>
        <rFont val="Noto Sans CJK SC"/>
        <family val="2"/>
        <charset val="1"/>
      </rPr>
      <t xml:space="preserve">取得用户提供的匿名官方保单样本，或经另外明确授权后向</t>
    </r>
    <r>
      <rPr>
        <sz val="11"/>
        <color rgb="FF20334A"/>
        <rFont val="Arial"/>
        <family val="0"/>
        <charset val="1"/>
      </rPr>
      <t xml:space="preserve">AIA</t>
    </r>
    <r>
      <rPr>
        <sz val="11"/>
        <color rgb="FF20334A"/>
        <rFont val="Noto Sans CJK SC"/>
        <family val="2"/>
        <charset val="1"/>
      </rPr>
      <t xml:space="preserve">索取准确版次样本；若出现独立公开同族主文</t>
    </r>
    <r>
      <rPr>
        <sz val="11"/>
        <color rgb="FF20334A"/>
        <rFont val="Arial"/>
        <family val="0"/>
        <charset val="1"/>
      </rPr>
      <t xml:space="preserve">URL</t>
    </r>
    <r>
      <rPr>
        <sz val="11"/>
        <color rgb="FF20334A"/>
        <rFont val="Noto Sans CJK SC"/>
        <family val="2"/>
        <charset val="1"/>
      </rPr>
      <t xml:space="preserve">可继续定点查验。</t>
    </r>
  </si>
  <si>
    <t xml:space="preserve">D1</t>
  </si>
  <si>
    <r>
      <rPr>
        <sz val="11"/>
        <color rgb="FF20334A"/>
        <rFont val="Arial"/>
        <family val="2"/>
        <charset val="1"/>
      </rPr>
      <t xml:space="preserve">AIA </t>
    </r>
    <r>
      <rPr>
        <sz val="11"/>
        <color rgb="FF20334A"/>
        <rFont val="Noto Sans CJK SC"/>
        <family val="2"/>
        <charset val="1"/>
      </rPr>
      <t xml:space="preserve">友邦香港</t>
    </r>
  </si>
  <si>
    <t xml:space="preserve">保留首批内容结论，不代表产品齐备</t>
  </si>
  <si>
    <r>
      <rPr>
        <sz val="11"/>
        <color rgb="FF20334A"/>
        <rFont val="Noto Sans CJK SC"/>
        <family val="2"/>
        <charset val="1"/>
      </rPr>
      <t xml:space="preserve">沿用</t>
    </r>
    <r>
      <rPr>
        <sz val="11"/>
        <color rgb="FF20334A"/>
        <rFont val="Arial"/>
        <family val="2"/>
        <charset val="1"/>
      </rPr>
      <t xml:space="preserve">D1/B2</t>
    </r>
    <r>
      <rPr>
        <sz val="11"/>
        <color rgb="FF20334A"/>
        <rFont val="Noto Sans CJK SC"/>
        <family val="2"/>
        <charset val="1"/>
      </rPr>
      <t xml:space="preserve">已验收结论</t>
    </r>
  </si>
  <si>
    <r>
      <rPr>
        <sz val="11"/>
        <color rgb="FF20334A"/>
        <rFont val="Noto Sans CJK SC"/>
        <family val="2"/>
        <charset val="1"/>
      </rPr>
      <t xml:space="preserve">沿用</t>
    </r>
    <r>
      <rPr>
        <sz val="11"/>
        <color rgb="FF20334A"/>
        <rFont val="Arial"/>
        <family val="2"/>
        <charset val="1"/>
      </rPr>
      <t xml:space="preserve">D1/B2</t>
    </r>
    <r>
      <rPr>
        <sz val="11"/>
        <color rgb="FF20334A"/>
        <rFont val="Noto Sans CJK SC"/>
        <family val="2"/>
        <charset val="1"/>
      </rPr>
      <t xml:space="preserve">结论，不新增推断</t>
    </r>
  </si>
  <si>
    <t xml:space="preserve">未认定齐备</t>
  </si>
  <si>
    <t xml:space="preserve">未由本次更新确认</t>
  </si>
  <si>
    <r>
      <rPr>
        <sz val="11"/>
        <color rgb="FF20334A"/>
        <rFont val="Arial"/>
        <family val="2"/>
        <charset val="1"/>
      </rPr>
      <t xml:space="preserve">D1/B2</t>
    </r>
    <r>
      <rPr>
        <sz val="11"/>
        <color rgb="FF20334A"/>
        <rFont val="Noto Sans CJK SC"/>
        <family val="2"/>
        <charset val="1"/>
      </rPr>
      <t xml:space="preserve">冻结验收历史</t>
    </r>
  </si>
  <si>
    <t xml:space="preserve">新增列仅分层说明；原有任务结论与来源不覆盖。</t>
  </si>
  <si>
    <t xml:space="preserve">aia-simply-love-encore-5</t>
  </si>
  <si>
    <t xml:space="preserve">D1-HK-002</t>
  </si>
  <si>
    <r>
      <rPr>
        <sz val="11"/>
        <color rgb="FF20334A"/>
        <rFont val="Noto Sans CJK SC"/>
        <family val="2"/>
        <charset val="1"/>
      </rPr>
      <t xml:space="preserve">官网只提供产品册和</t>
    </r>
    <r>
      <rPr>
        <sz val="11"/>
        <color rgb="FF20334A"/>
        <rFont val="Arial"/>
        <family val="0"/>
        <charset val="1"/>
      </rPr>
      <t xml:space="preserve">Policy Services</t>
    </r>
    <r>
      <rPr>
        <sz val="11"/>
        <color rgb="FF20334A"/>
        <rFont val="Noto Sans CJK SC"/>
        <family val="2"/>
        <charset val="1"/>
      </rPr>
      <t xml:space="preserve">册；表格库未见本族主文。服务册的具体服务条款不能当整份主合同，</t>
    </r>
    <r>
      <rPr>
        <sz val="11"/>
        <color rgb="FF20334A"/>
        <rFont val="Arial"/>
        <family val="0"/>
        <charset val="1"/>
      </rPr>
      <t xml:space="preserve">SHA</t>
    </r>
    <r>
      <rPr>
        <sz val="11"/>
        <color rgb="FF20334A"/>
        <rFont val="Noto Sans CJK SC"/>
        <family val="2"/>
        <charset val="1"/>
      </rPr>
      <t xml:space="preserve">与基线相同。</t>
    </r>
    <r>
      <rPr>
        <sz val="11"/>
        <color rgb="FF20334A"/>
        <rFont val="Arial"/>
        <family val="0"/>
        <charset val="1"/>
      </rPr>
      <t xml:space="preserve">10Life</t>
    </r>
    <r>
      <rPr>
        <sz val="11"/>
        <color rgb="FF20334A"/>
        <rFont val="Noto Sans CJK SC"/>
        <family val="2"/>
        <charset val="1"/>
      </rPr>
      <t xml:space="preserve">命中</t>
    </r>
    <r>
      <rPr>
        <sz val="11"/>
        <color rgb="FF20334A"/>
        <rFont val="Arial"/>
        <family val="0"/>
        <charset val="1"/>
      </rPr>
      <t xml:space="preserve">Elite</t>
    </r>
    <r>
      <rPr>
        <sz val="11"/>
        <color rgb="FF20334A"/>
        <rFont val="Noto Sans CJK SC"/>
        <family val="2"/>
        <charset val="1"/>
      </rPr>
      <t xml:space="preserve">场景标签，不将其当独立合同版次或泛化覆盖。另查新发现的</t>
    </r>
    <r>
      <rPr>
        <sz val="11"/>
        <color rgb="FF20334A"/>
        <rFont val="Arial"/>
        <family val="0"/>
        <charset val="1"/>
      </rPr>
      <t xml:space="preserve">DBS</t>
    </r>
    <r>
      <rPr>
        <sz val="11"/>
        <color rgb="FF20334A"/>
        <rFont val="Noto Sans CJK SC"/>
        <family val="2"/>
        <charset val="1"/>
      </rPr>
      <t xml:space="preserve">独立产品页，普通访问返回</t>
    </r>
    <r>
      <rPr>
        <sz val="11"/>
        <color rgb="FF20334A"/>
        <rFont val="Arial"/>
        <family val="0"/>
        <charset val="1"/>
      </rPr>
      <t xml:space="preserve">403</t>
    </r>
    <r>
      <rPr>
        <sz val="11"/>
        <color rgb="FF20334A"/>
        <rFont val="Noto Sans CJK SC"/>
        <family val="2"/>
        <charset val="1"/>
      </rPr>
      <t xml:space="preserve">后停止；不表示所有公开来源已穷尽。</t>
    </r>
  </si>
  <si>
    <r>
      <rPr>
        <sz val="11"/>
        <color rgb="FF20334A"/>
        <rFont val="Noto Sans CJK SC"/>
        <family val="2"/>
        <charset val="1"/>
      </rPr>
      <t xml:space="preserve">公开路线处理证据及支持件角色</t>
    </r>
    <r>
      <rPr>
        <sz val="11"/>
        <color rgb="FF20334A"/>
        <rFont val="Arial"/>
        <family val="0"/>
        <charset val="1"/>
      </rPr>
      <t xml:space="preserve">/SHA</t>
    </r>
    <r>
      <rPr>
        <sz val="11"/>
        <color rgb="FF20334A"/>
        <rFont val="Noto Sans CJK SC"/>
        <family val="2"/>
        <charset val="1"/>
      </rPr>
      <t xml:space="preserve">已复核；完整主文未取得，未补齐产品，正式原件／现存页全审／严格通过增量均</t>
    </r>
    <r>
      <rPr>
        <sz val="11"/>
        <color rgb="FF20334A"/>
        <rFont val="Arial"/>
        <family val="0"/>
        <charset val="1"/>
      </rPr>
      <t xml:space="preserve">0</t>
    </r>
    <r>
      <rPr>
        <sz val="11"/>
        <color rgb="FF20334A"/>
        <rFont val="Noto Sans CJK SC"/>
        <family val="2"/>
        <charset val="1"/>
      </rPr>
      <t xml:space="preserve">。</t>
    </r>
  </si>
  <si>
    <t xml:space="preserve">保持该受限入口停止。仅在获得新的公开主文入口或明确授权索取准确官方样本后继续。</t>
  </si>
  <si>
    <r>
      <rPr>
        <sz val="11"/>
        <color rgb="FF20334A"/>
        <rFont val="Arial"/>
        <family val="2"/>
        <charset val="1"/>
      </rPr>
      <t xml:space="preserve">Manulife </t>
    </r>
    <r>
      <rPr>
        <sz val="11"/>
        <color rgb="FF20334A"/>
        <rFont val="Noto Sans CJK SC"/>
        <family val="2"/>
        <charset val="1"/>
      </rPr>
      <t xml:space="preserve">宏利香港</t>
    </r>
  </si>
  <si>
    <t xml:space="preserve">manulife-goldenstart</t>
  </si>
  <si>
    <t xml:space="preserve">D1-HK-003</t>
  </si>
  <si>
    <r>
      <rPr>
        <sz val="11"/>
        <color rgb="FF20334A"/>
        <rFont val="Noto Sans CJK SC"/>
        <family val="2"/>
        <charset val="1"/>
      </rPr>
      <t xml:space="preserve">中英官网确认产品名、承保主体及样本须另索取；下载库仅服务</t>
    </r>
    <r>
      <rPr>
        <sz val="11"/>
        <color rgb="FF20334A"/>
        <rFont val="Arial"/>
        <family val="0"/>
        <charset val="1"/>
      </rPr>
      <t xml:space="preserve">/</t>
    </r>
    <r>
      <rPr>
        <sz val="11"/>
        <color rgb="FF20334A"/>
        <rFont val="Noto Sans CJK SC"/>
        <family val="2"/>
        <charset val="1"/>
      </rPr>
      <t xml:space="preserve">理赔表，未见本族主文。复用昨日</t>
    </r>
    <r>
      <rPr>
        <sz val="11"/>
        <color rgb="FF20334A"/>
        <rFont val="Arial"/>
        <family val="0"/>
        <charset val="1"/>
      </rPr>
      <t xml:space="preserve">SC</t>
    </r>
    <r>
      <rPr>
        <sz val="11"/>
        <color rgb="FF20334A"/>
        <rFont val="Noto Sans CJK SC"/>
        <family val="2"/>
        <charset val="1"/>
      </rPr>
      <t xml:space="preserve">目录定点定位本族册链接，今日取得</t>
    </r>
    <r>
      <rPr>
        <sz val="11"/>
        <color rgb="FF20334A"/>
        <rFont val="Arial"/>
        <family val="0"/>
        <charset val="1"/>
      </rPr>
      <t xml:space="preserve">48</t>
    </r>
    <r>
      <rPr>
        <sz val="11"/>
        <color rgb="FF20334A"/>
        <rFont val="Noto Sans CJK SC"/>
        <family val="2"/>
        <charset val="1"/>
      </rPr>
      <t xml:space="preserve">物理页银行册；鷹宇公开介绍未见主文附件。</t>
    </r>
  </si>
  <si>
    <r>
      <rPr>
        <sz val="11"/>
        <color rgb="FF20334A"/>
        <rFont val="Noto Sans CJK SC"/>
        <family val="2"/>
        <charset val="1"/>
      </rPr>
      <t xml:space="preserve">取得准确</t>
    </r>
    <r>
      <rPr>
        <sz val="11"/>
        <color rgb="FF20334A"/>
        <rFont val="Arial"/>
        <family val="0"/>
        <charset val="1"/>
      </rPr>
      <t xml:space="preserve">PHOR</t>
    </r>
    <r>
      <rPr>
        <sz val="11"/>
        <color rgb="FF20334A"/>
        <rFont val="Noto Sans CJK SC"/>
        <family val="2"/>
        <charset val="1"/>
      </rPr>
      <t xml:space="preserve">版次的官方匿名保单样本，或另外明确授权向</t>
    </r>
    <r>
      <rPr>
        <sz val="11"/>
        <color rgb="FF20334A"/>
        <rFont val="Arial"/>
        <family val="0"/>
        <charset val="1"/>
      </rPr>
      <t xml:space="preserve">Prudential</t>
    </r>
    <r>
      <rPr>
        <sz val="11"/>
        <color rgb="FF20334A"/>
        <rFont val="Noto Sans CJK SC"/>
        <family val="2"/>
        <charset val="1"/>
      </rPr>
      <t xml:space="preserve">索取；保留香港与澳门版本隔离。</t>
    </r>
  </si>
  <si>
    <r>
      <rPr>
        <sz val="11"/>
        <color rgb="FF20334A"/>
        <rFont val="Arial"/>
        <family val="2"/>
        <charset val="1"/>
      </rPr>
      <t xml:space="preserve">Prudential </t>
    </r>
    <r>
      <rPr>
        <sz val="11"/>
        <color rgb="FF20334A"/>
        <rFont val="Noto Sans CJK SC"/>
        <family val="2"/>
        <charset val="1"/>
      </rPr>
      <t xml:space="preserve">保诚香港</t>
    </r>
  </si>
  <si>
    <t xml:space="preserve">prudential-prime-horizon-insurance-plan</t>
  </si>
  <si>
    <t xml:space="preserve">D1-HK-004</t>
  </si>
  <si>
    <r>
      <rPr>
        <sz val="11"/>
        <color rgb="FF20334A"/>
        <rFont val="Noto Sans CJK SC"/>
        <family val="2"/>
        <charset val="1"/>
      </rPr>
      <t xml:space="preserve">官网及</t>
    </r>
    <r>
      <rPr>
        <sz val="11"/>
        <color rgb="FF20334A"/>
        <rFont val="Arial"/>
        <family val="0"/>
        <charset val="1"/>
      </rPr>
      <t xml:space="preserve">Find a form</t>
    </r>
    <r>
      <rPr>
        <sz val="11"/>
        <color rgb="FF20334A"/>
        <rFont val="Noto Sans CJK SC"/>
        <family val="2"/>
        <charset val="1"/>
      </rPr>
      <t xml:space="preserve">未见本族主文；大新专页只提供产品册；本地公开介绍链接亦为产品册。大新册第</t>
    </r>
    <r>
      <rPr>
        <sz val="11"/>
        <color rgb="FF20334A"/>
        <rFont val="Arial"/>
        <family val="0"/>
        <charset val="1"/>
      </rPr>
      <t xml:space="preserve">23</t>
    </r>
    <r>
      <rPr>
        <sz val="11"/>
        <color rgb="FF20334A"/>
        <rFont val="Noto Sans CJK SC"/>
        <family val="2"/>
        <charset val="1"/>
      </rPr>
      <t xml:space="preserve">页说明非保险合同且样本应要求提供。</t>
    </r>
  </si>
  <si>
    <r>
      <rPr>
        <sz val="11"/>
        <color rgb="FF20334A"/>
        <rFont val="Noto Sans CJK SC"/>
        <family val="2"/>
        <charset val="1"/>
      </rPr>
      <t xml:space="preserve">取得</t>
    </r>
    <r>
      <rPr>
        <sz val="11"/>
        <color rgb="FF20334A"/>
        <rFont val="Arial"/>
        <family val="0"/>
        <charset val="1"/>
      </rPr>
      <t xml:space="preserve">Sun Life</t>
    </r>
    <r>
      <rPr>
        <sz val="11"/>
        <color rgb="FF20334A"/>
        <rFont val="Noto Sans CJK SC"/>
        <family val="2"/>
        <charset val="1"/>
      </rPr>
      <t xml:space="preserve">发出的匿名保单文件样本，或另外明确授权索取；当前公开册不能代替准确合同版本。</t>
    </r>
  </si>
  <si>
    <r>
      <rPr>
        <sz val="11"/>
        <color rgb="FF20334A"/>
        <rFont val="Arial"/>
        <family val="2"/>
        <charset val="1"/>
      </rPr>
      <t xml:space="preserve">Sun Life </t>
    </r>
    <r>
      <rPr>
        <sz val="11"/>
        <color rgb="FF20334A"/>
        <rFont val="Noto Sans CJK SC"/>
        <family val="2"/>
        <charset val="1"/>
      </rPr>
      <t xml:space="preserve">永明香港</t>
    </r>
  </si>
  <si>
    <t xml:space="preserve">sunlife-royalfortune</t>
  </si>
  <si>
    <t xml:space="preserve">D1-SG-001</t>
  </si>
  <si>
    <t xml:space="preserve">新加坡</t>
  </si>
  <si>
    <r>
      <rPr>
        <sz val="11"/>
        <color rgb="FF20334A"/>
        <rFont val="Noto Sans CJK SC"/>
        <family val="2"/>
        <charset val="1"/>
      </rPr>
      <t xml:space="preserve">现行官方目录、</t>
    </r>
    <r>
      <rPr>
        <sz val="11"/>
        <color rgb="FF20334A"/>
        <rFont val="Arial"/>
        <family val="0"/>
        <charset val="1"/>
      </rPr>
      <t xml:space="preserve">SingSaver</t>
    </r>
    <r>
      <rPr>
        <sz val="11"/>
        <color rgb="FF20334A"/>
        <rFont val="Noto Sans CJK SC"/>
        <family val="2"/>
        <charset val="1"/>
      </rPr>
      <t xml:space="preserve">与</t>
    </r>
    <r>
      <rPr>
        <sz val="11"/>
        <color rgb="FF20334A"/>
        <rFont val="Arial"/>
        <family val="0"/>
        <charset val="1"/>
      </rPr>
      <t xml:space="preserve">Marsh</t>
    </r>
    <r>
      <rPr>
        <sz val="11"/>
        <color rgb="FF20334A"/>
        <rFont val="Noto Sans CJK SC"/>
        <family val="2"/>
        <charset val="1"/>
      </rPr>
      <t xml:space="preserve">公开销售页均核过。</t>
    </r>
    <r>
      <rPr>
        <sz val="11"/>
        <color rgb="FF20334A"/>
        <rFont val="Arial"/>
        <family val="0"/>
        <charset val="1"/>
      </rPr>
      <t xml:space="preserve">SingSaver</t>
    </r>
    <r>
      <rPr>
        <sz val="11"/>
        <color rgb="FF20334A"/>
        <rFont val="Noto Sans CJK SC"/>
        <family val="2"/>
        <charset val="1"/>
      </rPr>
      <t xml:space="preserve">当前链接所得</t>
    </r>
    <r>
      <rPr>
        <sz val="11"/>
        <color rgb="FF20334A"/>
        <rFont val="Arial"/>
        <family val="0"/>
        <charset val="1"/>
      </rPr>
      <t xml:space="preserve">26</t>
    </r>
    <r>
      <rPr>
        <sz val="11"/>
        <color rgb="FF20334A"/>
        <rFont val="Noto Sans CJK SC"/>
        <family val="2"/>
        <charset val="1"/>
      </rPr>
      <t xml:space="preserve">页主文与既有</t>
    </r>
    <r>
      <rPr>
        <sz val="11"/>
        <color rgb="FF20334A"/>
        <rFont val="Arial"/>
        <family val="0"/>
        <charset val="1"/>
      </rPr>
      <t xml:space="preserve">2024</t>
    </r>
    <r>
      <rPr>
        <sz val="11"/>
        <color rgb="FF20334A"/>
        <rFont val="Noto Sans CJK SC"/>
        <family val="2"/>
        <charset val="1"/>
      </rPr>
      <t xml:space="preserve">基准原件同</t>
    </r>
    <r>
      <rPr>
        <sz val="11"/>
        <color rgb="FF20334A"/>
        <rFont val="Arial"/>
        <family val="0"/>
        <charset val="1"/>
      </rPr>
      <t xml:space="preserve">SHA</t>
    </r>
    <r>
      <rPr>
        <sz val="11"/>
        <color rgb="FF20334A"/>
        <rFont val="Noto Sans CJK SC"/>
        <family val="2"/>
        <charset val="1"/>
      </rPr>
      <t xml:space="preserve">；</t>
    </r>
    <r>
      <rPr>
        <sz val="11"/>
        <color rgb="FF20334A"/>
        <rFont val="Arial"/>
        <family val="0"/>
        <charset val="1"/>
      </rPr>
      <t xml:space="preserve">Marsh</t>
    </r>
    <r>
      <rPr>
        <sz val="11"/>
        <color rgb="FF20334A"/>
        <rFont val="Noto Sans CJK SC"/>
        <family val="2"/>
        <charset val="1"/>
      </rPr>
      <t xml:space="preserve">也链接同一官方主文。新增两条采用</t>
    </r>
    <r>
      <rPr>
        <sz val="11"/>
        <color rgb="FF20334A"/>
        <rFont val="Arial"/>
        <family val="0"/>
        <charset val="1"/>
      </rPr>
      <t xml:space="preserve">/</t>
    </r>
    <r>
      <rPr>
        <sz val="11"/>
        <color rgb="FF20334A"/>
        <rFont val="Noto Sans CJK SC"/>
        <family val="2"/>
        <charset val="1"/>
      </rPr>
      <t xml:space="preserve">渠道关系，不新增原件或全文；</t>
    </r>
    <r>
      <rPr>
        <sz val="11"/>
        <color rgb="FF20334A"/>
        <rFont val="Arial"/>
        <family val="0"/>
        <charset val="1"/>
      </rPr>
      <t xml:space="preserve">1026</t>
    </r>
    <r>
      <rPr>
        <sz val="11"/>
        <color rgb="FF20334A"/>
        <rFont val="Noto Sans CJK SC"/>
        <family val="2"/>
        <charset val="1"/>
      </rPr>
      <t xml:space="preserve">册</t>
    </r>
    <r>
      <rPr>
        <sz val="11"/>
        <color rgb="FF20334A"/>
        <rFont val="Arial"/>
        <family val="0"/>
        <charset val="1"/>
      </rPr>
      <t xml:space="preserve">40–48</t>
    </r>
    <r>
      <rPr>
        <sz val="11"/>
        <color rgb="FF20334A"/>
        <rFont val="Noto Sans CJK SC"/>
        <family val="2"/>
        <charset val="1"/>
      </rPr>
      <t xml:space="preserve">项</t>
    </r>
    <r>
      <rPr>
        <sz val="11"/>
        <color rgb="FF20334A"/>
        <rFont val="Arial"/>
        <family val="0"/>
        <charset val="1"/>
      </rPr>
      <t xml:space="preserve">COVID</t>
    </r>
    <r>
      <rPr>
        <sz val="11"/>
        <color rgb="FF20334A"/>
        <rFont val="Noto Sans CJK SC"/>
        <family val="2"/>
        <charset val="1"/>
      </rPr>
      <t xml:space="preserve">扩展仍未取得，合同包未齐。</t>
    </r>
  </si>
  <si>
    <r>
      <rPr>
        <sz val="11"/>
        <color rgb="FF20334A"/>
        <rFont val="Noto Sans CJK SC"/>
        <family val="2"/>
        <charset val="1"/>
      </rPr>
      <t xml:space="preserve">同</t>
    </r>
    <r>
      <rPr>
        <sz val="11"/>
        <color rgb="FF20334A"/>
        <rFont val="Arial"/>
        <family val="0"/>
        <charset val="1"/>
      </rPr>
      <t xml:space="preserve">SHA26</t>
    </r>
    <r>
      <rPr>
        <sz val="11"/>
        <color rgb="FF20334A"/>
        <rFont val="Noto Sans CJK SC"/>
        <family val="2"/>
        <charset val="1"/>
      </rPr>
      <t xml:space="preserve">页基准主文复用；新增</t>
    </r>
    <r>
      <rPr>
        <sz val="11"/>
        <color rgb="FF20334A"/>
        <rFont val="Arial"/>
        <family val="0"/>
        <charset val="1"/>
      </rPr>
      <t xml:space="preserve">2</t>
    </r>
    <r>
      <rPr>
        <sz val="11"/>
        <color rgb="FF20334A"/>
        <rFont val="Noto Sans CJK SC"/>
        <family val="2"/>
        <charset val="1"/>
      </rPr>
      <t xml:space="preserve">条渠道链接关系，</t>
    </r>
    <r>
      <rPr>
        <sz val="11"/>
        <color rgb="FF20334A"/>
        <rFont val="Arial"/>
        <family val="0"/>
        <charset val="1"/>
      </rPr>
      <t xml:space="preserve">COVID</t>
    </r>
    <r>
      <rPr>
        <sz val="11"/>
        <color rgb="FF20334A"/>
        <rFont val="Noto Sans CJK SC"/>
        <family val="2"/>
        <charset val="1"/>
      </rPr>
      <t xml:space="preserve">批单仍缺；正式原件／现存页全审／严格通过增量</t>
    </r>
    <r>
      <rPr>
        <sz val="11"/>
        <color rgb="FF20334A"/>
        <rFont val="Arial"/>
        <family val="0"/>
        <charset val="1"/>
      </rPr>
      <t xml:space="preserve">0</t>
    </r>
    <r>
      <rPr>
        <sz val="11"/>
        <color rgb="FF20334A"/>
        <rFont val="Noto Sans CJK SC"/>
        <family val="2"/>
        <charset val="1"/>
      </rPr>
      <t xml:space="preserve">。</t>
    </r>
  </si>
  <si>
    <r>
      <rPr>
        <sz val="11"/>
        <color rgb="FF20334A"/>
        <rFont val="Noto Sans CJK SC"/>
        <family val="2"/>
        <charset val="1"/>
      </rPr>
      <t xml:space="preserve">待用户提供或另行授权取得现行明确采用的</t>
    </r>
    <r>
      <rPr>
        <sz val="11"/>
        <color rgb="FF20334A"/>
        <rFont val="Arial"/>
        <family val="0"/>
        <charset val="1"/>
      </rPr>
      <t xml:space="preserve">COVID</t>
    </r>
    <r>
      <rPr>
        <sz val="11"/>
        <color rgb="FF20334A"/>
        <rFont val="Noto Sans CJK SC"/>
        <family val="2"/>
        <charset val="1"/>
      </rPr>
      <t xml:space="preserve">扩展</t>
    </r>
    <r>
      <rPr>
        <sz val="11"/>
        <color rgb="FF20334A"/>
        <rFont val="Arial"/>
        <family val="0"/>
        <charset val="1"/>
      </rPr>
      <t xml:space="preserve">/</t>
    </r>
    <r>
      <rPr>
        <sz val="11"/>
        <color rgb="FF20334A"/>
        <rFont val="Noto Sans CJK SC"/>
        <family val="2"/>
        <charset val="1"/>
      </rPr>
      <t xml:space="preserve">批单；不得用旧候选、宣传册或基础主文推定补齐。</t>
    </r>
  </si>
  <si>
    <t xml:space="preserve">Allied World Assurance Company, Ltd (Singapore Branch)</t>
  </si>
  <si>
    <t xml:space="preserve">SG-F-c279cfe77714176e</t>
  </si>
  <si>
    <t xml:space="preserve">D1-SG-002</t>
  </si>
  <si>
    <r>
      <rPr>
        <sz val="11"/>
        <color rgb="FF20334A"/>
        <rFont val="Noto Sans CJK SC"/>
        <family val="2"/>
        <charset val="1"/>
      </rPr>
      <t xml:space="preserve">当前官方页仍分别链接</t>
    </r>
    <r>
      <rPr>
        <sz val="11"/>
        <color rgb="FF20334A"/>
        <rFont val="Arial"/>
        <family val="0"/>
        <charset val="1"/>
      </rPr>
      <t xml:space="preserve">0326</t>
    </r>
    <r>
      <rPr>
        <sz val="11"/>
        <color rgb="FF20334A"/>
        <rFont val="Noto Sans CJK SC"/>
        <family val="2"/>
        <charset val="1"/>
      </rPr>
      <t xml:space="preserve">的</t>
    </r>
    <r>
      <rPr>
        <sz val="11"/>
        <color rgb="FF20334A"/>
        <rFont val="Arial"/>
        <family val="0"/>
        <charset val="1"/>
      </rPr>
      <t xml:space="preserve">360</t>
    </r>
    <r>
      <rPr>
        <sz val="11"/>
        <color rgb="FF20334A"/>
        <rFont val="Noto Sans CJK SC"/>
        <family val="2"/>
        <charset val="1"/>
      </rPr>
      <t xml:space="preserve">和</t>
    </r>
    <r>
      <rPr>
        <sz val="11"/>
        <color rgb="FF20334A"/>
        <rFont val="Arial"/>
        <family val="0"/>
        <charset val="1"/>
      </rPr>
      <t xml:space="preserve">Basic</t>
    </r>
    <r>
      <rPr>
        <sz val="11"/>
        <color rgb="FF20334A"/>
        <rFont val="Noto Sans CJK SC"/>
        <family val="2"/>
        <charset val="1"/>
      </rPr>
      <t xml:space="preserve">宣传册。既有</t>
    </r>
    <r>
      <rPr>
        <sz val="11"/>
        <color rgb="FF20334A"/>
        <rFont val="Arial"/>
        <family val="0"/>
        <charset val="1"/>
      </rPr>
      <t xml:space="preserve">360</t>
    </r>
    <r>
      <rPr>
        <sz val="11"/>
        <color rgb="FF20334A"/>
        <rFont val="Noto Sans CJK SC"/>
        <family val="2"/>
        <charset val="1"/>
      </rPr>
      <t xml:space="preserve">册四页无</t>
    </r>
    <r>
      <rPr>
        <sz val="11"/>
        <color rgb="FF20334A"/>
        <rFont val="Arial"/>
        <family val="0"/>
        <charset val="1"/>
      </rPr>
      <t xml:space="preserve">06/20</t>
    </r>
    <r>
      <rPr>
        <sz val="11"/>
        <color rgb="FF20334A"/>
        <rFont val="Noto Sans CJK SC"/>
        <family val="2"/>
        <charset val="1"/>
      </rPr>
      <t xml:space="preserve">准确主文链接或采用声明；名称、表列利益相似及官网资产可检索不等于版次采用。未找到替代主文或准确采用证据；</t>
    </r>
    <r>
      <rPr>
        <sz val="11"/>
        <color rgb="FF20334A"/>
        <rFont val="Arial"/>
        <family val="0"/>
        <charset val="1"/>
      </rPr>
      <t xml:space="preserve">360</t>
    </r>
    <r>
      <rPr>
        <sz val="11"/>
        <color rgb="FF20334A"/>
        <rFont val="Noto Sans CJK SC"/>
        <family val="2"/>
        <charset val="1"/>
      </rPr>
      <t xml:space="preserve">与</t>
    </r>
    <r>
      <rPr>
        <sz val="11"/>
        <color rgb="FF20334A"/>
        <rFont val="Arial"/>
        <family val="0"/>
        <charset val="1"/>
      </rPr>
      <t xml:space="preserve">Basic</t>
    </r>
    <r>
      <rPr>
        <sz val="11"/>
        <color rgb="FF20334A"/>
        <rFont val="Noto Sans CJK SC"/>
        <family val="2"/>
        <charset val="1"/>
      </rPr>
      <t xml:space="preserve">保持隔离。</t>
    </r>
  </si>
  <si>
    <r>
      <rPr>
        <sz val="11"/>
        <color rgb="FF20334A"/>
        <rFont val="Arial"/>
        <family val="0"/>
        <charset val="1"/>
      </rPr>
      <t xml:space="preserve">21</t>
    </r>
    <r>
      <rPr>
        <sz val="11"/>
        <color rgb="FF20334A"/>
        <rFont val="Noto Sans CJK SC"/>
        <family val="2"/>
        <charset val="1"/>
      </rPr>
      <t xml:space="preserve">页</t>
    </r>
    <r>
      <rPr>
        <sz val="11"/>
        <color rgb="FF20334A"/>
        <rFont val="Arial"/>
        <family val="0"/>
        <charset val="1"/>
      </rPr>
      <t xml:space="preserve">06/20</t>
    </r>
    <r>
      <rPr>
        <sz val="11"/>
        <color rgb="FF20334A"/>
        <rFont val="Noto Sans CJK SC"/>
        <family val="2"/>
        <charset val="1"/>
      </rPr>
      <t xml:space="preserve">既有主文复用；现行采用未证，</t>
    </r>
    <r>
      <rPr>
        <sz val="11"/>
        <color rgb="FF20334A"/>
        <rFont val="Arial"/>
        <family val="0"/>
        <charset val="1"/>
      </rPr>
      <t xml:space="preserve">Basic</t>
    </r>
    <r>
      <rPr>
        <sz val="11"/>
        <color rgb="FF20334A"/>
        <rFont val="Noto Sans CJK SC"/>
        <family val="2"/>
        <charset val="1"/>
      </rPr>
      <t xml:space="preserve">隔离；正式原件／现存页全审／严格通过增量</t>
    </r>
    <r>
      <rPr>
        <sz val="11"/>
        <color rgb="FF20334A"/>
        <rFont val="Arial"/>
        <family val="0"/>
        <charset val="1"/>
      </rPr>
      <t xml:space="preserve">0</t>
    </r>
    <r>
      <rPr>
        <sz val="11"/>
        <color rgb="FF20334A"/>
        <rFont val="Noto Sans CJK SC"/>
        <family val="2"/>
        <charset val="1"/>
      </rPr>
      <t xml:space="preserve">。</t>
    </r>
  </si>
  <si>
    <r>
      <rPr>
        <sz val="11"/>
        <color rgb="FF20334A"/>
        <rFont val="Noto Sans CJK SC"/>
        <family val="2"/>
        <charset val="1"/>
      </rPr>
      <t xml:space="preserve">待精确采用声明、现行主文包或独立</t>
    </r>
    <r>
      <rPr>
        <sz val="11"/>
        <color rgb="FF20334A"/>
        <rFont val="Arial"/>
        <family val="0"/>
        <charset val="1"/>
      </rPr>
      <t xml:space="preserve">Basic</t>
    </r>
    <r>
      <rPr>
        <sz val="11"/>
        <color rgb="FF20334A"/>
        <rFont val="Noto Sans CJK SC"/>
        <family val="2"/>
        <charset val="1"/>
      </rPr>
      <t xml:space="preserve">正文证据；现有</t>
    </r>
    <r>
      <rPr>
        <sz val="11"/>
        <color rgb="FF20334A"/>
        <rFont val="Arial"/>
        <family val="0"/>
        <charset val="1"/>
      </rPr>
      <t xml:space="preserve">360</t>
    </r>
    <r>
      <rPr>
        <sz val="11"/>
        <color rgb="FF20334A"/>
        <rFont val="Noto Sans CJK SC"/>
        <family val="2"/>
        <charset val="1"/>
      </rPr>
      <t xml:space="preserve">全文记录保留但不升级现行家族覆盖。</t>
    </r>
  </si>
  <si>
    <t xml:space="preserve">SG-F-14656bec56df8d86</t>
  </si>
  <si>
    <t xml:space="preserve">D1-SG-003</t>
  </si>
  <si>
    <r>
      <rPr>
        <sz val="11"/>
        <color rgb="FF20334A"/>
        <rFont val="Noto Sans CJK SC"/>
        <family val="2"/>
        <charset val="1"/>
      </rPr>
      <t xml:space="preserve">本地原件</t>
    </r>
    <r>
      <rPr>
        <sz val="11"/>
        <color rgb="FF20334A"/>
        <rFont val="Arial"/>
        <family val="0"/>
        <charset val="1"/>
      </rPr>
      <t xml:space="preserve">SHA</t>
    </r>
    <r>
      <rPr>
        <sz val="11"/>
        <color rgb="FF20334A"/>
        <rFont val="Noto Sans CJK SC"/>
        <family val="2"/>
        <charset val="1"/>
      </rPr>
      <t xml:space="preserve">复验一致，</t>
    </r>
    <r>
      <rPr>
        <sz val="11"/>
        <color rgb="FF20334A"/>
        <rFont val="Arial"/>
        <family val="0"/>
        <charset val="1"/>
      </rPr>
      <t xml:space="preserve">21</t>
    </r>
    <r>
      <rPr>
        <sz val="11"/>
        <color rgb="FF20334A"/>
        <rFont val="Noto Sans CJK SC"/>
        <family val="2"/>
        <charset val="1"/>
      </rPr>
      <t xml:space="preserve">物理页逐页页码与版式复核；正文</t>
    </r>
    <r>
      <rPr>
        <sz val="11"/>
        <color rgb="FF20334A"/>
        <rFont val="Arial"/>
        <family val="0"/>
        <charset val="1"/>
      </rPr>
      <t xml:space="preserve">2–20</t>
    </r>
    <r>
      <rPr>
        <sz val="11"/>
        <color rgb="FF20334A"/>
        <rFont val="Noto Sans CJK SC"/>
        <family val="2"/>
        <charset val="1"/>
      </rPr>
      <t xml:space="preserve">连续，</t>
    </r>
    <r>
      <rPr>
        <sz val="11"/>
        <color rgb="FF20334A"/>
        <rFont val="Arial"/>
        <family val="0"/>
        <charset val="1"/>
      </rPr>
      <t xml:space="preserve">34</t>
    </r>
    <r>
      <rPr>
        <sz val="11"/>
        <color rgb="FF20334A"/>
        <rFont val="Noto Sans CJK SC"/>
        <family val="2"/>
        <charset val="1"/>
      </rPr>
      <t xml:space="preserve">项目录定位均吻合，</t>
    </r>
    <r>
      <rPr>
        <sz val="11"/>
        <color rgb="FF20334A"/>
        <rFont val="Arial"/>
        <family val="0"/>
        <charset val="1"/>
      </rPr>
      <t xml:space="preserve">3.16</t>
    </r>
    <r>
      <rPr>
        <sz val="11"/>
        <color rgb="FF20334A"/>
        <rFont val="Noto Sans CJK SC"/>
        <family val="2"/>
        <charset val="1"/>
      </rPr>
      <t xml:space="preserve">投诉在</t>
    </r>
    <r>
      <rPr>
        <sz val="11"/>
        <color rgb="FF20334A"/>
        <rFont val="Arial"/>
        <family val="0"/>
        <charset val="1"/>
      </rPr>
      <t xml:space="preserve">20</t>
    </r>
    <r>
      <rPr>
        <sz val="11"/>
        <color rgb="FF20334A"/>
        <rFont val="Noto Sans CJK SC"/>
        <family val="2"/>
        <charset val="1"/>
      </rPr>
      <t xml:space="preserve">页正常收尾后为封底。内部未见跳号不等于已证完整：页脚总数</t>
    </r>
    <r>
      <rPr>
        <sz val="11"/>
        <color rgb="FF20334A"/>
        <rFont val="Arial"/>
        <family val="0"/>
        <charset val="1"/>
      </rPr>
      <t xml:space="preserve">24</t>
    </r>
    <r>
      <rPr>
        <sz val="11"/>
        <color rgb="FF20334A"/>
        <rFont val="Noto Sans CJK SC"/>
        <family val="2"/>
        <charset val="1"/>
      </rPr>
      <t xml:space="preserve">仍未获出版者解释，维持候选</t>
    </r>
    <r>
      <rPr>
        <sz val="11"/>
        <color rgb="FF20334A"/>
        <rFont val="Arial"/>
        <family val="0"/>
        <charset val="1"/>
      </rPr>
      <t xml:space="preserve">/</t>
    </r>
    <r>
      <rPr>
        <sz val="11"/>
        <color rgb="FF20334A"/>
        <rFont val="Noto Sans CJK SC"/>
        <family val="2"/>
        <charset val="1"/>
      </rPr>
      <t xml:space="preserve">完整性未核，不推定缺</t>
    </r>
    <r>
      <rPr>
        <sz val="11"/>
        <color rgb="FF20334A"/>
        <rFont val="Arial"/>
        <family val="0"/>
        <charset val="1"/>
      </rPr>
      <t xml:space="preserve">3</t>
    </r>
    <r>
      <rPr>
        <sz val="11"/>
        <color rgb="FF20334A"/>
        <rFont val="Noto Sans CJK SC"/>
        <family val="2"/>
        <charset val="1"/>
      </rPr>
      <t xml:space="preserve">页。官方当前文库普通</t>
    </r>
    <r>
      <rPr>
        <sz val="11"/>
        <color rgb="FF20334A"/>
        <rFont val="Arial"/>
        <family val="0"/>
        <charset val="1"/>
      </rPr>
      <t xml:space="preserve">GET</t>
    </r>
    <r>
      <rPr>
        <sz val="11"/>
        <color rgb="FF20334A"/>
        <rFont val="Noto Sans CJK SC"/>
        <family val="2"/>
        <charset val="1"/>
      </rPr>
      <t xml:space="preserve">返回</t>
    </r>
    <r>
      <rPr>
        <sz val="11"/>
        <color rgb="FF20334A"/>
        <rFont val="Arial"/>
        <family val="0"/>
        <charset val="1"/>
      </rPr>
      <t xml:space="preserve">403</t>
    </r>
    <r>
      <rPr>
        <sz val="11"/>
        <color rgb="FF20334A"/>
        <rFont val="Noto Sans CJK SC"/>
        <family val="2"/>
        <charset val="1"/>
      </rPr>
      <t xml:space="preserve">后停止。</t>
    </r>
  </si>
  <si>
    <r>
      <rPr>
        <sz val="11"/>
        <color rgb="FF20334A"/>
        <rFont val="Arial"/>
        <family val="0"/>
        <charset val="1"/>
      </rPr>
      <t xml:space="preserve">21</t>
    </r>
    <r>
      <rPr>
        <sz val="11"/>
        <color rgb="FF20334A"/>
        <rFont val="Noto Sans CJK SC"/>
        <family val="2"/>
        <charset val="1"/>
      </rPr>
      <t xml:space="preserve">物理页及</t>
    </r>
    <r>
      <rPr>
        <sz val="11"/>
        <color rgb="FF20334A"/>
        <rFont val="Arial"/>
        <family val="0"/>
        <charset val="1"/>
      </rPr>
      <t xml:space="preserve">34</t>
    </r>
    <r>
      <rPr>
        <sz val="11"/>
        <color rgb="FF20334A"/>
        <rFont val="Noto Sans CJK SC"/>
        <family val="2"/>
        <charset val="1"/>
      </rPr>
      <t xml:space="preserve">目录项定位通过；页脚总数</t>
    </r>
    <r>
      <rPr>
        <sz val="11"/>
        <color rgb="FF20334A"/>
        <rFont val="Arial"/>
        <family val="0"/>
        <charset val="1"/>
      </rPr>
      <t xml:space="preserve">24</t>
    </r>
    <r>
      <rPr>
        <sz val="11"/>
        <color rgb="FF20334A"/>
        <rFont val="Noto Sans CJK SC"/>
        <family val="2"/>
        <charset val="1"/>
      </rPr>
      <t xml:space="preserve">疑点未解；既有全文审阅完成、家族主文不计入、仍待核验不变，现存页全审增量</t>
    </r>
    <r>
      <rPr>
        <sz val="11"/>
        <color rgb="FF20334A"/>
        <rFont val="Arial"/>
        <family val="0"/>
        <charset val="1"/>
      </rPr>
      <t xml:space="preserve">0</t>
    </r>
    <r>
      <rPr>
        <sz val="11"/>
        <color rgb="FF20334A"/>
        <rFont val="Noto Sans CJK SC"/>
        <family val="2"/>
        <charset val="1"/>
      </rPr>
      <t xml:space="preserve">。</t>
    </r>
  </si>
  <si>
    <r>
      <rPr>
        <sz val="11"/>
        <color rgb="FF20334A"/>
        <rFont val="Noto Sans CJK SC"/>
        <family val="2"/>
        <charset val="1"/>
      </rPr>
      <t xml:space="preserve">仅在获得公开出版者同版勘误、明确新原件或用户提供权威说明后再解除页序疑点；未授权外联</t>
    </r>
    <r>
      <rPr>
        <sz val="11"/>
        <color rgb="FF20334A"/>
        <rFont val="Arial"/>
        <family val="0"/>
        <charset val="1"/>
      </rPr>
      <t xml:space="preserve">/</t>
    </r>
    <r>
      <rPr>
        <sz val="11"/>
        <color rgb="FF20334A"/>
        <rFont val="Noto Sans CJK SC"/>
        <family val="2"/>
        <charset val="1"/>
      </rPr>
      <t xml:space="preserve">登录前保持受阻。</t>
    </r>
  </si>
  <si>
    <t xml:space="preserve">Utmost Worldwide Limited (Singapore Branch)</t>
  </si>
  <si>
    <t xml:space="preserve">SG-4330cfac28a50f2e</t>
  </si>
  <si>
    <t xml:space="preserve">D1-MY-001</t>
  </si>
  <si>
    <t xml:space="preserve">马来西亚</t>
  </si>
  <si>
    <r>
      <rPr>
        <sz val="11"/>
        <color rgb="FF20334A"/>
        <rFont val="Noto Sans CJK SC"/>
        <family val="2"/>
        <charset val="1"/>
      </rPr>
      <t xml:space="preserve">已逐页审读</t>
    </r>
    <r>
      <rPr>
        <sz val="11"/>
        <color rgb="FF20334A"/>
        <rFont val="Arial"/>
        <family val="0"/>
        <charset val="1"/>
      </rPr>
      <t xml:space="preserve">24</t>
    </r>
    <r>
      <rPr>
        <sz val="11"/>
        <color rgb="FF20334A"/>
        <rFont val="Noto Sans CJK SC"/>
        <family val="2"/>
        <charset val="1"/>
      </rPr>
      <t xml:space="preserve">页。保费表印页</t>
    </r>
    <r>
      <rPr>
        <sz val="11"/>
        <color rgb="FF20334A"/>
        <rFont val="Arial"/>
        <family val="0"/>
        <charset val="1"/>
      </rPr>
      <t xml:space="preserve">2</t>
    </r>
    <r>
      <rPr>
        <sz val="11"/>
        <color rgb="FF20334A"/>
        <rFont val="Noto Sans CJK SC"/>
        <family val="2"/>
        <charset val="1"/>
      </rPr>
      <t xml:space="preserve">未见；其标准或个别化性质未定。主体及主保单身份已辨识，当前采用未证，不升严格通过。</t>
    </r>
  </si>
  <si>
    <r>
      <rPr>
        <sz val="11"/>
        <color rgb="FF20334A"/>
        <rFont val="Noto Sans CJK SC"/>
        <family val="2"/>
        <charset val="1"/>
      </rPr>
      <t xml:space="preserve">原件</t>
    </r>
    <r>
      <rPr>
        <sz val="11"/>
        <color rgb="FF20334A"/>
        <rFont val="Arial"/>
        <family val="0"/>
        <charset val="1"/>
      </rPr>
      <t xml:space="preserve">SHA</t>
    </r>
    <r>
      <rPr>
        <sz val="11"/>
        <color rgb="FF20334A"/>
        <rFont val="Noto Sans CJK SC"/>
        <family val="2"/>
        <charset val="1"/>
      </rPr>
      <t xml:space="preserve">、物理页与逐页文字</t>
    </r>
    <r>
      <rPr>
        <sz val="11"/>
        <color rgb="FF20334A"/>
        <rFont val="Arial"/>
        <family val="0"/>
        <charset val="1"/>
      </rPr>
      <t xml:space="preserve">/</t>
    </r>
    <r>
      <rPr>
        <sz val="11"/>
        <color rgb="FF20334A"/>
        <rFont val="Noto Sans CJK SC"/>
        <family val="2"/>
        <charset val="1"/>
      </rPr>
      <t xml:space="preserve">视觉证据核对通过；现存页全文核验</t>
    </r>
    <r>
      <rPr>
        <sz val="11"/>
        <color rgb="FF20334A"/>
        <rFont val="Arial"/>
        <family val="0"/>
        <charset val="1"/>
      </rPr>
      <t xml:space="preserve">+1</t>
    </r>
    <r>
      <rPr>
        <sz val="11"/>
        <color rgb="FF20334A"/>
        <rFont val="Noto Sans CJK SC"/>
        <family val="2"/>
        <charset val="1"/>
      </rPr>
      <t xml:space="preserve">（合计</t>
    </r>
    <r>
      <rPr>
        <sz val="11"/>
        <color rgb="FF20334A"/>
        <rFont val="Arial"/>
        <family val="0"/>
        <charset val="1"/>
      </rPr>
      <t xml:space="preserve">5</t>
    </r>
    <r>
      <rPr>
        <sz val="11"/>
        <color rgb="FF20334A"/>
        <rFont val="Noto Sans CJK SC"/>
        <family val="2"/>
        <charset val="1"/>
      </rPr>
      <t xml:space="preserve">份</t>
    </r>
    <r>
      <rPr>
        <sz val="11"/>
        <color rgb="FF20334A"/>
        <rFont val="Arial"/>
        <family val="0"/>
        <charset val="1"/>
      </rPr>
      <t xml:space="preserve">114</t>
    </r>
    <r>
      <rPr>
        <sz val="11"/>
        <color rgb="FF20334A"/>
        <rFont val="Noto Sans CJK SC"/>
        <family val="2"/>
        <charset val="1"/>
      </rPr>
      <t xml:space="preserve">页），合同完整性仍待核、合同完整未确认、严格通过增量</t>
    </r>
    <r>
      <rPr>
        <sz val="11"/>
        <color rgb="FF20334A"/>
        <rFont val="Arial"/>
        <family val="0"/>
        <charset val="1"/>
      </rPr>
      <t xml:space="preserve">0</t>
    </r>
    <r>
      <rPr>
        <sz val="11"/>
        <color rgb="FF20334A"/>
        <rFont val="Noto Sans CJK SC"/>
        <family val="2"/>
        <charset val="1"/>
      </rPr>
      <t xml:space="preserve">；不要求真实个人专属附表。</t>
    </r>
  </si>
  <si>
    <t xml:space="preserve">核实精确公开采用证据及附表性质，不索取真实客户私人资料。</t>
  </si>
  <si>
    <t xml:space="preserve">Sun Life Malaysia Assurance Berhad</t>
  </si>
  <si>
    <t xml:space="preserve">MY-SUN-005</t>
  </si>
  <si>
    <t xml:space="preserve">D1-MY-002</t>
  </si>
  <si>
    <r>
      <rPr>
        <sz val="11"/>
        <color rgb="FF20334A"/>
        <rFont val="Noto Sans CJK SC"/>
        <family val="2"/>
        <charset val="1"/>
      </rPr>
      <t xml:space="preserve">已逐页审读</t>
    </r>
    <r>
      <rPr>
        <sz val="11"/>
        <color rgb="FF20334A"/>
        <rFont val="Arial"/>
        <family val="0"/>
        <charset val="1"/>
      </rPr>
      <t xml:space="preserve">37</t>
    </r>
    <r>
      <rPr>
        <sz val="11"/>
        <color rgb="FF20334A"/>
        <rFont val="Noto Sans CJK SC"/>
        <family val="2"/>
        <charset val="1"/>
      </rPr>
      <t xml:space="preserve">页双语内容。</t>
    </r>
    <r>
      <rPr>
        <sz val="11"/>
        <color rgb="FF20334A"/>
        <rFont val="Arial"/>
        <family val="0"/>
        <charset val="1"/>
      </rPr>
      <t xml:space="preserve">BIZS001</t>
    </r>
    <r>
      <rPr>
        <sz val="11"/>
        <color rgb="FF20334A"/>
        <rFont val="Noto Sans CJK SC"/>
        <family val="2"/>
        <charset val="1"/>
      </rPr>
      <t xml:space="preserve">主保单表未见，角色仍待区分；不能据页码跳跃断言通用保障条文缺失。当前渠道采用未证。</t>
    </r>
  </si>
  <si>
    <t xml:space="preserve">MY-SUN-002</t>
  </si>
  <si>
    <t xml:space="preserve">D1-MY-003</t>
  </si>
  <si>
    <r>
      <rPr>
        <sz val="11"/>
        <color rgb="FF20334A"/>
        <rFont val="Noto Sans CJK SC"/>
        <family val="2"/>
        <charset val="1"/>
      </rPr>
      <t xml:space="preserve">已逐页审读</t>
    </r>
    <r>
      <rPr>
        <sz val="11"/>
        <color rgb="FF20334A"/>
        <rFont val="Arial"/>
        <family val="0"/>
        <charset val="1"/>
      </rPr>
      <t xml:space="preserve">14</t>
    </r>
    <r>
      <rPr>
        <sz val="11"/>
        <color rgb="FF20334A"/>
        <rFont val="Noto Sans CJK SC"/>
        <family val="2"/>
        <charset val="1"/>
      </rPr>
      <t xml:space="preserve">页。</t>
    </r>
    <r>
      <rPr>
        <sz val="11"/>
        <color rgb="FF20334A"/>
        <rFont val="Arial"/>
        <family val="0"/>
        <charset val="1"/>
      </rPr>
      <t xml:space="preserve">GTTAD001/003/004/005</t>
    </r>
    <r>
      <rPr>
        <sz val="11"/>
        <color rgb="FF20334A"/>
        <rFont val="Noto Sans CJK SC"/>
        <family val="2"/>
        <charset val="1"/>
      </rPr>
      <t xml:space="preserve">在件；</t>
    </r>
    <r>
      <rPr>
        <sz val="11"/>
        <color rgb="FF20334A"/>
        <rFont val="Arial"/>
        <family val="0"/>
        <charset val="1"/>
      </rPr>
      <t xml:space="preserve">GTTAD002</t>
    </r>
    <r>
      <rPr>
        <sz val="11"/>
        <color rgb="FF20334A"/>
        <rFont val="Noto Sans CJK SC"/>
        <family val="2"/>
        <charset val="1"/>
      </rPr>
      <t xml:space="preserve">未见，性质未定。活动标签并不证明正文采用或当前销售。</t>
    </r>
  </si>
  <si>
    <t xml:space="preserve">Sun Life Malaysia Takaful Berhad</t>
  </si>
  <si>
    <t xml:space="preserve">MY-SUN-029</t>
  </si>
  <si>
    <t xml:space="preserve">D1-MY-004</t>
  </si>
  <si>
    <r>
      <rPr>
        <sz val="11"/>
        <color rgb="FF20334A"/>
        <rFont val="Noto Sans CJK SC"/>
        <family val="2"/>
        <charset val="1"/>
      </rPr>
      <t xml:space="preserve">已逐页审读</t>
    </r>
    <r>
      <rPr>
        <sz val="11"/>
        <color rgb="FF20334A"/>
        <rFont val="Arial"/>
        <family val="0"/>
        <charset val="1"/>
      </rPr>
      <t xml:space="preserve">13</t>
    </r>
    <r>
      <rPr>
        <sz val="11"/>
        <color rgb="FF20334A"/>
        <rFont val="Noto Sans CJK SC"/>
        <family val="2"/>
        <charset val="1"/>
      </rPr>
      <t xml:space="preserve">页，印页</t>
    </r>
    <r>
      <rPr>
        <sz val="11"/>
        <color rgb="FF20334A"/>
        <rFont val="Arial"/>
        <family val="0"/>
        <charset val="1"/>
      </rPr>
      <t xml:space="preserve">1–12</t>
    </r>
    <r>
      <rPr>
        <sz val="11"/>
        <color rgb="FF20334A"/>
        <rFont val="Noto Sans CJK SC"/>
        <family val="2"/>
        <charset val="1"/>
      </rPr>
      <t xml:space="preserve">连续；</t>
    </r>
    <r>
      <rPr>
        <sz val="11"/>
        <color rgb="FF20334A"/>
        <rFont val="Arial"/>
        <family val="0"/>
        <charset val="1"/>
      </rPr>
      <t xml:space="preserve">GTT002</t>
    </r>
    <r>
      <rPr>
        <sz val="11"/>
        <color rgb="FF20334A"/>
        <rFont val="Noto Sans CJK SC"/>
        <family val="2"/>
        <charset val="1"/>
      </rPr>
      <t xml:space="preserve">是已包含的保障表，公开标准正文完整。具体活动采用与当前可用性仍未证。</t>
    </r>
  </si>
  <si>
    <t xml:space="preserve">MY-SUN-031</t>
  </si>
  <si>
    <t xml:space="preserve">D1-MY-005</t>
  </si>
  <si>
    <r>
      <rPr>
        <sz val="11"/>
        <color rgb="FF20334A"/>
        <rFont val="Noto Sans CJK SC"/>
        <family val="2"/>
        <charset val="1"/>
      </rPr>
      <t xml:space="preserve">已逐页审读</t>
    </r>
    <r>
      <rPr>
        <sz val="11"/>
        <color rgb="FF20334A"/>
        <rFont val="Arial"/>
        <family val="0"/>
        <charset val="1"/>
      </rPr>
      <t xml:space="preserve">26</t>
    </r>
    <r>
      <rPr>
        <sz val="11"/>
        <color rgb="FF20334A"/>
        <rFont val="Noto Sans CJK SC"/>
        <family val="2"/>
        <charset val="1"/>
      </rPr>
      <t xml:space="preserve">页马来文。确认</t>
    </r>
    <r>
      <rPr>
        <sz val="11"/>
        <color rgb="FF20334A"/>
        <rFont val="Arial"/>
        <family val="0"/>
        <charset val="1"/>
      </rPr>
      <t xml:space="preserve">MRTTFB20</t>
    </r>
    <r>
      <rPr>
        <sz val="11"/>
        <color rgb="FF20334A"/>
        <rFont val="Noto Sans CJK SC"/>
        <family val="2"/>
        <charset val="1"/>
      </rPr>
      <t xml:space="preserve">及</t>
    </r>
    <r>
      <rPr>
        <sz val="11"/>
        <color rgb="FF20334A"/>
        <rFont val="Arial"/>
        <family val="0"/>
        <charset val="1"/>
      </rPr>
      <t xml:space="preserve">2020-07-01</t>
    </r>
    <r>
      <rPr>
        <sz val="11"/>
        <color rgb="FF20334A"/>
        <rFont val="Noto Sans CJK SC"/>
        <family val="2"/>
        <charset val="1"/>
      </rPr>
      <t xml:space="preserve">批单；主要给付及费用条文在件。</t>
    </r>
    <r>
      <rPr>
        <sz val="11"/>
        <color rgb="FF20334A"/>
        <rFont val="Arial"/>
        <family val="0"/>
        <charset val="1"/>
      </rPr>
      <t xml:space="preserve">MRTT002</t>
    </r>
    <r>
      <rPr>
        <sz val="11"/>
        <color rgb="FF20334A"/>
        <rFont val="Noto Sans CJK SC"/>
        <family val="2"/>
        <charset val="1"/>
      </rPr>
      <t xml:space="preserve">未见、性质待核；当前采用未证。</t>
    </r>
  </si>
  <si>
    <t xml:space="preserve">MY-SUN-077</t>
  </si>
  <si>
    <t xml:space="preserve">B2-MY-001</t>
  </si>
  <si>
    <t xml:space="preserve">证据已复核</t>
  </si>
  <si>
    <r>
      <rPr>
        <sz val="11"/>
        <color rgb="FF20334A"/>
        <rFont val="Noto Sans CJK SC"/>
        <family val="2"/>
        <charset val="1"/>
      </rPr>
      <t xml:space="preserve">非合同</t>
    </r>
    <r>
      <rPr>
        <sz val="11"/>
        <color rgb="FF20334A"/>
        <rFont val="Arial"/>
        <family val="2"/>
        <charset val="1"/>
      </rPr>
      <t xml:space="preserve">CIS</t>
    </r>
    <r>
      <rPr>
        <sz val="11"/>
        <color rgb="FF20334A"/>
        <rFont val="Noto Sans CJK SC"/>
        <family val="2"/>
        <charset val="1"/>
      </rPr>
      <t xml:space="preserve">；</t>
    </r>
    <r>
      <rPr>
        <sz val="11"/>
        <color rgb="FF20334A"/>
        <rFont val="Arial"/>
        <family val="2"/>
        <charset val="1"/>
      </rPr>
      <t xml:space="preserve">D1 GTTAD002</t>
    </r>
    <r>
      <rPr>
        <sz val="11"/>
        <color rgb="FF20334A"/>
        <rFont val="Noto Sans CJK SC"/>
        <family val="2"/>
        <charset val="1"/>
      </rPr>
      <t xml:space="preserve">性质</t>
    </r>
    <r>
      <rPr>
        <sz val="11"/>
        <color rgb="FF20334A"/>
        <rFont val="Arial"/>
        <family val="2"/>
        <charset val="1"/>
      </rPr>
      <t xml:space="preserve">/</t>
    </r>
    <r>
      <rPr>
        <sz val="11"/>
        <color rgb="FF20334A"/>
        <rFont val="Noto Sans CJK SC"/>
        <family val="2"/>
        <charset val="1"/>
      </rPr>
      <t xml:space="preserve">采用仍待核，同</t>
    </r>
    <r>
      <rPr>
        <sz val="11"/>
        <color rgb="FF20334A"/>
        <rFont val="Arial"/>
        <family val="2"/>
        <charset val="1"/>
      </rPr>
      <t xml:space="preserve">ILP</t>
    </r>
    <r>
      <rPr>
        <sz val="11"/>
        <color rgb="FF20334A"/>
        <rFont val="Noto Sans CJK SC"/>
        <family val="2"/>
        <charset val="1"/>
      </rPr>
      <t xml:space="preserve">官方档案配对只新增关联，不重计</t>
    </r>
    <r>
      <rPr>
        <sz val="11"/>
        <color rgb="FF20334A"/>
        <rFont val="Arial"/>
        <family val="2"/>
        <charset val="1"/>
      </rPr>
      <t xml:space="preserve">D1 14</t>
    </r>
    <r>
      <rPr>
        <sz val="11"/>
        <color rgb="FF20334A"/>
        <rFont val="Noto Sans CJK SC"/>
        <family val="2"/>
        <charset val="1"/>
      </rPr>
      <t xml:space="preserve">页。</t>
    </r>
  </si>
  <si>
    <r>
      <rPr>
        <sz val="11"/>
        <color rgb="FF20334A"/>
        <rFont val="Noto Sans CJK SC"/>
        <family val="2"/>
        <charset val="1"/>
      </rPr>
      <t xml:space="preserve">现存</t>
    </r>
    <r>
      <rPr>
        <sz val="11"/>
        <color rgb="FF20334A"/>
        <rFont val="Arial"/>
        <family val="2"/>
        <charset val="1"/>
      </rPr>
      <t xml:space="preserve">7</t>
    </r>
    <r>
      <rPr>
        <sz val="11"/>
        <color rgb="FF20334A"/>
        <rFont val="Noto Sans CJK SC"/>
        <family val="2"/>
        <charset val="1"/>
      </rPr>
      <t xml:space="preserve">页逐页文本与视觉证据已独立验收。 非合同</t>
    </r>
    <r>
      <rPr>
        <sz val="11"/>
        <color rgb="FF20334A"/>
        <rFont val="Arial"/>
        <family val="2"/>
        <charset val="1"/>
      </rPr>
      <t xml:space="preserve">CIS</t>
    </r>
    <r>
      <rPr>
        <sz val="11"/>
        <color rgb="FF20334A"/>
        <rFont val="Noto Sans CJK SC"/>
        <family val="2"/>
        <charset val="1"/>
      </rPr>
      <t xml:space="preserve">；</t>
    </r>
    <r>
      <rPr>
        <sz val="11"/>
        <color rgb="FF20334A"/>
        <rFont val="Arial"/>
        <family val="2"/>
        <charset val="1"/>
      </rPr>
      <t xml:space="preserve">D1 GTTAD002</t>
    </r>
    <r>
      <rPr>
        <sz val="11"/>
        <color rgb="FF20334A"/>
        <rFont val="Noto Sans CJK SC"/>
        <family val="2"/>
        <charset val="1"/>
      </rPr>
      <t xml:space="preserve">性质</t>
    </r>
    <r>
      <rPr>
        <sz val="11"/>
        <color rgb="FF20334A"/>
        <rFont val="Arial"/>
        <family val="2"/>
        <charset val="1"/>
      </rPr>
      <t xml:space="preserve">/</t>
    </r>
    <r>
      <rPr>
        <sz val="11"/>
        <color rgb="FF20334A"/>
        <rFont val="Noto Sans CJK SC"/>
        <family val="2"/>
        <charset val="1"/>
      </rPr>
      <t xml:space="preserve">采用仍待核，同</t>
    </r>
    <r>
      <rPr>
        <sz val="11"/>
        <color rgb="FF20334A"/>
        <rFont val="Arial"/>
        <family val="2"/>
        <charset val="1"/>
      </rPr>
      <t xml:space="preserve">ILP</t>
    </r>
    <r>
      <rPr>
        <sz val="11"/>
        <color rgb="FF20334A"/>
        <rFont val="Noto Sans CJK SC"/>
        <family val="2"/>
        <charset val="1"/>
      </rPr>
      <t xml:space="preserve">官方档案配对只新增关联，不重计</t>
    </r>
    <r>
      <rPr>
        <sz val="11"/>
        <color rgb="FF20334A"/>
        <rFont val="Arial"/>
        <family val="2"/>
        <charset val="1"/>
      </rPr>
      <t xml:space="preserve">D1 14</t>
    </r>
    <r>
      <rPr>
        <sz val="11"/>
        <color rgb="FF20334A"/>
        <rFont val="Noto Sans CJK SC"/>
        <family val="2"/>
        <charset val="1"/>
      </rPr>
      <t xml:space="preserve">页。</t>
    </r>
  </si>
  <si>
    <t xml:space="preserve">依准确引用页核实附表性质、采用关系及条文差异。未解决前保持待核验，不计产品齐备。</t>
  </si>
  <si>
    <t xml:space="preserve">B2</t>
  </si>
  <si>
    <t xml:space="preserve">现存页全文已审，合同问题仍待核验</t>
  </si>
  <si>
    <t xml:space="preserve">MY-SUP-009</t>
  </si>
  <si>
    <t xml:space="preserve">B2-MY-002</t>
  </si>
  <si>
    <r>
      <rPr>
        <sz val="11"/>
        <color rgb="FF20334A"/>
        <rFont val="Arial"/>
        <family val="2"/>
        <charset val="1"/>
      </rPr>
      <t xml:space="preserve">CPP001</t>
    </r>
    <r>
      <rPr>
        <sz val="11"/>
        <color rgb="FF20334A"/>
        <rFont val="Noto Sans CJK SC"/>
        <family val="2"/>
        <charset val="1"/>
      </rPr>
      <t xml:space="preserve">两语均跳印刷页</t>
    </r>
    <r>
      <rPr>
        <sz val="11"/>
        <color rgb="FF20334A"/>
        <rFont val="Arial"/>
        <family val="2"/>
        <charset val="1"/>
      </rPr>
      <t xml:space="preserve">2</t>
    </r>
    <r>
      <rPr>
        <sz val="11"/>
        <color rgb="FF20334A"/>
        <rFont val="Noto Sans CJK SC"/>
        <family val="2"/>
        <charset val="1"/>
      </rPr>
      <t xml:space="preserve">；</t>
    </r>
    <r>
      <rPr>
        <sz val="11"/>
        <color rgb="FF20334A"/>
        <rFont val="Arial"/>
        <family val="2"/>
        <charset val="1"/>
      </rPr>
      <t xml:space="preserve">13.1</t>
    </r>
    <r>
      <rPr>
        <sz val="11"/>
        <color rgb="FF20334A"/>
        <rFont val="Noto Sans CJK SC"/>
        <family val="2"/>
        <charset val="1"/>
      </rPr>
      <t xml:space="preserve">费率及</t>
    </r>
    <r>
      <rPr>
        <sz val="11"/>
        <color rgb="FF20334A"/>
        <rFont val="Arial"/>
        <family val="2"/>
        <charset val="1"/>
      </rPr>
      <t xml:space="preserve">4.1</t>
    </r>
    <r>
      <rPr>
        <sz val="11"/>
        <color rgb="FF20334A"/>
        <rFont val="Noto Sans CJK SC"/>
        <family val="2"/>
        <charset val="1"/>
      </rPr>
      <t xml:space="preserve">机构资格指向未见附表，待核混合性质（有</t>
    </r>
    <r>
      <rPr>
        <sz val="11"/>
        <color rgb="FF20334A"/>
        <rFont val="Arial"/>
        <family val="2"/>
        <charset val="1"/>
      </rPr>
      <t xml:space="preserve">A</t>
    </r>
    <r>
      <rPr>
        <sz val="11"/>
        <color rgb="FF20334A"/>
        <rFont val="Noto Sans CJK SC"/>
        <family val="2"/>
        <charset val="1"/>
      </rPr>
      <t xml:space="preserve">内容候选），非自动</t>
    </r>
    <r>
      <rPr>
        <sz val="11"/>
        <color rgb="FF20334A"/>
        <rFont val="Arial"/>
        <family val="2"/>
        <charset val="1"/>
      </rPr>
      <t xml:space="preserve">B</t>
    </r>
    <r>
      <rPr>
        <sz val="11"/>
        <color rgb="FF20334A"/>
        <rFont val="Noto Sans CJK SC"/>
        <family val="2"/>
        <charset val="1"/>
      </rPr>
      <t xml:space="preserve">；</t>
    </r>
    <r>
      <rPr>
        <sz val="11"/>
        <color rgb="FF20334A"/>
        <rFont val="Arial"/>
        <family val="2"/>
        <charset val="1"/>
      </rPr>
      <t xml:space="preserve">CPA002</t>
    </r>
    <r>
      <rPr>
        <sz val="11"/>
        <color rgb="FF20334A"/>
        <rFont val="Noto Sans CJK SC"/>
        <family val="2"/>
        <charset val="1"/>
      </rPr>
      <t xml:space="preserve">误引及英马差异原样保留。</t>
    </r>
  </si>
  <si>
    <r>
      <rPr>
        <sz val="11"/>
        <color rgb="FF20334A"/>
        <rFont val="Noto Sans CJK SC"/>
        <family val="2"/>
        <charset val="1"/>
      </rPr>
      <t xml:space="preserve">现存</t>
    </r>
    <r>
      <rPr>
        <sz val="11"/>
        <color rgb="FF20334A"/>
        <rFont val="Arial"/>
        <family val="2"/>
        <charset val="1"/>
      </rPr>
      <t xml:space="preserve">74</t>
    </r>
    <r>
      <rPr>
        <sz val="11"/>
        <color rgb="FF20334A"/>
        <rFont val="Noto Sans CJK SC"/>
        <family val="2"/>
        <charset val="1"/>
      </rPr>
      <t xml:space="preserve">页逐页文本与视觉证据已独立验收。 </t>
    </r>
    <r>
      <rPr>
        <sz val="11"/>
        <color rgb="FF20334A"/>
        <rFont val="Arial"/>
        <family val="2"/>
        <charset val="1"/>
      </rPr>
      <t xml:space="preserve">CPP001</t>
    </r>
    <r>
      <rPr>
        <sz val="11"/>
        <color rgb="FF20334A"/>
        <rFont val="Noto Sans CJK SC"/>
        <family val="2"/>
        <charset val="1"/>
      </rPr>
      <t xml:space="preserve">两语均跳印刷页</t>
    </r>
    <r>
      <rPr>
        <sz val="11"/>
        <color rgb="FF20334A"/>
        <rFont val="Arial"/>
        <family val="2"/>
        <charset val="1"/>
      </rPr>
      <t xml:space="preserve">2</t>
    </r>
    <r>
      <rPr>
        <sz val="11"/>
        <color rgb="FF20334A"/>
        <rFont val="Noto Sans CJK SC"/>
        <family val="2"/>
        <charset val="1"/>
      </rPr>
      <t xml:space="preserve">；</t>
    </r>
    <r>
      <rPr>
        <sz val="11"/>
        <color rgb="FF20334A"/>
        <rFont val="Arial"/>
        <family val="2"/>
        <charset val="1"/>
      </rPr>
      <t xml:space="preserve">13.1</t>
    </r>
    <r>
      <rPr>
        <sz val="11"/>
        <color rgb="FF20334A"/>
        <rFont val="Noto Sans CJK SC"/>
        <family val="2"/>
        <charset val="1"/>
      </rPr>
      <t xml:space="preserve">费率及</t>
    </r>
    <r>
      <rPr>
        <sz val="11"/>
        <color rgb="FF20334A"/>
        <rFont val="Arial"/>
        <family val="2"/>
        <charset val="1"/>
      </rPr>
      <t xml:space="preserve">4.1</t>
    </r>
    <r>
      <rPr>
        <sz val="11"/>
        <color rgb="FF20334A"/>
        <rFont val="Noto Sans CJK SC"/>
        <family val="2"/>
        <charset val="1"/>
      </rPr>
      <t xml:space="preserve">机构资格指向未见附表，待核混合性质（有</t>
    </r>
    <r>
      <rPr>
        <sz val="11"/>
        <color rgb="FF20334A"/>
        <rFont val="Arial"/>
        <family val="2"/>
        <charset val="1"/>
      </rPr>
      <t xml:space="preserve">A</t>
    </r>
    <r>
      <rPr>
        <sz val="11"/>
        <color rgb="FF20334A"/>
        <rFont val="Noto Sans CJK SC"/>
        <family val="2"/>
        <charset val="1"/>
      </rPr>
      <t xml:space="preserve">内容候选），非自动</t>
    </r>
    <r>
      <rPr>
        <sz val="11"/>
        <color rgb="FF20334A"/>
        <rFont val="Arial"/>
        <family val="2"/>
        <charset val="1"/>
      </rPr>
      <t xml:space="preserve">B</t>
    </r>
    <r>
      <rPr>
        <sz val="11"/>
        <color rgb="FF20334A"/>
        <rFont val="Noto Sans CJK SC"/>
        <family val="2"/>
        <charset val="1"/>
      </rPr>
      <t xml:space="preserve">；</t>
    </r>
    <r>
      <rPr>
        <sz val="11"/>
        <color rgb="FF20334A"/>
        <rFont val="Arial"/>
        <family val="2"/>
        <charset val="1"/>
      </rPr>
      <t xml:space="preserve">CPA002</t>
    </r>
    <r>
      <rPr>
        <sz val="11"/>
        <color rgb="FF20334A"/>
        <rFont val="Noto Sans CJK SC"/>
        <family val="2"/>
        <charset val="1"/>
      </rPr>
      <t xml:space="preserve">误引及英马差异原样保留。</t>
    </r>
  </si>
  <si>
    <t xml:space="preserve">MY-SUN-008</t>
  </si>
  <si>
    <t xml:space="preserve">B2-MY-003</t>
  </si>
  <si>
    <r>
      <rPr>
        <sz val="11"/>
        <color rgb="FF20334A"/>
        <rFont val="Noto Sans CJK SC"/>
        <family val="2"/>
        <charset val="1"/>
      </rPr>
      <t xml:space="preserve">主附表未见，</t>
    </r>
    <r>
      <rPr>
        <sz val="11"/>
        <color rgb="FF20334A"/>
        <rFont val="Arial"/>
        <family val="2"/>
        <charset val="1"/>
      </rPr>
      <t xml:space="preserve">BSI002</t>
    </r>
    <r>
      <rPr>
        <sz val="11"/>
        <color rgb="FF20334A"/>
        <rFont val="Noto Sans CJK SC"/>
        <family val="2"/>
        <charset val="1"/>
      </rPr>
      <t xml:space="preserve">缺码但其题名未证；</t>
    </r>
    <r>
      <rPr>
        <sz val="11"/>
        <color rgb="FF20334A"/>
        <rFont val="Arial"/>
        <family val="2"/>
        <charset val="1"/>
      </rPr>
      <t xml:space="preserve">BSI008</t>
    </r>
    <r>
      <rPr>
        <sz val="11"/>
        <color rgb="FF20334A"/>
        <rFont val="Noto Sans CJK SC"/>
        <family val="2"/>
        <charset val="1"/>
      </rPr>
      <t xml:space="preserve">费率</t>
    </r>
    <r>
      <rPr>
        <sz val="11"/>
        <color rgb="FF20334A"/>
        <rFont val="Arial"/>
        <family val="2"/>
        <charset val="1"/>
      </rPr>
      <t xml:space="preserve">/</t>
    </r>
    <r>
      <rPr>
        <sz val="11"/>
        <color rgb="FF20334A"/>
        <rFont val="Noto Sans CJK SC"/>
        <family val="2"/>
        <charset val="1"/>
      </rPr>
      <t xml:space="preserve">盈余附录和</t>
    </r>
    <r>
      <rPr>
        <sz val="11"/>
        <color rgb="FF20334A"/>
        <rFont val="Arial"/>
        <family val="2"/>
        <charset val="1"/>
      </rPr>
      <t xml:space="preserve">BSI009</t>
    </r>
    <r>
      <rPr>
        <sz val="11"/>
        <color rgb="FF20334A"/>
        <rFont val="Noto Sans CJK SC"/>
        <family val="2"/>
        <charset val="1"/>
      </rPr>
      <t xml:space="preserve">公式已在。</t>
    </r>
    <r>
      <rPr>
        <sz val="11"/>
        <color rgb="FF20334A"/>
        <rFont val="Arial"/>
        <family val="2"/>
        <charset val="1"/>
      </rPr>
      <t xml:space="preserve">2019</t>
    </r>
    <r>
      <rPr>
        <sz val="11"/>
        <color rgb="FF20334A"/>
        <rFont val="Noto Sans CJK SC"/>
        <family val="2"/>
        <charset val="1"/>
      </rPr>
      <t xml:space="preserve">马文</t>
    </r>
    <r>
      <rPr>
        <sz val="11"/>
        <color rgb="FF20334A"/>
        <rFont val="Arial"/>
        <family val="2"/>
        <charset val="1"/>
      </rPr>
      <t xml:space="preserve">45.3/46.2/53.2</t>
    </r>
    <r>
      <rPr>
        <sz val="11"/>
        <color rgb="FF20334A"/>
        <rFont val="Noto Sans CJK SC"/>
        <family val="2"/>
        <charset val="1"/>
      </rPr>
      <t xml:space="preserve">及</t>
    </r>
    <r>
      <rPr>
        <sz val="11"/>
        <color rgb="FF20334A"/>
        <rFont val="Arial"/>
        <family val="2"/>
        <charset val="1"/>
      </rPr>
      <t xml:space="preserve">BSI00247/45</t>
    </r>
    <r>
      <rPr>
        <sz val="11"/>
        <color rgb="FF20334A"/>
        <rFont val="Noto Sans CJK SC"/>
        <family val="2"/>
        <charset val="1"/>
      </rPr>
      <t xml:space="preserve">、</t>
    </r>
    <r>
      <rPr>
        <sz val="11"/>
        <color rgb="FF20334A"/>
        <rFont val="Arial"/>
        <family val="2"/>
        <charset val="1"/>
      </rPr>
      <t xml:space="preserve">2020</t>
    </r>
    <r>
      <rPr>
        <sz val="11"/>
        <color rgb="FF20334A"/>
        <rFont val="Noto Sans CJK SC"/>
        <family val="2"/>
        <charset val="1"/>
      </rPr>
      <t xml:space="preserve">编号</t>
    </r>
    <r>
      <rPr>
        <sz val="11"/>
        <color rgb="FF20334A"/>
        <rFont val="Arial"/>
        <family val="2"/>
        <charset val="1"/>
      </rPr>
      <t xml:space="preserve">/</t>
    </r>
    <r>
      <rPr>
        <sz val="11"/>
        <color rgb="FF20334A"/>
        <rFont val="Noto Sans CJK SC"/>
        <family val="2"/>
        <charset val="1"/>
      </rPr>
      <t xml:space="preserve">翻译差异不自动修复。</t>
    </r>
  </si>
  <si>
    <r>
      <rPr>
        <sz val="11"/>
        <color rgb="FF20334A"/>
        <rFont val="Noto Sans CJK SC"/>
        <family val="2"/>
        <charset val="1"/>
      </rPr>
      <t xml:space="preserve">现存</t>
    </r>
    <r>
      <rPr>
        <sz val="11"/>
        <color rgb="FF20334A"/>
        <rFont val="Arial"/>
        <family val="2"/>
        <charset val="1"/>
      </rPr>
      <t xml:space="preserve">49</t>
    </r>
    <r>
      <rPr>
        <sz val="11"/>
        <color rgb="FF20334A"/>
        <rFont val="Noto Sans CJK SC"/>
        <family val="2"/>
        <charset val="1"/>
      </rPr>
      <t xml:space="preserve">页逐页文本与视觉证据已独立验收。 主附表未见，</t>
    </r>
    <r>
      <rPr>
        <sz val="11"/>
        <color rgb="FF20334A"/>
        <rFont val="Arial"/>
        <family val="2"/>
        <charset val="1"/>
      </rPr>
      <t xml:space="preserve">BSI002</t>
    </r>
    <r>
      <rPr>
        <sz val="11"/>
        <color rgb="FF20334A"/>
        <rFont val="Noto Sans CJK SC"/>
        <family val="2"/>
        <charset val="1"/>
      </rPr>
      <t xml:space="preserve">缺码但其题名未证；</t>
    </r>
    <r>
      <rPr>
        <sz val="11"/>
        <color rgb="FF20334A"/>
        <rFont val="Arial"/>
        <family val="2"/>
        <charset val="1"/>
      </rPr>
      <t xml:space="preserve">BSI008</t>
    </r>
    <r>
      <rPr>
        <sz val="11"/>
        <color rgb="FF20334A"/>
        <rFont val="Noto Sans CJK SC"/>
        <family val="2"/>
        <charset val="1"/>
      </rPr>
      <t xml:space="preserve">费率</t>
    </r>
    <r>
      <rPr>
        <sz val="11"/>
        <color rgb="FF20334A"/>
        <rFont val="Arial"/>
        <family val="2"/>
        <charset val="1"/>
      </rPr>
      <t xml:space="preserve">/</t>
    </r>
    <r>
      <rPr>
        <sz val="11"/>
        <color rgb="FF20334A"/>
        <rFont val="Noto Sans CJK SC"/>
        <family val="2"/>
        <charset val="1"/>
      </rPr>
      <t xml:space="preserve">盈余附录和</t>
    </r>
    <r>
      <rPr>
        <sz val="11"/>
        <color rgb="FF20334A"/>
        <rFont val="Arial"/>
        <family val="2"/>
        <charset val="1"/>
      </rPr>
      <t xml:space="preserve">BSI009</t>
    </r>
    <r>
      <rPr>
        <sz val="11"/>
        <color rgb="FF20334A"/>
        <rFont val="Noto Sans CJK SC"/>
        <family val="2"/>
        <charset val="1"/>
      </rPr>
      <t xml:space="preserve">公式已在。</t>
    </r>
    <r>
      <rPr>
        <sz val="11"/>
        <color rgb="FF20334A"/>
        <rFont val="Arial"/>
        <family val="2"/>
        <charset val="1"/>
      </rPr>
      <t xml:space="preserve">2019</t>
    </r>
    <r>
      <rPr>
        <sz val="11"/>
        <color rgb="FF20334A"/>
        <rFont val="Noto Sans CJK SC"/>
        <family val="2"/>
        <charset val="1"/>
      </rPr>
      <t xml:space="preserve">马文</t>
    </r>
    <r>
      <rPr>
        <sz val="11"/>
        <color rgb="FF20334A"/>
        <rFont val="Arial"/>
        <family val="2"/>
        <charset val="1"/>
      </rPr>
      <t xml:space="preserve">45.3/46.2/53.2</t>
    </r>
    <r>
      <rPr>
        <sz val="11"/>
        <color rgb="FF20334A"/>
        <rFont val="Noto Sans CJK SC"/>
        <family val="2"/>
        <charset val="1"/>
      </rPr>
      <t xml:space="preserve">及</t>
    </r>
    <r>
      <rPr>
        <sz val="11"/>
        <color rgb="FF20334A"/>
        <rFont val="Arial"/>
        <family val="2"/>
        <charset val="1"/>
      </rPr>
      <t xml:space="preserve">BSI00247/45</t>
    </r>
    <r>
      <rPr>
        <sz val="11"/>
        <color rgb="FF20334A"/>
        <rFont val="Noto Sans CJK SC"/>
        <family val="2"/>
        <charset val="1"/>
      </rPr>
      <t xml:space="preserve">、</t>
    </r>
    <r>
      <rPr>
        <sz val="11"/>
        <color rgb="FF20334A"/>
        <rFont val="Arial"/>
        <family val="2"/>
        <charset val="1"/>
      </rPr>
      <t xml:space="preserve">2020</t>
    </r>
    <r>
      <rPr>
        <sz val="11"/>
        <color rgb="FF20334A"/>
        <rFont val="Noto Sans CJK SC"/>
        <family val="2"/>
        <charset val="1"/>
      </rPr>
      <t xml:space="preserve">编号</t>
    </r>
    <r>
      <rPr>
        <sz val="11"/>
        <color rgb="FF20334A"/>
        <rFont val="Arial"/>
        <family val="2"/>
        <charset val="1"/>
      </rPr>
      <t xml:space="preserve">/</t>
    </r>
    <r>
      <rPr>
        <sz val="11"/>
        <color rgb="FF20334A"/>
        <rFont val="Noto Sans CJK SC"/>
        <family val="2"/>
        <charset val="1"/>
      </rPr>
      <t xml:space="preserve">翻译差异不自动修复。</t>
    </r>
  </si>
  <si>
    <t xml:space="preserve">MY-SUN-036</t>
  </si>
  <si>
    <t xml:space="preserve">B2-MY-004</t>
  </si>
  <si>
    <r>
      <rPr>
        <sz val="11"/>
        <color rgb="FF20334A"/>
        <rFont val="Arial"/>
        <family val="2"/>
        <charset val="1"/>
      </rPr>
      <t xml:space="preserve">SAL001</t>
    </r>
    <r>
      <rPr>
        <sz val="11"/>
        <color rgb="FF20334A"/>
        <rFont val="Noto Sans CJK SC"/>
        <family val="2"/>
        <charset val="1"/>
      </rPr>
      <t xml:space="preserve">两语均跳印刷页</t>
    </r>
    <r>
      <rPr>
        <sz val="11"/>
        <color rgb="FF20334A"/>
        <rFont val="Arial"/>
        <family val="2"/>
        <charset val="1"/>
      </rPr>
      <t xml:space="preserve">2</t>
    </r>
    <r>
      <rPr>
        <sz val="11"/>
        <color rgb="FF20334A"/>
        <rFont val="Noto Sans CJK SC"/>
        <family val="2"/>
        <charset val="1"/>
      </rPr>
      <t xml:space="preserve">，性质待核；</t>
    </r>
    <r>
      <rPr>
        <sz val="11"/>
        <color rgb="FF20334A"/>
        <rFont val="Arial"/>
        <family val="2"/>
        <charset val="1"/>
      </rPr>
      <t xml:space="preserve">SAL002-005</t>
    </r>
    <r>
      <rPr>
        <sz val="11"/>
        <color rgb="FF20334A"/>
        <rFont val="Noto Sans CJK SC"/>
        <family val="2"/>
        <charset val="1"/>
      </rPr>
      <t xml:space="preserve">均在，双主保单号及机构现行采用未定。保留英马</t>
    </r>
    <r>
      <rPr>
        <sz val="11"/>
        <color rgb="FF20334A"/>
        <rFont val="Arial"/>
        <family val="2"/>
        <charset val="1"/>
      </rPr>
      <t xml:space="preserve">death OR/AND TPD</t>
    </r>
    <r>
      <rPr>
        <sz val="11"/>
        <color rgb="FF20334A"/>
        <rFont val="Noto Sans CJK SC"/>
        <family val="2"/>
        <charset val="1"/>
      </rPr>
      <t xml:space="preserve">、</t>
    </r>
    <r>
      <rPr>
        <sz val="11"/>
        <color rgb="FF20334A"/>
        <rFont val="Arial"/>
        <family val="2"/>
        <charset val="1"/>
      </rPr>
      <t xml:space="preserve">criminal law/law</t>
    </r>
    <r>
      <rPr>
        <sz val="11"/>
        <color rgb="FF20334A"/>
        <rFont val="Noto Sans CJK SC"/>
        <family val="2"/>
        <charset val="1"/>
      </rPr>
      <t xml:space="preserve">差异。</t>
    </r>
  </si>
  <si>
    <r>
      <rPr>
        <sz val="11"/>
        <color rgb="FF20334A"/>
        <rFont val="Noto Sans CJK SC"/>
        <family val="2"/>
        <charset val="1"/>
      </rPr>
      <t xml:space="preserve">现存</t>
    </r>
    <r>
      <rPr>
        <sz val="11"/>
        <color rgb="FF20334A"/>
        <rFont val="Arial"/>
        <family val="2"/>
        <charset val="1"/>
      </rPr>
      <t xml:space="preserve">36</t>
    </r>
    <r>
      <rPr>
        <sz val="11"/>
        <color rgb="FF20334A"/>
        <rFont val="Noto Sans CJK SC"/>
        <family val="2"/>
        <charset val="1"/>
      </rPr>
      <t xml:space="preserve">页逐页文本与视觉证据已独立验收。 </t>
    </r>
    <r>
      <rPr>
        <sz val="11"/>
        <color rgb="FF20334A"/>
        <rFont val="Arial"/>
        <family val="2"/>
        <charset val="1"/>
      </rPr>
      <t xml:space="preserve">SAL001</t>
    </r>
    <r>
      <rPr>
        <sz val="11"/>
        <color rgb="FF20334A"/>
        <rFont val="Noto Sans CJK SC"/>
        <family val="2"/>
        <charset val="1"/>
      </rPr>
      <t xml:space="preserve">两语均跳印刷页</t>
    </r>
    <r>
      <rPr>
        <sz val="11"/>
        <color rgb="FF20334A"/>
        <rFont val="Arial"/>
        <family val="2"/>
        <charset val="1"/>
      </rPr>
      <t xml:space="preserve">2</t>
    </r>
    <r>
      <rPr>
        <sz val="11"/>
        <color rgb="FF20334A"/>
        <rFont val="Noto Sans CJK SC"/>
        <family val="2"/>
        <charset val="1"/>
      </rPr>
      <t xml:space="preserve">，性质待核；</t>
    </r>
    <r>
      <rPr>
        <sz val="11"/>
        <color rgb="FF20334A"/>
        <rFont val="Arial"/>
        <family val="2"/>
        <charset val="1"/>
      </rPr>
      <t xml:space="preserve">SAL002-005</t>
    </r>
    <r>
      <rPr>
        <sz val="11"/>
        <color rgb="FF20334A"/>
        <rFont val="Noto Sans CJK SC"/>
        <family val="2"/>
        <charset val="1"/>
      </rPr>
      <t xml:space="preserve">均在，双主保单号及机构现行采用未定。保留英马</t>
    </r>
    <r>
      <rPr>
        <sz val="11"/>
        <color rgb="FF20334A"/>
        <rFont val="Arial"/>
        <family val="2"/>
        <charset val="1"/>
      </rPr>
      <t xml:space="preserve">death OR/AND TPD</t>
    </r>
    <r>
      <rPr>
        <sz val="11"/>
        <color rgb="FF20334A"/>
        <rFont val="Noto Sans CJK SC"/>
        <family val="2"/>
        <charset val="1"/>
      </rPr>
      <t xml:space="preserve">、</t>
    </r>
    <r>
      <rPr>
        <sz val="11"/>
        <color rgb="FF20334A"/>
        <rFont val="Arial"/>
        <family val="2"/>
        <charset val="1"/>
      </rPr>
      <t xml:space="preserve">criminal law/law</t>
    </r>
    <r>
      <rPr>
        <sz val="11"/>
        <color rgb="FF20334A"/>
        <rFont val="Noto Sans CJK SC"/>
        <family val="2"/>
        <charset val="1"/>
      </rPr>
      <t xml:space="preserve">差异。</t>
    </r>
  </si>
  <si>
    <t xml:space="preserve">MY-SUN-018</t>
  </si>
  <si>
    <t xml:space="preserve">B2-MY-005</t>
  </si>
  <si>
    <r>
      <rPr>
        <sz val="11"/>
        <color rgb="FF20334A"/>
        <rFont val="Arial"/>
        <family val="2"/>
        <charset val="1"/>
      </rPr>
      <t xml:space="preserve">CIS</t>
    </r>
    <r>
      <rPr>
        <sz val="11"/>
        <color rgb="FF20334A"/>
        <rFont val="Noto Sans CJK SC"/>
        <family val="2"/>
        <charset val="1"/>
      </rPr>
      <t xml:space="preserve">非主文；</t>
    </r>
    <r>
      <rPr>
        <sz val="11"/>
        <color rgb="FF20334A"/>
        <rFont val="Arial"/>
        <family val="2"/>
        <charset val="1"/>
      </rPr>
      <t xml:space="preserve">CIMB/GTLCIMB1124/Plan A</t>
    </r>
    <r>
      <rPr>
        <sz val="11"/>
        <color rgb="FF20334A"/>
        <rFont val="Noto Sans CJK SC"/>
        <family val="2"/>
        <charset val="1"/>
      </rPr>
      <t xml:space="preserve">可证，</t>
    </r>
    <r>
      <rPr>
        <sz val="11"/>
        <color rgb="FF20334A"/>
        <rFont val="Arial"/>
        <family val="2"/>
        <charset val="1"/>
      </rPr>
      <t xml:space="preserve">Plan B</t>
    </r>
    <r>
      <rPr>
        <sz val="11"/>
        <color rgb="FF20334A"/>
        <rFont val="Noto Sans CJK SC"/>
        <family val="2"/>
        <charset val="1"/>
      </rPr>
      <t xml:space="preserve">不并。</t>
    </r>
    <r>
      <rPr>
        <sz val="11"/>
        <color rgb="FF20334A"/>
        <rFont val="Arial"/>
        <family val="2"/>
        <charset val="1"/>
      </rPr>
      <t xml:space="preserve">p13-14</t>
    </r>
    <r>
      <rPr>
        <sz val="11"/>
        <color rgb="FF20334A"/>
        <rFont val="Noto Sans CJK SC"/>
        <family val="2"/>
        <charset val="1"/>
      </rPr>
      <t xml:space="preserve">马文误用</t>
    </r>
    <r>
      <rPr>
        <sz val="11"/>
        <color rgb="FF20334A"/>
        <rFont val="Arial"/>
        <family val="2"/>
        <charset val="1"/>
      </rPr>
      <t xml:space="preserve">tabarru</t>
    </r>
    <r>
      <rPr>
        <sz val="11"/>
        <color rgb="FF20334A"/>
        <rFont val="Noto Sans CJK SC"/>
        <family val="2"/>
        <charset val="1"/>
      </rPr>
      <t xml:space="preserve">基金与</t>
    </r>
    <r>
      <rPr>
        <sz val="11"/>
        <color rgb="FF20334A"/>
        <rFont val="Arial"/>
        <family val="2"/>
        <charset val="1"/>
      </rPr>
      <t xml:space="preserve">clause8</t>
    </r>
    <r>
      <rPr>
        <sz val="11"/>
        <color rgb="FF20334A"/>
        <rFont val="Noto Sans CJK SC"/>
        <family val="2"/>
        <charset val="1"/>
      </rPr>
      <t xml:space="preserve">错引保留，</t>
    </r>
    <r>
      <rPr>
        <sz val="11"/>
        <color rgb="FF20334A"/>
        <rFont val="Arial"/>
        <family val="2"/>
        <charset val="1"/>
      </rPr>
      <t xml:space="preserve">Appendix A</t>
    </r>
    <r>
      <rPr>
        <sz val="11"/>
        <color rgb="FF20334A"/>
        <rFont val="Noto Sans CJK SC"/>
        <family val="2"/>
        <charset val="1"/>
      </rPr>
      <t xml:space="preserve">已在</t>
    </r>
    <r>
      <rPr>
        <sz val="11"/>
        <color rgb="FF20334A"/>
        <rFont val="Arial"/>
        <family val="2"/>
        <charset val="1"/>
      </rPr>
      <t xml:space="preserve">p20-21</t>
    </r>
    <r>
      <rPr>
        <sz val="11"/>
        <color rgb="FF20334A"/>
        <rFont val="Noto Sans CJK SC"/>
        <family val="2"/>
        <charset val="1"/>
      </rPr>
      <t xml:space="preserve">。</t>
    </r>
  </si>
  <si>
    <r>
      <rPr>
        <sz val="11"/>
        <color rgb="FF20334A"/>
        <rFont val="Noto Sans CJK SC"/>
        <family val="2"/>
        <charset val="1"/>
      </rPr>
      <t xml:space="preserve">现存</t>
    </r>
    <r>
      <rPr>
        <sz val="11"/>
        <color rgb="FF20334A"/>
        <rFont val="Arial"/>
        <family val="2"/>
        <charset val="1"/>
      </rPr>
      <t xml:space="preserve">21</t>
    </r>
    <r>
      <rPr>
        <sz val="11"/>
        <color rgb="FF20334A"/>
        <rFont val="Noto Sans CJK SC"/>
        <family val="2"/>
        <charset val="1"/>
      </rPr>
      <t xml:space="preserve">页逐页文本与视觉证据已独立验收。 </t>
    </r>
    <r>
      <rPr>
        <sz val="11"/>
        <color rgb="FF20334A"/>
        <rFont val="Arial"/>
        <family val="2"/>
        <charset val="1"/>
      </rPr>
      <t xml:space="preserve">CIS</t>
    </r>
    <r>
      <rPr>
        <sz val="11"/>
        <color rgb="FF20334A"/>
        <rFont val="Noto Sans CJK SC"/>
        <family val="2"/>
        <charset val="1"/>
      </rPr>
      <t xml:space="preserve">非主文；</t>
    </r>
    <r>
      <rPr>
        <sz val="11"/>
        <color rgb="FF20334A"/>
        <rFont val="Arial"/>
        <family val="2"/>
        <charset val="1"/>
      </rPr>
      <t xml:space="preserve">CIMB/GTLCIMB1124/Plan A</t>
    </r>
    <r>
      <rPr>
        <sz val="11"/>
        <color rgb="FF20334A"/>
        <rFont val="Noto Sans CJK SC"/>
        <family val="2"/>
        <charset val="1"/>
      </rPr>
      <t xml:space="preserve">可证，</t>
    </r>
    <r>
      <rPr>
        <sz val="11"/>
        <color rgb="FF20334A"/>
        <rFont val="Arial"/>
        <family val="2"/>
        <charset val="1"/>
      </rPr>
      <t xml:space="preserve">Plan B</t>
    </r>
    <r>
      <rPr>
        <sz val="11"/>
        <color rgb="FF20334A"/>
        <rFont val="Noto Sans CJK SC"/>
        <family val="2"/>
        <charset val="1"/>
      </rPr>
      <t xml:space="preserve">不并。</t>
    </r>
    <r>
      <rPr>
        <sz val="11"/>
        <color rgb="FF20334A"/>
        <rFont val="Arial"/>
        <family val="2"/>
        <charset val="1"/>
      </rPr>
      <t xml:space="preserve">p13-14</t>
    </r>
    <r>
      <rPr>
        <sz val="11"/>
        <color rgb="FF20334A"/>
        <rFont val="Noto Sans CJK SC"/>
        <family val="2"/>
        <charset val="1"/>
      </rPr>
      <t xml:space="preserve">马文误用</t>
    </r>
    <r>
      <rPr>
        <sz val="11"/>
        <color rgb="FF20334A"/>
        <rFont val="Arial"/>
        <family val="2"/>
        <charset val="1"/>
      </rPr>
      <t xml:space="preserve">tabarru</t>
    </r>
    <r>
      <rPr>
        <sz val="11"/>
        <color rgb="FF20334A"/>
        <rFont val="Noto Sans CJK SC"/>
        <family val="2"/>
        <charset val="1"/>
      </rPr>
      <t xml:space="preserve">基金与</t>
    </r>
    <r>
      <rPr>
        <sz val="11"/>
        <color rgb="FF20334A"/>
        <rFont val="Arial"/>
        <family val="2"/>
        <charset val="1"/>
      </rPr>
      <t xml:space="preserve">clause8</t>
    </r>
    <r>
      <rPr>
        <sz val="11"/>
        <color rgb="FF20334A"/>
        <rFont val="Noto Sans CJK SC"/>
        <family val="2"/>
        <charset val="1"/>
      </rPr>
      <t xml:space="preserve">错引保留，</t>
    </r>
    <r>
      <rPr>
        <sz val="11"/>
        <color rgb="FF20334A"/>
        <rFont val="Arial"/>
        <family val="2"/>
        <charset val="1"/>
      </rPr>
      <t xml:space="preserve">Appendix A</t>
    </r>
    <r>
      <rPr>
        <sz val="11"/>
        <color rgb="FF20334A"/>
        <rFont val="Noto Sans CJK SC"/>
        <family val="2"/>
        <charset val="1"/>
      </rPr>
      <t xml:space="preserve">已在</t>
    </r>
    <r>
      <rPr>
        <sz val="11"/>
        <color rgb="FF20334A"/>
        <rFont val="Arial"/>
        <family val="2"/>
        <charset val="1"/>
      </rPr>
      <t xml:space="preserve">p20-21</t>
    </r>
    <r>
      <rPr>
        <sz val="11"/>
        <color rgb="FF20334A"/>
        <rFont val="Noto Sans CJK SC"/>
        <family val="2"/>
        <charset val="1"/>
      </rPr>
      <t xml:space="preserve">。</t>
    </r>
  </si>
  <si>
    <t xml:space="preserve">MY-SUP-002</t>
  </si>
  <si>
    <t xml:space="preserve">B2-HK-001</t>
  </si>
  <si>
    <r>
      <rPr>
        <sz val="11"/>
        <color rgb="FF20334A"/>
        <rFont val="Noto Sans CJK SC"/>
        <family val="2"/>
        <charset val="1"/>
      </rPr>
      <t xml:space="preserve">页面说明自身并非保单、未涵盖所有条款，完整条款须参阅保单文件；本次限定产品页</t>
    </r>
    <r>
      <rPr>
        <sz val="11"/>
        <color rgb="FF20334A"/>
        <rFont val="Arial"/>
        <family val="2"/>
        <charset val="1"/>
      </rPr>
      <t xml:space="preserve">/</t>
    </r>
    <r>
      <rPr>
        <sz val="11"/>
        <color rgb="FF20334A"/>
        <rFont val="Noto Sans CJK SC"/>
        <family val="2"/>
        <charset val="1"/>
      </rPr>
      <t xml:space="preserve">明确附件清单没有主文链接。</t>
    </r>
  </si>
  <si>
    <r>
      <rPr>
        <sz val="11"/>
        <color rgb="FF20334A"/>
        <rFont val="Noto Sans CJK SC"/>
        <family val="2"/>
        <charset val="1"/>
      </rPr>
      <t xml:space="preserve">限定公开路线及未取得主文的处理证据已验收。 页面说明自身并非保单、未涵盖所有条款，完整条款须参阅保单文件；本次限定产品页</t>
    </r>
    <r>
      <rPr>
        <sz val="11"/>
        <color rgb="FF20334A"/>
        <rFont val="Arial"/>
        <family val="2"/>
        <charset val="1"/>
      </rPr>
      <t xml:space="preserve">/</t>
    </r>
    <r>
      <rPr>
        <sz val="11"/>
        <color rgb="FF20334A"/>
        <rFont val="Noto Sans CJK SC"/>
        <family val="2"/>
        <charset val="1"/>
      </rPr>
      <t xml:space="preserve">明确附件清单没有主文链接。</t>
    </r>
  </si>
  <si>
    <t xml:space="preserve">保留主文缺口。仅在出现新的准确公开主文入口或取得明确索取授权后继续。</t>
  </si>
  <si>
    <t xml:space="preserve">YF Life</t>
  </si>
  <si>
    <t xml:space="preserve">限定路线已查，目标主文仍缺</t>
  </si>
  <si>
    <t xml:space="preserve">yf-beyond-infinity-savings-insurance-plan</t>
  </si>
  <si>
    <t xml:space="preserve">B2-HK-002</t>
  </si>
  <si>
    <r>
      <rPr>
        <sz val="11"/>
        <color rgb="FF20334A"/>
        <rFont val="Noto Sans CJK SC"/>
        <family val="2"/>
        <charset val="1"/>
      </rPr>
      <t xml:space="preserve">产品页只有说明书链接，没有主合同</t>
    </r>
    <r>
      <rPr>
        <sz val="11"/>
        <color rgb="FF20334A"/>
        <rFont val="Arial"/>
        <family val="2"/>
        <charset val="1"/>
      </rPr>
      <t xml:space="preserve">/</t>
    </r>
    <r>
      <rPr>
        <sz val="11"/>
        <color rgb="FF20334A"/>
        <rFont val="Noto Sans CJK SC"/>
        <family val="2"/>
        <charset val="1"/>
      </rPr>
      <t xml:space="preserve">保单条款下载；支持册不能代替完整正文。</t>
    </r>
  </si>
  <si>
    <r>
      <rPr>
        <sz val="11"/>
        <color rgb="FF20334A"/>
        <rFont val="Noto Sans CJK SC"/>
        <family val="2"/>
        <charset val="1"/>
      </rPr>
      <t xml:space="preserve">限定公开路线及未取得主文的处理证据已验收。 产品页只有说明书链接，没有主合同</t>
    </r>
    <r>
      <rPr>
        <sz val="11"/>
        <color rgb="FF20334A"/>
        <rFont val="Arial"/>
        <family val="2"/>
        <charset val="1"/>
      </rPr>
      <t xml:space="preserve">/</t>
    </r>
    <r>
      <rPr>
        <sz val="11"/>
        <color rgb="FF20334A"/>
        <rFont val="Noto Sans CJK SC"/>
        <family val="2"/>
        <charset val="1"/>
      </rPr>
      <t xml:space="preserve">保单条款下载；支持册不能代替完整正文。</t>
    </r>
  </si>
  <si>
    <t xml:space="preserve">Fubon Life Insurance (Hong Kong) Company Limited</t>
  </si>
  <si>
    <t xml:space="preserve">fubon-wealth-horizon-multi-currency</t>
  </si>
  <si>
    <t xml:space="preserve">B2-HK-003</t>
  </si>
  <si>
    <r>
      <rPr>
        <sz val="11"/>
        <color rgb="FF20334A"/>
        <rFont val="Noto Sans CJK SC"/>
        <family val="2"/>
        <charset val="1"/>
      </rPr>
      <t xml:space="preserve">页面明确不是完整保单条款，</t>
    </r>
    <r>
      <rPr>
        <sz val="11"/>
        <color rgb="FF20334A"/>
        <rFont val="Arial"/>
        <family val="2"/>
        <charset val="1"/>
      </rPr>
      <t xml:space="preserve">copy of policy document available upon request</t>
    </r>
    <r>
      <rPr>
        <sz val="11"/>
        <color rgb="FF20334A"/>
        <rFont val="Noto Sans CJK SC"/>
        <family val="2"/>
        <charset val="1"/>
      </rPr>
      <t xml:space="preserve">；没有公开主文链接。未提交请求或联系销售。</t>
    </r>
  </si>
  <si>
    <r>
      <rPr>
        <sz val="11"/>
        <color rgb="FF20334A"/>
        <rFont val="Noto Sans CJK SC"/>
        <family val="2"/>
        <charset val="1"/>
      </rPr>
      <t xml:space="preserve">限定公开路线及未取得主文的处理证据已验收。 页面明确不是完整保单条款，</t>
    </r>
    <r>
      <rPr>
        <sz val="11"/>
        <color rgb="FF20334A"/>
        <rFont val="Arial"/>
        <family val="2"/>
        <charset val="1"/>
      </rPr>
      <t xml:space="preserve">copy of policy document available upon request</t>
    </r>
    <r>
      <rPr>
        <sz val="11"/>
        <color rgb="FF20334A"/>
        <rFont val="Noto Sans CJK SC"/>
        <family val="2"/>
        <charset val="1"/>
      </rPr>
      <t xml:space="preserve">；没有公开主文链接。未提交请求或联系销售。</t>
    </r>
  </si>
  <si>
    <t xml:space="preserve">Hong Kong Life Insurance Limited</t>
  </si>
  <si>
    <t xml:space="preserve">hklife-prime-prestige-savings</t>
  </si>
  <si>
    <t xml:space="preserve">B2-HK-004</t>
  </si>
  <si>
    <r>
      <rPr>
        <sz val="11"/>
        <color rgb="FF20334A"/>
        <rFont val="Noto Sans CJK SC"/>
        <family val="2"/>
        <charset val="1"/>
      </rPr>
      <t xml:space="preserve">页面明确不是保险合同的一部分，完整条款以 </t>
    </r>
    <r>
      <rPr>
        <sz val="11"/>
        <color rgb="FF20334A"/>
        <rFont val="Arial"/>
        <family val="2"/>
        <charset val="1"/>
      </rPr>
      <t xml:space="preserve">policy provisions </t>
    </r>
    <r>
      <rPr>
        <sz val="11"/>
        <color rgb="FF20334A"/>
        <rFont val="Noto Sans CJK SC"/>
        <family val="2"/>
        <charset val="1"/>
      </rPr>
      <t xml:space="preserve">为准；给出的 </t>
    </r>
    <r>
      <rPr>
        <sz val="11"/>
        <color rgb="FF20334A"/>
        <rFont val="Arial"/>
        <family val="2"/>
        <charset val="1"/>
      </rPr>
      <t xml:space="preserve">PDF </t>
    </r>
    <r>
      <rPr>
        <sz val="11"/>
        <color rgb="FF20334A"/>
        <rFont val="Noto Sans CJK SC"/>
        <family val="2"/>
        <charset val="1"/>
      </rPr>
      <t xml:space="preserve">都是支持件，没有主文下载。</t>
    </r>
  </si>
  <si>
    <r>
      <rPr>
        <sz val="11"/>
        <color rgb="FF20334A"/>
        <rFont val="Noto Sans CJK SC"/>
        <family val="2"/>
        <charset val="1"/>
      </rPr>
      <t xml:space="preserve">限定公开路线及未取得主文的处理证据已验收。 页面明确不是保险合同的一部分，完整条款以 </t>
    </r>
    <r>
      <rPr>
        <sz val="11"/>
        <color rgb="FF20334A"/>
        <rFont val="Arial"/>
        <family val="2"/>
        <charset val="1"/>
      </rPr>
      <t xml:space="preserve">policy provisions </t>
    </r>
    <r>
      <rPr>
        <sz val="11"/>
        <color rgb="FF20334A"/>
        <rFont val="Noto Sans CJK SC"/>
        <family val="2"/>
        <charset val="1"/>
      </rPr>
      <t xml:space="preserve">为准；给出的 </t>
    </r>
    <r>
      <rPr>
        <sz val="11"/>
        <color rgb="FF20334A"/>
        <rFont val="Arial"/>
        <family val="2"/>
        <charset val="1"/>
      </rPr>
      <t xml:space="preserve">PDF </t>
    </r>
    <r>
      <rPr>
        <sz val="11"/>
        <color rgb="FF20334A"/>
        <rFont val="Noto Sans CJK SC"/>
        <family val="2"/>
        <charset val="1"/>
      </rPr>
      <t xml:space="preserve">都是支持件，没有主文下载。</t>
    </r>
  </si>
  <si>
    <t xml:space="preserve">Zurich Life Insurance (Hong Kong) Limited</t>
  </si>
  <si>
    <t xml:space="preserve">zurich-life-hk-swiss-fortune</t>
  </si>
  <si>
    <t xml:space="preserve">B2-KH-001</t>
  </si>
  <si>
    <t xml:space="preserve">柬埔寨</t>
  </si>
  <si>
    <r>
      <rPr>
        <sz val="11"/>
        <color rgb="FF20334A"/>
        <rFont val="Arial"/>
        <family val="2"/>
        <charset val="1"/>
      </rPr>
      <t xml:space="preserve">32</t>
    </r>
    <r>
      <rPr>
        <sz val="11"/>
        <color rgb="FF20334A"/>
        <rFont val="Noto Sans CJK SC"/>
        <family val="2"/>
        <charset val="1"/>
      </rPr>
      <t xml:space="preserve">页均可视，但</t>
    </r>
    <r>
      <rPr>
        <sz val="11"/>
        <color rgb="FF20334A"/>
        <rFont val="Arial"/>
        <family val="2"/>
        <charset val="1"/>
      </rPr>
      <t xml:space="preserve">p2-31</t>
    </r>
    <r>
      <rPr>
        <sz val="11"/>
        <color rgb="FF20334A"/>
        <rFont val="Noto Sans CJK SC"/>
        <family val="2"/>
        <charset val="1"/>
      </rPr>
      <t xml:space="preserve">高棉语法律语义不可靠；部分核验，全文与严格新增均为</t>
    </r>
    <r>
      <rPr>
        <sz val="11"/>
        <color rgb="FF20334A"/>
        <rFont val="Arial"/>
        <family val="2"/>
        <charset val="1"/>
      </rPr>
      <t xml:space="preserve">0</t>
    </r>
    <r>
      <rPr>
        <sz val="11"/>
        <color rgb="FF20334A"/>
        <rFont val="Noto Sans CJK SC"/>
        <family val="2"/>
        <charset val="1"/>
      </rPr>
      <t xml:space="preserve">；版本码</t>
    </r>
    <r>
      <rPr>
        <sz val="11"/>
        <color rgb="FF20334A"/>
        <rFont val="Arial"/>
        <family val="2"/>
        <charset val="1"/>
      </rPr>
      <t xml:space="preserve">/</t>
    </r>
    <r>
      <rPr>
        <sz val="11"/>
        <color rgb="FF20334A"/>
        <rFont val="Noto Sans CJK SC"/>
        <family val="2"/>
        <charset val="1"/>
      </rPr>
      <t xml:space="preserve">购单标签</t>
    </r>
    <r>
      <rPr>
        <sz val="11"/>
        <color rgb="FF20334A"/>
        <rFont val="Arial"/>
        <family val="2"/>
        <charset val="1"/>
      </rPr>
      <t xml:space="preserve">/</t>
    </r>
    <r>
      <rPr>
        <sz val="11"/>
        <color rgb="FF20334A"/>
        <rFont val="Noto Sans CJK SC"/>
        <family val="2"/>
        <charset val="1"/>
      </rPr>
      <t xml:space="preserve">元数据不得代替统一生效日。</t>
    </r>
  </si>
  <si>
    <r>
      <rPr>
        <sz val="11"/>
        <color rgb="FF20334A"/>
        <rFont val="Arial"/>
        <family val="2"/>
        <charset val="1"/>
      </rPr>
      <t xml:space="preserve">32</t>
    </r>
    <r>
      <rPr>
        <sz val="11"/>
        <color rgb="FF20334A"/>
        <rFont val="Noto Sans CJK SC"/>
        <family val="2"/>
        <charset val="1"/>
      </rPr>
      <t xml:space="preserve">页视觉结构证据已验收。第</t>
    </r>
    <r>
      <rPr>
        <sz val="11"/>
        <color rgb="FF20334A"/>
        <rFont val="Arial"/>
        <family val="2"/>
        <charset val="1"/>
      </rPr>
      <t xml:space="preserve">2–31</t>
    </r>
    <r>
      <rPr>
        <sz val="11"/>
        <color rgb="FF20334A"/>
        <rFont val="Noto Sans CJK SC"/>
        <family val="2"/>
        <charset val="1"/>
      </rPr>
      <t xml:space="preserve">页高棉语法律语义未可靠审读。 </t>
    </r>
    <r>
      <rPr>
        <sz val="11"/>
        <color rgb="FF20334A"/>
        <rFont val="Arial"/>
        <family val="2"/>
        <charset val="1"/>
      </rPr>
      <t xml:space="preserve">32</t>
    </r>
    <r>
      <rPr>
        <sz val="11"/>
        <color rgb="FF20334A"/>
        <rFont val="Noto Sans CJK SC"/>
        <family val="2"/>
        <charset val="1"/>
      </rPr>
      <t xml:space="preserve">页均可视，但</t>
    </r>
    <r>
      <rPr>
        <sz val="11"/>
        <color rgb="FF20334A"/>
        <rFont val="Arial"/>
        <family val="2"/>
        <charset val="1"/>
      </rPr>
      <t xml:space="preserve">p2-31</t>
    </r>
    <r>
      <rPr>
        <sz val="11"/>
        <color rgb="FF20334A"/>
        <rFont val="Noto Sans CJK SC"/>
        <family val="2"/>
        <charset val="1"/>
      </rPr>
      <t xml:space="preserve">高棉语法律语义不可靠；部分核验，全文与严格新增均为</t>
    </r>
    <r>
      <rPr>
        <sz val="11"/>
        <color rgb="FF20334A"/>
        <rFont val="Arial"/>
        <family val="2"/>
        <charset val="1"/>
      </rPr>
      <t xml:space="preserve">0</t>
    </r>
    <r>
      <rPr>
        <sz val="11"/>
        <color rgb="FF20334A"/>
        <rFont val="Noto Sans CJK SC"/>
        <family val="2"/>
        <charset val="1"/>
      </rPr>
      <t xml:space="preserve">；版本码</t>
    </r>
    <r>
      <rPr>
        <sz val="11"/>
        <color rgb="FF20334A"/>
        <rFont val="Arial"/>
        <family val="2"/>
        <charset val="1"/>
      </rPr>
      <t xml:space="preserve">/</t>
    </r>
    <r>
      <rPr>
        <sz val="11"/>
        <color rgb="FF20334A"/>
        <rFont val="Noto Sans CJK SC"/>
        <family val="2"/>
        <charset val="1"/>
      </rPr>
      <t xml:space="preserve">购单标签</t>
    </r>
    <r>
      <rPr>
        <sz val="11"/>
        <color rgb="FF20334A"/>
        <rFont val="Arial"/>
        <family val="2"/>
        <charset val="1"/>
      </rPr>
      <t xml:space="preserve">/</t>
    </r>
    <r>
      <rPr>
        <sz val="11"/>
        <color rgb="FF20334A"/>
        <rFont val="Noto Sans CJK SC"/>
        <family val="2"/>
        <charset val="1"/>
      </rPr>
      <t xml:space="preserve">元数据不得代替统一生效日。</t>
    </r>
  </si>
  <si>
    <r>
      <rPr>
        <sz val="11"/>
        <color rgb="FF20334A"/>
        <rFont val="Noto Sans CJK SC"/>
        <family val="2"/>
        <charset val="1"/>
      </rPr>
      <t xml:space="preserve">需具备高棉语能力的审读者核验第</t>
    </r>
    <r>
      <rPr>
        <sz val="11"/>
        <color rgb="FF20334A"/>
        <rFont val="Arial"/>
        <family val="2"/>
        <charset val="1"/>
      </rPr>
      <t xml:space="preserve">2–31</t>
    </r>
    <r>
      <rPr>
        <sz val="11"/>
        <color rgb="FF20334A"/>
        <rFont val="Noto Sans CJK SC"/>
        <family val="2"/>
        <charset val="1"/>
      </rPr>
      <t xml:space="preserve">页。仅此阻碍解除并复核后才可判断全文与角色。</t>
    </r>
  </si>
  <si>
    <t xml:space="preserve">Daiichi Life Insurance (Cambodia) PLC.</t>
  </si>
  <si>
    <t xml:space="preserve">部分核验，语言依赖未解</t>
  </si>
  <si>
    <t xml:space="preserve">KH-dai-easy-wording</t>
  </si>
  <si>
    <t xml:space="preserve">B2-KH-002</t>
  </si>
  <si>
    <r>
      <rPr>
        <sz val="11"/>
        <color rgb="FF20334A"/>
        <rFont val="Arial"/>
        <family val="2"/>
        <charset val="1"/>
      </rPr>
      <t xml:space="preserve">18</t>
    </r>
    <r>
      <rPr>
        <sz val="11"/>
        <color rgb="FF20334A"/>
        <rFont val="Noto Sans CJK SC"/>
        <family val="2"/>
        <charset val="1"/>
      </rPr>
      <t xml:space="preserve">页现存全文通过；</t>
    </r>
    <r>
      <rPr>
        <sz val="11"/>
        <color rgb="FF20334A"/>
        <rFont val="Arial"/>
        <family val="2"/>
        <charset val="1"/>
      </rPr>
      <t xml:space="preserve">p6</t>
    </r>
    <r>
      <rPr>
        <sz val="11"/>
        <color rgb="FF20334A"/>
        <rFont val="Noto Sans CJK SC"/>
        <family val="2"/>
        <charset val="1"/>
      </rPr>
      <t xml:space="preserve">暂停恢复与</t>
    </r>
    <r>
      <rPr>
        <sz val="11"/>
        <color rgb="FF20334A"/>
        <rFont val="Arial"/>
        <family val="2"/>
        <charset val="1"/>
      </rPr>
      <t xml:space="preserve">p10</t>
    </r>
    <r>
      <rPr>
        <sz val="11"/>
        <color rgb="FF20334A"/>
        <rFont val="Noto Sans CJK SC"/>
        <family val="2"/>
        <charset val="1"/>
      </rPr>
      <t xml:space="preserve">终止、</t>
    </r>
    <r>
      <rPr>
        <sz val="11"/>
        <color rgb="FF20334A"/>
        <rFont val="Arial"/>
        <family val="2"/>
        <charset val="1"/>
      </rPr>
      <t xml:space="preserve">p4-5 &gt;2</t>
    </r>
    <r>
      <rPr>
        <sz val="11"/>
        <color rgb="FF20334A"/>
        <rFont val="Noto Sans CJK SC"/>
        <family val="2"/>
        <charset val="1"/>
      </rPr>
      <t xml:space="preserve">小时与</t>
    </r>
    <r>
      <rPr>
        <sz val="11"/>
        <color rgb="FF20334A"/>
        <rFont val="Arial"/>
        <family val="2"/>
        <charset val="1"/>
      </rPr>
      <t xml:space="preserve">p12 &gt;=2</t>
    </r>
    <r>
      <rPr>
        <sz val="11"/>
        <color rgb="FF20334A"/>
        <rFont val="Noto Sans CJK SC"/>
        <family val="2"/>
        <charset val="1"/>
      </rPr>
      <t xml:space="preserve">小时、</t>
    </r>
    <r>
      <rPr>
        <sz val="11"/>
        <color rgb="FF20334A"/>
        <rFont val="Arial"/>
        <family val="2"/>
        <charset val="1"/>
      </rPr>
      <t xml:space="preserve">p8</t>
    </r>
    <r>
      <rPr>
        <sz val="11"/>
        <color rgb="FF20334A"/>
        <rFont val="Noto Sans CJK SC"/>
        <family val="2"/>
        <charset val="1"/>
      </rPr>
      <t xml:space="preserve">购单条件与当前</t>
    </r>
    <r>
      <rPr>
        <sz val="11"/>
        <color rgb="FF20334A"/>
        <rFont val="Arial"/>
        <family val="2"/>
        <charset val="1"/>
      </rPr>
      <t xml:space="preserve">FAQ</t>
    </r>
    <r>
      <rPr>
        <sz val="11"/>
        <color rgb="FF20334A"/>
        <rFont val="Noto Sans CJK SC"/>
        <family val="2"/>
        <charset val="1"/>
      </rPr>
      <t xml:space="preserve">、</t>
    </r>
    <r>
      <rPr>
        <sz val="11"/>
        <color rgb="FF20334A"/>
        <rFont val="Arial"/>
        <family val="2"/>
        <charset val="1"/>
      </rPr>
      <t xml:space="preserve">p18</t>
    </r>
    <r>
      <rPr>
        <sz val="11"/>
        <color rgb="FF20334A"/>
        <rFont val="Noto Sans CJK SC"/>
        <family val="2"/>
        <charset val="1"/>
      </rPr>
      <t xml:space="preserve">诉期措辞冲突未解决。仍待核验</t>
    </r>
    <r>
      <rPr>
        <sz val="11"/>
        <color rgb="FF20334A"/>
        <rFont val="Arial"/>
        <family val="2"/>
        <charset val="1"/>
      </rPr>
      <t xml:space="preserve">/</t>
    </r>
    <r>
      <rPr>
        <sz val="11"/>
        <color rgb="FF20334A"/>
        <rFont val="Noto Sans CJK SC"/>
        <family val="2"/>
        <charset val="1"/>
      </rPr>
      <t xml:space="preserve">严格新增</t>
    </r>
    <r>
      <rPr>
        <sz val="11"/>
        <color rgb="FF20334A"/>
        <rFont val="Arial"/>
        <family val="2"/>
        <charset val="1"/>
      </rPr>
      <t xml:space="preserve">0</t>
    </r>
    <r>
      <rPr>
        <sz val="11"/>
        <color rgb="FF20334A"/>
        <rFont val="Noto Sans CJK SC"/>
        <family val="2"/>
        <charset val="1"/>
      </rPr>
      <t xml:space="preserve">；理赔表是服务包缺件非主文核心缺件。</t>
    </r>
  </si>
  <si>
    <r>
      <rPr>
        <sz val="11"/>
        <color rgb="FF20334A"/>
        <rFont val="Noto Sans CJK SC"/>
        <family val="2"/>
        <charset val="1"/>
      </rPr>
      <t xml:space="preserve">现存</t>
    </r>
    <r>
      <rPr>
        <sz val="11"/>
        <color rgb="FF20334A"/>
        <rFont val="Arial"/>
        <family val="2"/>
        <charset val="1"/>
      </rPr>
      <t xml:space="preserve">18</t>
    </r>
    <r>
      <rPr>
        <sz val="11"/>
        <color rgb="FF20334A"/>
        <rFont val="Noto Sans CJK SC"/>
        <family val="2"/>
        <charset val="1"/>
      </rPr>
      <t xml:space="preserve">页逐页文本与视觉证据已独立验收。 </t>
    </r>
    <r>
      <rPr>
        <sz val="11"/>
        <color rgb="FF20334A"/>
        <rFont val="Arial"/>
        <family val="2"/>
        <charset val="1"/>
      </rPr>
      <t xml:space="preserve">18</t>
    </r>
    <r>
      <rPr>
        <sz val="11"/>
        <color rgb="FF20334A"/>
        <rFont val="Noto Sans CJK SC"/>
        <family val="2"/>
        <charset val="1"/>
      </rPr>
      <t xml:space="preserve">页现存全文通过；</t>
    </r>
    <r>
      <rPr>
        <sz val="11"/>
        <color rgb="FF20334A"/>
        <rFont val="Arial"/>
        <family val="2"/>
        <charset val="1"/>
      </rPr>
      <t xml:space="preserve">p6</t>
    </r>
    <r>
      <rPr>
        <sz val="11"/>
        <color rgb="FF20334A"/>
        <rFont val="Noto Sans CJK SC"/>
        <family val="2"/>
        <charset val="1"/>
      </rPr>
      <t xml:space="preserve">暂停恢复与</t>
    </r>
    <r>
      <rPr>
        <sz val="11"/>
        <color rgb="FF20334A"/>
        <rFont val="Arial"/>
        <family val="2"/>
        <charset val="1"/>
      </rPr>
      <t xml:space="preserve">p10</t>
    </r>
    <r>
      <rPr>
        <sz val="11"/>
        <color rgb="FF20334A"/>
        <rFont val="Noto Sans CJK SC"/>
        <family val="2"/>
        <charset val="1"/>
      </rPr>
      <t xml:space="preserve">终止、</t>
    </r>
    <r>
      <rPr>
        <sz val="11"/>
        <color rgb="FF20334A"/>
        <rFont val="Arial"/>
        <family val="2"/>
        <charset val="1"/>
      </rPr>
      <t xml:space="preserve">p4-5 &gt;2</t>
    </r>
    <r>
      <rPr>
        <sz val="11"/>
        <color rgb="FF20334A"/>
        <rFont val="Noto Sans CJK SC"/>
        <family val="2"/>
        <charset val="1"/>
      </rPr>
      <t xml:space="preserve">小时与</t>
    </r>
    <r>
      <rPr>
        <sz val="11"/>
        <color rgb="FF20334A"/>
        <rFont val="Arial"/>
        <family val="2"/>
        <charset val="1"/>
      </rPr>
      <t xml:space="preserve">p12 &gt;=2</t>
    </r>
    <r>
      <rPr>
        <sz val="11"/>
        <color rgb="FF20334A"/>
        <rFont val="Noto Sans CJK SC"/>
        <family val="2"/>
        <charset val="1"/>
      </rPr>
      <t xml:space="preserve">小时、</t>
    </r>
    <r>
      <rPr>
        <sz val="11"/>
        <color rgb="FF20334A"/>
        <rFont val="Arial"/>
        <family val="2"/>
        <charset val="1"/>
      </rPr>
      <t xml:space="preserve">p8</t>
    </r>
    <r>
      <rPr>
        <sz val="11"/>
        <color rgb="FF20334A"/>
        <rFont val="Noto Sans CJK SC"/>
        <family val="2"/>
        <charset val="1"/>
      </rPr>
      <t xml:space="preserve">购单条件与当前</t>
    </r>
    <r>
      <rPr>
        <sz val="11"/>
        <color rgb="FF20334A"/>
        <rFont val="Arial"/>
        <family val="2"/>
        <charset val="1"/>
      </rPr>
      <t xml:space="preserve">FAQ</t>
    </r>
    <r>
      <rPr>
        <sz val="11"/>
        <color rgb="FF20334A"/>
        <rFont val="Noto Sans CJK SC"/>
        <family val="2"/>
        <charset val="1"/>
      </rPr>
      <t xml:space="preserve">、</t>
    </r>
    <r>
      <rPr>
        <sz val="11"/>
        <color rgb="FF20334A"/>
        <rFont val="Arial"/>
        <family val="2"/>
        <charset val="1"/>
      </rPr>
      <t xml:space="preserve">p18</t>
    </r>
    <r>
      <rPr>
        <sz val="11"/>
        <color rgb="FF20334A"/>
        <rFont val="Noto Sans CJK SC"/>
        <family val="2"/>
        <charset val="1"/>
      </rPr>
      <t xml:space="preserve">诉期措辞冲突未解决。仍待核验</t>
    </r>
    <r>
      <rPr>
        <sz val="11"/>
        <color rgb="FF20334A"/>
        <rFont val="Arial"/>
        <family val="2"/>
        <charset val="1"/>
      </rPr>
      <t xml:space="preserve">/</t>
    </r>
    <r>
      <rPr>
        <sz val="11"/>
        <color rgb="FF20334A"/>
        <rFont val="Noto Sans CJK SC"/>
        <family val="2"/>
        <charset val="1"/>
      </rPr>
      <t xml:space="preserve">严格新增</t>
    </r>
    <r>
      <rPr>
        <sz val="11"/>
        <color rgb="FF20334A"/>
        <rFont val="Arial"/>
        <family val="2"/>
        <charset val="1"/>
      </rPr>
      <t xml:space="preserve">0</t>
    </r>
    <r>
      <rPr>
        <sz val="11"/>
        <color rgb="FF20334A"/>
        <rFont val="Noto Sans CJK SC"/>
        <family val="2"/>
        <charset val="1"/>
      </rPr>
      <t xml:space="preserve">；理赔表是服务包缺件非主文核心缺件。</t>
    </r>
  </si>
  <si>
    <t xml:space="preserve">Forte Insurance (Cambodia) PLC.</t>
  </si>
  <si>
    <t xml:space="preserve">KH-tuneprotect-current</t>
  </si>
  <si>
    <t xml:space="preserve">B3-MY-001</t>
  </si>
  <si>
    <r>
      <rPr>
        <sz val="11"/>
        <color rgb="FF20334A"/>
        <rFont val="Noto Sans CJK SC"/>
        <family val="2"/>
        <charset val="1"/>
      </rPr>
      <t xml:space="preserve">现存</t>
    </r>
    <r>
      <rPr>
        <sz val="11"/>
        <color rgb="FF20334A"/>
        <rFont val="Arial"/>
        <family val="2"/>
        <charset val="1"/>
      </rPr>
      <t xml:space="preserve">34</t>
    </r>
    <r>
      <rPr>
        <sz val="11"/>
        <color rgb="FF20334A"/>
        <rFont val="Noto Sans CJK SC"/>
        <family val="2"/>
        <charset val="1"/>
      </rPr>
      <t xml:space="preserve">页全文审读已验收；具名主条款角色已核，附表／版本／语言或关联材料问题仍待核。</t>
    </r>
  </si>
  <si>
    <r>
      <rPr>
        <sz val="11"/>
        <color rgb="FF20334A"/>
        <rFont val="Arial"/>
        <family val="2"/>
        <charset val="1"/>
      </rPr>
      <t xml:space="preserve">B3</t>
    </r>
    <r>
      <rPr>
        <sz val="11"/>
        <color rgb="FF20334A"/>
        <rFont val="Noto Sans CJK SC"/>
        <family val="2"/>
        <charset val="1"/>
      </rPr>
      <t xml:space="preserve">独立</t>
    </r>
    <r>
      <rPr>
        <sz val="11"/>
        <color rgb="FF20334A"/>
        <rFont val="Arial"/>
        <family val="2"/>
        <charset val="1"/>
      </rPr>
      <t xml:space="preserve">QA · B3-MY-001</t>
    </r>
    <r>
      <rPr>
        <sz val="11"/>
        <color rgb="FF20334A"/>
        <rFont val="Noto Sans CJK SC"/>
        <family val="2"/>
        <charset val="1"/>
      </rPr>
      <t xml:space="preserve">；</t>
    </r>
    <r>
      <rPr>
        <sz val="11"/>
        <color rgb="FF20334A"/>
        <rFont val="Arial"/>
        <family val="2"/>
        <charset val="1"/>
      </rPr>
      <t xml:space="preserve">34</t>
    </r>
    <r>
      <rPr>
        <sz val="11"/>
        <color rgb="FF20334A"/>
        <rFont val="Noto Sans CJK SC"/>
        <family val="2"/>
        <charset val="1"/>
      </rPr>
      <t xml:space="preserve">物理页现存文件全文证据。</t>
    </r>
  </si>
  <si>
    <t xml:space="preserve">仅按已记录引用页和问题定点核证；未解除前不计严格或当前合同包齐备，不索取真实客户资料。</t>
  </si>
  <si>
    <t xml:space="preserve">B3</t>
  </si>
  <si>
    <t xml:space="preserve">现存页全文已审，合同／适用仍待核</t>
  </si>
  <si>
    <t xml:space="preserve">具名主合同材料；仍待核验</t>
  </si>
  <si>
    <t xml:space="preserve">既存具名主文材料，当前适用未核</t>
  </si>
  <si>
    <t xml:space="preserve">未确认齐备</t>
  </si>
  <si>
    <t xml:space="preserve">未核定（不等于否定）</t>
  </si>
  <si>
    <t xml:space="preserve">既存原件／既有验收事实；非本批重新下载</t>
  </si>
  <si>
    <r>
      <rPr>
        <sz val="11"/>
        <color rgb="FF20334A"/>
        <rFont val="Noto Sans CJK SC"/>
        <family val="2"/>
        <charset val="1"/>
      </rPr>
      <t xml:space="preserve">全文仅指该</t>
    </r>
    <r>
      <rPr>
        <sz val="11"/>
        <color rgb="FF20334A"/>
        <rFont val="Arial"/>
        <family val="2"/>
        <charset val="1"/>
      </rPr>
      <t xml:space="preserve">SHA</t>
    </r>
    <r>
      <rPr>
        <sz val="11"/>
        <color rgb="FF20334A"/>
        <rFont val="Noto Sans CJK SC"/>
        <family val="2"/>
        <charset val="1"/>
      </rPr>
      <t xml:space="preserve">现存全部页面；不代表当前标准合同包齐全。</t>
    </r>
  </si>
  <si>
    <t xml:space="preserve">MY-SUN-006</t>
  </si>
  <si>
    <t xml:space="preserve">B3-MY-002</t>
  </si>
  <si>
    <r>
      <rPr>
        <sz val="11"/>
        <color rgb="FF20334A"/>
        <rFont val="Noto Sans CJK SC"/>
        <family val="2"/>
        <charset val="1"/>
      </rPr>
      <t xml:space="preserve">现存</t>
    </r>
    <r>
      <rPr>
        <sz val="11"/>
        <color rgb="FF20334A"/>
        <rFont val="Arial"/>
        <family val="2"/>
        <charset val="1"/>
      </rPr>
      <t xml:space="preserve">48</t>
    </r>
    <r>
      <rPr>
        <sz val="11"/>
        <color rgb="FF20334A"/>
        <rFont val="Noto Sans CJK SC"/>
        <family val="2"/>
        <charset val="1"/>
      </rPr>
      <t xml:space="preserve">页全文审读已验收；具名主条款角色已核，附表／版本／语言或关联材料问题仍待核。</t>
    </r>
  </si>
  <si>
    <r>
      <rPr>
        <sz val="11"/>
        <color rgb="FF20334A"/>
        <rFont val="Arial"/>
        <family val="2"/>
        <charset val="1"/>
      </rPr>
      <t xml:space="preserve">B3</t>
    </r>
    <r>
      <rPr>
        <sz val="11"/>
        <color rgb="FF20334A"/>
        <rFont val="Noto Sans CJK SC"/>
        <family val="2"/>
        <charset val="1"/>
      </rPr>
      <t xml:space="preserve">独立</t>
    </r>
    <r>
      <rPr>
        <sz val="11"/>
        <color rgb="FF20334A"/>
        <rFont val="Arial"/>
        <family val="2"/>
        <charset val="1"/>
      </rPr>
      <t xml:space="preserve">QA · B3-MY-002</t>
    </r>
    <r>
      <rPr>
        <sz val="11"/>
        <color rgb="FF20334A"/>
        <rFont val="Noto Sans CJK SC"/>
        <family val="2"/>
        <charset val="1"/>
      </rPr>
      <t xml:space="preserve">；</t>
    </r>
    <r>
      <rPr>
        <sz val="11"/>
        <color rgb="FF20334A"/>
        <rFont val="Arial"/>
        <family val="2"/>
        <charset val="1"/>
      </rPr>
      <t xml:space="preserve">48</t>
    </r>
    <r>
      <rPr>
        <sz val="11"/>
        <color rgb="FF20334A"/>
        <rFont val="Noto Sans CJK SC"/>
        <family val="2"/>
        <charset val="1"/>
      </rPr>
      <t xml:space="preserve">物理页现存文件全文证据。</t>
    </r>
  </si>
  <si>
    <t xml:space="preserve">MY-SUN-019</t>
  </si>
  <si>
    <t xml:space="preserve">B3-MY-003</t>
  </si>
  <si>
    <r>
      <rPr>
        <sz val="11"/>
        <color rgb="FF20334A"/>
        <rFont val="Noto Sans CJK SC"/>
        <family val="2"/>
        <charset val="1"/>
      </rPr>
      <t xml:space="preserve">现存</t>
    </r>
    <r>
      <rPr>
        <sz val="11"/>
        <color rgb="FF20334A"/>
        <rFont val="Arial"/>
        <family val="2"/>
        <charset val="1"/>
      </rPr>
      <t xml:space="preserve">23</t>
    </r>
    <r>
      <rPr>
        <sz val="11"/>
        <color rgb="FF20334A"/>
        <rFont val="Noto Sans CJK SC"/>
        <family val="2"/>
        <charset val="1"/>
      </rPr>
      <t xml:space="preserve">页全文审读已验收；具名主条款角色已核，附表／版本／语言或关联材料问题仍待核。</t>
    </r>
  </si>
  <si>
    <r>
      <rPr>
        <sz val="11"/>
        <color rgb="FF20334A"/>
        <rFont val="Arial"/>
        <family val="2"/>
        <charset val="1"/>
      </rPr>
      <t xml:space="preserve">B3</t>
    </r>
    <r>
      <rPr>
        <sz val="11"/>
        <color rgb="FF20334A"/>
        <rFont val="Noto Sans CJK SC"/>
        <family val="2"/>
        <charset val="1"/>
      </rPr>
      <t xml:space="preserve">独立</t>
    </r>
    <r>
      <rPr>
        <sz val="11"/>
        <color rgb="FF20334A"/>
        <rFont val="Arial"/>
        <family val="2"/>
        <charset val="1"/>
      </rPr>
      <t xml:space="preserve">QA · B3-MY-003</t>
    </r>
    <r>
      <rPr>
        <sz val="11"/>
        <color rgb="FF20334A"/>
        <rFont val="Noto Sans CJK SC"/>
        <family val="2"/>
        <charset val="1"/>
      </rPr>
      <t xml:space="preserve">；</t>
    </r>
    <r>
      <rPr>
        <sz val="11"/>
        <color rgb="FF20334A"/>
        <rFont val="Arial"/>
        <family val="2"/>
        <charset val="1"/>
      </rPr>
      <t xml:space="preserve">23</t>
    </r>
    <r>
      <rPr>
        <sz val="11"/>
        <color rgb="FF20334A"/>
        <rFont val="Noto Sans CJK SC"/>
        <family val="2"/>
        <charset val="1"/>
      </rPr>
      <t xml:space="preserve">物理页现存文件全文证据。</t>
    </r>
  </si>
  <si>
    <t xml:space="preserve">MY-SUN-043</t>
  </si>
  <si>
    <t xml:space="preserve">B3-MY-004</t>
  </si>
  <si>
    <r>
      <rPr>
        <sz val="11"/>
        <color rgb="FF20334A"/>
        <rFont val="Noto Sans CJK SC"/>
        <family val="2"/>
        <charset val="1"/>
      </rPr>
      <t xml:space="preserve">现存</t>
    </r>
    <r>
      <rPr>
        <sz val="11"/>
        <color rgb="FF20334A"/>
        <rFont val="Arial"/>
        <family val="2"/>
        <charset val="1"/>
      </rPr>
      <t xml:space="preserve">41</t>
    </r>
    <r>
      <rPr>
        <sz val="11"/>
        <color rgb="FF20334A"/>
        <rFont val="Noto Sans CJK SC"/>
        <family val="2"/>
        <charset val="1"/>
      </rPr>
      <t xml:space="preserve">页全文审读已验收；具名主条款角色已核，附表／版本／语言或关联材料问题仍待核。</t>
    </r>
  </si>
  <si>
    <r>
      <rPr>
        <sz val="11"/>
        <color rgb="FF20334A"/>
        <rFont val="Arial"/>
        <family val="2"/>
        <charset val="1"/>
      </rPr>
      <t xml:space="preserve">B3</t>
    </r>
    <r>
      <rPr>
        <sz val="11"/>
        <color rgb="FF20334A"/>
        <rFont val="Noto Sans CJK SC"/>
        <family val="2"/>
        <charset val="1"/>
      </rPr>
      <t xml:space="preserve">独立</t>
    </r>
    <r>
      <rPr>
        <sz val="11"/>
        <color rgb="FF20334A"/>
        <rFont val="Arial"/>
        <family val="2"/>
        <charset val="1"/>
      </rPr>
      <t xml:space="preserve">QA · B3-MY-004</t>
    </r>
    <r>
      <rPr>
        <sz val="11"/>
        <color rgb="FF20334A"/>
        <rFont val="Noto Sans CJK SC"/>
        <family val="2"/>
        <charset val="1"/>
      </rPr>
      <t xml:space="preserve">；</t>
    </r>
    <r>
      <rPr>
        <sz val="11"/>
        <color rgb="FF20334A"/>
        <rFont val="Arial"/>
        <family val="2"/>
        <charset val="1"/>
      </rPr>
      <t xml:space="preserve">41</t>
    </r>
    <r>
      <rPr>
        <sz val="11"/>
        <color rgb="FF20334A"/>
        <rFont val="Noto Sans CJK SC"/>
        <family val="2"/>
        <charset val="1"/>
      </rPr>
      <t xml:space="preserve">物理页现存文件全文证据。</t>
    </r>
  </si>
  <si>
    <t xml:space="preserve">MY-SUN-080</t>
  </si>
  <si>
    <t xml:space="preserve">B3-MY-005</t>
  </si>
  <si>
    <r>
      <rPr>
        <sz val="11"/>
        <color rgb="FF20334A"/>
        <rFont val="Noto Sans CJK SC"/>
        <family val="2"/>
        <charset val="1"/>
      </rPr>
      <t xml:space="preserve">现存</t>
    </r>
    <r>
      <rPr>
        <sz val="11"/>
        <color rgb="FF20334A"/>
        <rFont val="Arial"/>
        <family val="2"/>
        <charset val="1"/>
      </rPr>
      <t xml:space="preserve">38</t>
    </r>
    <r>
      <rPr>
        <sz val="11"/>
        <color rgb="FF20334A"/>
        <rFont val="Noto Sans CJK SC"/>
        <family val="2"/>
        <charset val="1"/>
      </rPr>
      <t xml:space="preserve">页全文审读已验收；具名主条款角色已核，附表／版本／语言或关联材料问题仍待核。</t>
    </r>
  </si>
  <si>
    <r>
      <rPr>
        <sz val="11"/>
        <color rgb="FF20334A"/>
        <rFont val="Arial"/>
        <family val="2"/>
        <charset val="1"/>
      </rPr>
      <t xml:space="preserve">B3</t>
    </r>
    <r>
      <rPr>
        <sz val="11"/>
        <color rgb="FF20334A"/>
        <rFont val="Noto Sans CJK SC"/>
        <family val="2"/>
        <charset val="1"/>
      </rPr>
      <t xml:space="preserve">独立</t>
    </r>
    <r>
      <rPr>
        <sz val="11"/>
        <color rgb="FF20334A"/>
        <rFont val="Arial"/>
        <family val="2"/>
        <charset val="1"/>
      </rPr>
      <t xml:space="preserve">QA · B3-MY-005</t>
    </r>
    <r>
      <rPr>
        <sz val="11"/>
        <color rgb="FF20334A"/>
        <rFont val="Noto Sans CJK SC"/>
        <family val="2"/>
        <charset val="1"/>
      </rPr>
      <t xml:space="preserve">；</t>
    </r>
    <r>
      <rPr>
        <sz val="11"/>
        <color rgb="FF20334A"/>
        <rFont val="Arial"/>
        <family val="2"/>
        <charset val="1"/>
      </rPr>
      <t xml:space="preserve">38</t>
    </r>
    <r>
      <rPr>
        <sz val="11"/>
        <color rgb="FF20334A"/>
        <rFont val="Noto Sans CJK SC"/>
        <family val="2"/>
        <charset val="1"/>
      </rPr>
      <t xml:space="preserve">物理页现存文件全文证据。</t>
    </r>
  </si>
  <si>
    <t xml:space="preserve">MY-SUN-097</t>
  </si>
  <si>
    <t xml:space="preserve">B3-HK-001</t>
  </si>
  <si>
    <t xml:space="preserve">限定已记录公开路线证据已验收；未取得确切目标主文，缺口保留。</t>
  </si>
  <si>
    <r>
      <rPr>
        <sz val="11"/>
        <color rgb="FF20334A"/>
        <rFont val="Arial"/>
        <family val="2"/>
        <charset val="1"/>
      </rPr>
      <t xml:space="preserve">B3</t>
    </r>
    <r>
      <rPr>
        <sz val="11"/>
        <color rgb="FF20334A"/>
        <rFont val="Noto Sans CJK SC"/>
        <family val="2"/>
        <charset val="1"/>
      </rPr>
      <t xml:space="preserve">独立</t>
    </r>
    <r>
      <rPr>
        <sz val="11"/>
        <color rgb="FF20334A"/>
        <rFont val="Arial"/>
        <family val="2"/>
        <charset val="1"/>
      </rPr>
      <t xml:space="preserve">QA · B3-HK-001</t>
    </r>
    <r>
      <rPr>
        <sz val="11"/>
        <color rgb="FF20334A"/>
        <rFont val="Noto Sans CJK SC"/>
        <family val="2"/>
        <charset val="1"/>
      </rPr>
      <t xml:space="preserve">；限定公开路线证据。</t>
    </r>
  </si>
  <si>
    <t xml:space="preserve">有新的准确公开主文入口或明确索取授权时再继续；不重复负面路线、不猜隐藏链接。</t>
  </si>
  <si>
    <t xml:space="preserve">HSBC Life</t>
  </si>
  <si>
    <t xml:space="preserve">限定路线完成，主文仍缺</t>
  </si>
  <si>
    <t xml:space="preserve">产品页／支持资料，不是主文</t>
  </si>
  <si>
    <t xml:space="preserve">未取得目标主文</t>
  </si>
  <si>
    <r>
      <rPr>
        <sz val="11"/>
        <color rgb="FF20334A"/>
        <rFont val="Noto Sans CJK SC"/>
        <family val="2"/>
        <charset val="1"/>
      </rPr>
      <t xml:space="preserve">保存的官方公开响应：</t>
    </r>
    <r>
      <rPr>
        <sz val="11"/>
        <color rgb="FF20334A"/>
        <rFont val="Arial"/>
        <family val="2"/>
        <charset val="1"/>
      </rPr>
      <t xml:space="preserve">HTTP 200</t>
    </r>
  </si>
  <si>
    <t xml:space="preserve">只覆盖保存的响应或摘录；不是全网无主文、穷尽路线或当前在售证明。</t>
  </si>
  <si>
    <t xml:space="preserve">hsbc-goal-access-universal-education</t>
  </si>
  <si>
    <t xml:space="preserve">B3-HK-002</t>
  </si>
  <si>
    <r>
      <rPr>
        <sz val="11"/>
        <color rgb="FF20334A"/>
        <rFont val="Arial"/>
        <family val="2"/>
        <charset val="1"/>
      </rPr>
      <t xml:space="preserve">B3</t>
    </r>
    <r>
      <rPr>
        <sz val="11"/>
        <color rgb="FF20334A"/>
        <rFont val="Noto Sans CJK SC"/>
        <family val="2"/>
        <charset val="1"/>
      </rPr>
      <t xml:space="preserve">独立</t>
    </r>
    <r>
      <rPr>
        <sz val="11"/>
        <color rgb="FF20334A"/>
        <rFont val="Arial"/>
        <family val="2"/>
        <charset val="1"/>
      </rPr>
      <t xml:space="preserve">QA · B3-HK-002</t>
    </r>
    <r>
      <rPr>
        <sz val="11"/>
        <color rgb="FF20334A"/>
        <rFont val="Noto Sans CJK SC"/>
        <family val="2"/>
        <charset val="1"/>
      </rPr>
      <t xml:space="preserve">；限定公开路线证据。</t>
    </r>
  </si>
  <si>
    <t xml:space="preserve">Hang Seng Insurance</t>
  </si>
  <si>
    <t xml:space="preserve">hangseng-legend-power-supreme</t>
  </si>
  <si>
    <t xml:space="preserve">B3-VN-001</t>
  </si>
  <si>
    <t xml:space="preserve">越南</t>
  </si>
  <si>
    <r>
      <rPr>
        <sz val="11"/>
        <color rgb="FF20334A"/>
        <rFont val="Noto Sans CJK SC"/>
        <family val="2"/>
        <charset val="1"/>
      </rPr>
      <t xml:space="preserve">历史精确材料关联</t>
    </r>
    <r>
      <rPr>
        <sz val="11"/>
        <color rgb="FF20334A"/>
        <rFont val="Arial"/>
        <family val="2"/>
        <charset val="1"/>
      </rPr>
      <t xml:space="preserve">2</t>
    </r>
    <r>
      <rPr>
        <sz val="11"/>
        <color rgb="FF20334A"/>
        <rFont val="Noto Sans CJK SC"/>
        <family val="2"/>
        <charset val="1"/>
      </rPr>
      <t xml:space="preserve">项已验收；当前版本采用仍待核。不新增全文或主文。</t>
    </r>
  </si>
  <si>
    <r>
      <rPr>
        <sz val="11"/>
        <color rgb="FF20334A"/>
        <rFont val="Arial"/>
        <family val="2"/>
        <charset val="1"/>
      </rPr>
      <t xml:space="preserve">B3</t>
    </r>
    <r>
      <rPr>
        <sz val="11"/>
        <color rgb="FF20334A"/>
        <rFont val="Noto Sans CJK SC"/>
        <family val="2"/>
        <charset val="1"/>
      </rPr>
      <t xml:space="preserve">独立</t>
    </r>
    <r>
      <rPr>
        <sz val="11"/>
        <color rgb="FF20334A"/>
        <rFont val="Arial"/>
        <family val="2"/>
        <charset val="1"/>
      </rPr>
      <t xml:space="preserve">QA · B3-VN-001</t>
    </r>
    <r>
      <rPr>
        <sz val="11"/>
        <color rgb="FF20334A"/>
        <rFont val="Noto Sans CJK SC"/>
        <family val="2"/>
        <charset val="1"/>
      </rPr>
      <t xml:space="preserve">；精确历史材料关系证据。</t>
    </r>
  </si>
  <si>
    <t xml:space="preserve">Công ty TNHH Manulife (Việt Nam)</t>
  </si>
  <si>
    <t xml:space="preserve">身份／关系／角色已核，不是产品闭合</t>
  </si>
  <si>
    <t xml:space="preserve">仅历史材料关系核验</t>
  </si>
  <si>
    <t xml:space="preserve">当前目标版本采用未核</t>
  </si>
  <si>
    <t xml:space="preserve">关系证据不等于全文；不合并资料组或产品。</t>
  </si>
  <si>
    <t xml:space="preserve">VN-539a4a42cb94</t>
  </si>
  <si>
    <t xml:space="preserve">B3-VN-002</t>
  </si>
  <si>
    <r>
      <rPr>
        <sz val="11"/>
        <color rgb="FF20334A"/>
        <rFont val="Noto Sans CJK SC"/>
        <family val="2"/>
        <charset val="1"/>
      </rPr>
      <t xml:space="preserve">历史精确材料关联</t>
    </r>
    <r>
      <rPr>
        <sz val="11"/>
        <color rgb="FF20334A"/>
        <rFont val="Arial"/>
        <family val="2"/>
        <charset val="1"/>
      </rPr>
      <t xml:space="preserve">2</t>
    </r>
    <r>
      <rPr>
        <sz val="11"/>
        <color rgb="FF20334A"/>
        <rFont val="Noto Sans CJK SC"/>
        <family val="2"/>
        <charset val="1"/>
      </rPr>
      <t xml:space="preserve">项已验收；当前版本采用仍待核。纠正附约被当主合同的角色，主文净减</t>
    </r>
    <r>
      <rPr>
        <sz val="11"/>
        <color rgb="FF20334A"/>
        <rFont val="Arial"/>
        <family val="2"/>
        <charset val="1"/>
      </rPr>
      <t xml:space="preserve">1</t>
    </r>
    <r>
      <rPr>
        <sz val="11"/>
        <color rgb="FF20334A"/>
        <rFont val="Noto Sans CJK SC"/>
        <family val="2"/>
        <charset val="1"/>
      </rPr>
      <t xml:space="preserve">。</t>
    </r>
  </si>
  <si>
    <r>
      <rPr>
        <sz val="11"/>
        <color rgb="FF20334A"/>
        <rFont val="Arial"/>
        <family val="2"/>
        <charset val="1"/>
      </rPr>
      <t xml:space="preserve">B3</t>
    </r>
    <r>
      <rPr>
        <sz val="11"/>
        <color rgb="FF20334A"/>
        <rFont val="Noto Sans CJK SC"/>
        <family val="2"/>
        <charset val="1"/>
      </rPr>
      <t xml:space="preserve">独立</t>
    </r>
    <r>
      <rPr>
        <sz val="11"/>
        <color rgb="FF20334A"/>
        <rFont val="Arial"/>
        <family val="2"/>
        <charset val="1"/>
      </rPr>
      <t xml:space="preserve">QA · B3-VN-002</t>
    </r>
    <r>
      <rPr>
        <sz val="11"/>
        <color rgb="FF20334A"/>
        <rFont val="Noto Sans CJK SC"/>
        <family val="2"/>
        <charset val="1"/>
      </rPr>
      <t xml:space="preserve">；精确历史材料关系证据。</t>
    </r>
  </si>
  <si>
    <t xml:space="preserve">附约／补充条款，不是独立主合同</t>
  </si>
  <si>
    <t xml:space="preserve">VN-32f604533d33</t>
  </si>
  <si>
    <t xml:space="preserve">B3-KH-001</t>
  </si>
  <si>
    <r>
      <rPr>
        <sz val="11"/>
        <color rgb="FF20334A"/>
        <rFont val="Noto Sans CJK SC"/>
        <family val="2"/>
        <charset val="1"/>
      </rPr>
      <t xml:space="preserve">仅第</t>
    </r>
    <r>
      <rPr>
        <sz val="11"/>
        <color rgb="FF20334A"/>
        <rFont val="Arial"/>
        <family val="2"/>
        <charset val="1"/>
      </rPr>
      <t xml:space="preserve">13–25</t>
    </r>
    <r>
      <rPr>
        <sz val="11"/>
        <color rgb="FF20334A"/>
        <rFont val="Noto Sans CJK SC"/>
        <family val="2"/>
        <charset val="1"/>
      </rPr>
      <t xml:space="preserve">页英文部分共</t>
    </r>
    <r>
      <rPr>
        <sz val="11"/>
        <color rgb="FF20334A"/>
        <rFont val="Arial"/>
        <family val="2"/>
        <charset val="1"/>
      </rPr>
      <t xml:space="preserve">13</t>
    </r>
    <r>
      <rPr>
        <sz val="11"/>
        <color rgb="FF20334A"/>
        <rFont val="Noto Sans CJK SC"/>
        <family val="2"/>
        <charset val="1"/>
      </rPr>
      <t xml:space="preserve">物理页已审，</t>
    </r>
    <r>
      <rPr>
        <sz val="11"/>
        <color rgb="FF20334A"/>
        <rFont val="Arial"/>
        <family val="2"/>
        <charset val="1"/>
      </rPr>
      <t xml:space="preserve">12</t>
    </r>
    <r>
      <rPr>
        <sz val="11"/>
        <color rgb="FF20334A"/>
        <rFont val="Noto Sans CJK SC"/>
        <family val="2"/>
        <charset val="1"/>
      </rPr>
      <t xml:space="preserve">页高棉语法律语义待核；整份保持部分核验。</t>
    </r>
  </si>
  <si>
    <r>
      <rPr>
        <sz val="11"/>
        <color rgb="FF20334A"/>
        <rFont val="Arial"/>
        <family val="2"/>
        <charset val="1"/>
      </rPr>
      <t xml:space="preserve">B3</t>
    </r>
    <r>
      <rPr>
        <sz val="11"/>
        <color rgb="FF20334A"/>
        <rFont val="Noto Sans CJK SC"/>
        <family val="2"/>
        <charset val="1"/>
      </rPr>
      <t xml:space="preserve">独立</t>
    </r>
    <r>
      <rPr>
        <sz val="11"/>
        <color rgb="FF20334A"/>
        <rFont val="Arial"/>
        <family val="2"/>
        <charset val="1"/>
      </rPr>
      <t xml:space="preserve">QA · B3-KH-001</t>
    </r>
    <r>
      <rPr>
        <sz val="11"/>
        <color rgb="FF20334A"/>
        <rFont val="Noto Sans CJK SC"/>
        <family val="2"/>
        <charset val="1"/>
      </rPr>
      <t xml:space="preserve">；</t>
    </r>
    <r>
      <rPr>
        <sz val="11"/>
        <color rgb="FF20334A"/>
        <rFont val="Arial"/>
        <family val="2"/>
        <charset val="1"/>
      </rPr>
      <t xml:space="preserve">13</t>
    </r>
    <r>
      <rPr>
        <sz val="11"/>
        <color rgb="FF20334A"/>
        <rFont val="Noto Sans CJK SC"/>
        <family val="2"/>
        <charset val="1"/>
      </rPr>
      <t xml:space="preserve">页英文证据；高棉语未审。</t>
    </r>
  </si>
  <si>
    <t xml:space="preserve">需要可靠高棉语审读并核双语一致及版本；未解除前保持部分核验。</t>
  </si>
  <si>
    <t xml:space="preserve">Forte Insurance (Cambodia) Plc.</t>
  </si>
  <si>
    <t xml:space="preserve">部分审读，语言依赖未解</t>
  </si>
  <si>
    <t xml:space="preserve">主文候选，当前采用未核</t>
  </si>
  <si>
    <t xml:space="preserve">有既存候选，产品主文仍未严格确立</t>
  </si>
  <si>
    <t xml:space="preserve">仅英文部分，不称整份全文；语言优先关系未定。</t>
  </si>
  <si>
    <t xml:space="preserve">KH-forte-travel-search</t>
  </si>
  <si>
    <t xml:space="preserve">B4-MY-001</t>
  </si>
  <si>
    <r>
      <rPr>
        <sz val="11"/>
        <color rgb="FF20334A"/>
        <rFont val="Arial"/>
        <family val="2"/>
        <charset val="1"/>
      </rPr>
      <t xml:space="preserve">25</t>
    </r>
    <r>
      <rPr>
        <sz val="11"/>
        <color rgb="FF20334A"/>
        <rFont val="Noto Sans CJK SC"/>
        <family val="2"/>
        <charset val="1"/>
      </rPr>
      <t xml:space="preserve">页现存英文主合同全文已审；具名</t>
    </r>
    <r>
      <rPr>
        <sz val="11"/>
        <color rgb="FF20334A"/>
        <rFont val="Arial"/>
        <family val="2"/>
        <charset val="1"/>
      </rPr>
      <t xml:space="preserve">GTTPW</t>
    </r>
    <r>
      <rPr>
        <sz val="11"/>
        <color rgb="FF20334A"/>
        <rFont val="Noto Sans CJK SC"/>
        <family val="2"/>
        <charset val="1"/>
      </rPr>
      <t xml:space="preserve">合同及附表已核，目录活动名不证明当前采用，条文关系仍待核。</t>
    </r>
  </si>
  <si>
    <r>
      <rPr>
        <sz val="11"/>
        <color rgb="FF20334A"/>
        <rFont val="Arial"/>
        <family val="2"/>
        <charset val="1"/>
      </rPr>
      <t xml:space="preserve">B4</t>
    </r>
    <r>
      <rPr>
        <sz val="11"/>
        <color rgb="FF20334A"/>
        <rFont val="Noto Sans CJK SC"/>
        <family val="2"/>
        <charset val="1"/>
      </rPr>
      <t xml:space="preserve">独立</t>
    </r>
    <r>
      <rPr>
        <sz val="11"/>
        <color rgb="FF20334A"/>
        <rFont val="Arial"/>
        <family val="2"/>
        <charset val="1"/>
      </rPr>
      <t xml:space="preserve">QA · B4-MY-001</t>
    </r>
    <r>
      <rPr>
        <sz val="11"/>
        <color rgb="FF20334A"/>
        <rFont val="Noto Sans CJK SC"/>
        <family val="2"/>
        <charset val="1"/>
      </rPr>
      <t xml:space="preserve">；</t>
    </r>
    <r>
      <rPr>
        <sz val="11"/>
        <color rgb="FF20334A"/>
        <rFont val="Arial"/>
        <family val="2"/>
        <charset val="1"/>
      </rPr>
      <t xml:space="preserve">25</t>
    </r>
    <r>
      <rPr>
        <sz val="11"/>
        <color rgb="FF20334A"/>
        <rFont val="Noto Sans CJK SC"/>
        <family val="2"/>
        <charset val="1"/>
      </rPr>
      <t xml:space="preserve">物理页现存文件全文证据。</t>
    </r>
  </si>
  <si>
    <t xml:space="preserve">B4</t>
  </si>
  <si>
    <t xml:space="preserve">文件主合同角色已核，仍待核验</t>
  </si>
  <si>
    <t xml:space="preserve">有既存条款材料，当前产品采用未核</t>
  </si>
  <si>
    <t xml:space="preserve">仅现存页面与文件角色；目录活动名与正文具名采用分别判断。</t>
  </si>
  <si>
    <t xml:space="preserve">MY-SUN-024</t>
  </si>
  <si>
    <t xml:space="preserve">B4-MY-002</t>
  </si>
  <si>
    <r>
      <rPr>
        <sz val="11"/>
        <color rgb="FF20334A"/>
        <rFont val="Arial"/>
        <family val="2"/>
        <charset val="1"/>
      </rPr>
      <t xml:space="preserve">27</t>
    </r>
    <r>
      <rPr>
        <sz val="11"/>
        <color rgb="FF20334A"/>
        <rFont val="Noto Sans CJK SC"/>
        <family val="2"/>
        <charset val="1"/>
      </rPr>
      <t xml:space="preserve">页现存英文主合同全文已审；引用附表未附，</t>
    </r>
    <r>
      <rPr>
        <sz val="11"/>
        <color rgb="FF20334A"/>
        <rFont val="Arial"/>
        <family val="2"/>
        <charset val="1"/>
      </rPr>
      <t xml:space="preserve">CIMB</t>
    </r>
    <r>
      <rPr>
        <sz val="11"/>
        <color rgb="FF20334A"/>
        <rFont val="Noto Sans CJK SC"/>
        <family val="2"/>
        <charset val="1"/>
      </rPr>
      <t xml:space="preserve">／</t>
    </r>
    <r>
      <rPr>
        <sz val="11"/>
        <color rgb="FF20334A"/>
        <rFont val="Arial"/>
        <family val="2"/>
        <charset val="1"/>
      </rPr>
      <t xml:space="preserve">Salary Account</t>
    </r>
    <r>
      <rPr>
        <sz val="11"/>
        <color rgb="FF20334A"/>
        <rFont val="Noto Sans CJK SC"/>
        <family val="2"/>
        <charset val="1"/>
      </rPr>
      <t xml:space="preserve">目录标签不替代正文具名身份；仍待核。</t>
    </r>
  </si>
  <si>
    <r>
      <rPr>
        <sz val="11"/>
        <color rgb="FF20334A"/>
        <rFont val="Arial"/>
        <family val="2"/>
        <charset val="1"/>
      </rPr>
      <t xml:space="preserve">B4</t>
    </r>
    <r>
      <rPr>
        <sz val="11"/>
        <color rgb="FF20334A"/>
        <rFont val="Noto Sans CJK SC"/>
        <family val="2"/>
        <charset val="1"/>
      </rPr>
      <t xml:space="preserve">独立</t>
    </r>
    <r>
      <rPr>
        <sz val="11"/>
        <color rgb="FF20334A"/>
        <rFont val="Arial"/>
        <family val="2"/>
        <charset val="1"/>
      </rPr>
      <t xml:space="preserve">QA · B4-MY-002</t>
    </r>
    <r>
      <rPr>
        <sz val="11"/>
        <color rgb="FF20334A"/>
        <rFont val="Noto Sans CJK SC"/>
        <family val="2"/>
        <charset val="1"/>
      </rPr>
      <t xml:space="preserve">；</t>
    </r>
    <r>
      <rPr>
        <sz val="11"/>
        <color rgb="FF20334A"/>
        <rFont val="Arial"/>
        <family val="2"/>
        <charset val="1"/>
      </rPr>
      <t xml:space="preserve">27</t>
    </r>
    <r>
      <rPr>
        <sz val="11"/>
        <color rgb="FF20334A"/>
        <rFont val="Noto Sans CJK SC"/>
        <family val="2"/>
        <charset val="1"/>
      </rPr>
      <t xml:space="preserve">物理页现存文件全文证据。</t>
    </r>
  </si>
  <si>
    <t xml:space="preserve">MY-SUN-032</t>
  </si>
  <si>
    <t xml:space="preserve">B4-MY-003</t>
  </si>
  <si>
    <r>
      <rPr>
        <sz val="11"/>
        <color rgb="FF20334A"/>
        <rFont val="Arial"/>
        <family val="2"/>
        <charset val="1"/>
      </rPr>
      <t xml:space="preserve">43</t>
    </r>
    <r>
      <rPr>
        <sz val="11"/>
        <color rgb="FF20334A"/>
        <rFont val="Noto Sans CJK SC"/>
        <family val="2"/>
        <charset val="1"/>
      </rPr>
      <t xml:space="preserve">页现存英马双语主合同全文已审；附表与具名采用未确立，版本和条文差异继续保留。</t>
    </r>
  </si>
  <si>
    <r>
      <rPr>
        <sz val="11"/>
        <color rgb="FF20334A"/>
        <rFont val="Arial"/>
        <family val="2"/>
        <charset val="1"/>
      </rPr>
      <t xml:space="preserve">B4</t>
    </r>
    <r>
      <rPr>
        <sz val="11"/>
        <color rgb="FF20334A"/>
        <rFont val="Noto Sans CJK SC"/>
        <family val="2"/>
        <charset val="1"/>
      </rPr>
      <t xml:space="preserve">独立</t>
    </r>
    <r>
      <rPr>
        <sz val="11"/>
        <color rgb="FF20334A"/>
        <rFont val="Arial"/>
        <family val="2"/>
        <charset val="1"/>
      </rPr>
      <t xml:space="preserve">QA · B4-MY-003</t>
    </r>
    <r>
      <rPr>
        <sz val="11"/>
        <color rgb="FF20334A"/>
        <rFont val="Noto Sans CJK SC"/>
        <family val="2"/>
        <charset val="1"/>
      </rPr>
      <t xml:space="preserve">；</t>
    </r>
    <r>
      <rPr>
        <sz val="11"/>
        <color rgb="FF20334A"/>
        <rFont val="Arial"/>
        <family val="2"/>
        <charset val="1"/>
      </rPr>
      <t xml:space="preserve">43</t>
    </r>
    <r>
      <rPr>
        <sz val="11"/>
        <color rgb="FF20334A"/>
        <rFont val="Noto Sans CJK SC"/>
        <family val="2"/>
        <charset val="1"/>
      </rPr>
      <t xml:space="preserve">物理页现存文件全文证据。</t>
    </r>
  </si>
  <si>
    <t xml:space="preserve">MY-SUN-034</t>
  </si>
  <si>
    <t xml:space="preserve">B4-MY-004</t>
  </si>
  <si>
    <r>
      <rPr>
        <sz val="11"/>
        <color rgb="FF20334A"/>
        <rFont val="Arial"/>
        <family val="2"/>
        <charset val="1"/>
      </rPr>
      <t xml:space="preserve">50</t>
    </r>
    <r>
      <rPr>
        <sz val="11"/>
        <color rgb="FF20334A"/>
        <rFont val="Noto Sans CJK SC"/>
        <family val="2"/>
        <charset val="1"/>
      </rPr>
      <t xml:space="preserve">页</t>
    </r>
    <r>
      <rPr>
        <sz val="11"/>
        <color rgb="FF20334A"/>
        <rFont val="Arial"/>
        <family val="2"/>
        <charset val="1"/>
      </rPr>
      <t xml:space="preserve">Biz Shield Plus-i</t>
    </r>
    <r>
      <rPr>
        <sz val="11"/>
        <color rgb="FF20334A"/>
        <rFont val="Noto Sans CJK SC"/>
        <family val="2"/>
        <charset val="1"/>
      </rPr>
      <t xml:space="preserve">（</t>
    </r>
    <r>
      <rPr>
        <sz val="11"/>
        <color rgb="FF20334A"/>
        <rFont val="Arial"/>
        <family val="2"/>
        <charset val="1"/>
      </rPr>
      <t xml:space="preserve">Level</t>
    </r>
    <r>
      <rPr>
        <sz val="11"/>
        <color rgb="FF20334A"/>
        <rFont val="Noto Sans CJK SC"/>
        <family val="2"/>
        <charset val="1"/>
      </rPr>
      <t xml:space="preserve">）现存主合同全文已审；具名身份可登记，当前采用／齐套及条文差异未解决。</t>
    </r>
  </si>
  <si>
    <r>
      <rPr>
        <sz val="11"/>
        <color rgb="FF20334A"/>
        <rFont val="Arial"/>
        <family val="2"/>
        <charset val="1"/>
      </rPr>
      <t xml:space="preserve">B4</t>
    </r>
    <r>
      <rPr>
        <sz val="11"/>
        <color rgb="FF20334A"/>
        <rFont val="Noto Sans CJK SC"/>
        <family val="2"/>
        <charset val="1"/>
      </rPr>
      <t xml:space="preserve">独立</t>
    </r>
    <r>
      <rPr>
        <sz val="11"/>
        <color rgb="FF20334A"/>
        <rFont val="Arial"/>
        <family val="2"/>
        <charset val="1"/>
      </rPr>
      <t xml:space="preserve">QA · B4-MY-004</t>
    </r>
    <r>
      <rPr>
        <sz val="11"/>
        <color rgb="FF20334A"/>
        <rFont val="Noto Sans CJK SC"/>
        <family val="2"/>
        <charset val="1"/>
      </rPr>
      <t xml:space="preserve">；</t>
    </r>
    <r>
      <rPr>
        <sz val="11"/>
        <color rgb="FF20334A"/>
        <rFont val="Arial"/>
        <family val="2"/>
        <charset val="1"/>
      </rPr>
      <t xml:space="preserve">50</t>
    </r>
    <r>
      <rPr>
        <sz val="11"/>
        <color rgb="FF20334A"/>
        <rFont val="Noto Sans CJK SC"/>
        <family val="2"/>
        <charset val="1"/>
      </rPr>
      <t xml:space="preserve">物理页现存文件全文证据。</t>
    </r>
  </si>
  <si>
    <t xml:space="preserve">MY-SUN-038</t>
  </si>
  <si>
    <t xml:space="preserve">B4-MY-005</t>
  </si>
  <si>
    <r>
      <rPr>
        <sz val="11"/>
        <color rgb="FF20334A"/>
        <rFont val="Arial"/>
        <family val="2"/>
        <charset val="1"/>
      </rPr>
      <t xml:space="preserve">53</t>
    </r>
    <r>
      <rPr>
        <sz val="11"/>
        <color rgb="FF20334A"/>
        <rFont val="Noto Sans CJK SC"/>
        <family val="2"/>
        <charset val="1"/>
      </rPr>
      <t xml:space="preserve">页</t>
    </r>
    <r>
      <rPr>
        <sz val="11"/>
        <color rgb="FF20334A"/>
        <rFont val="Arial"/>
        <family val="2"/>
        <charset val="1"/>
      </rPr>
      <t xml:space="preserve">Biz Shield Plus-i</t>
    </r>
    <r>
      <rPr>
        <sz val="11"/>
        <color rgb="FF20334A"/>
        <rFont val="Noto Sans CJK SC"/>
        <family val="2"/>
        <charset val="1"/>
      </rPr>
      <t xml:space="preserve">（</t>
    </r>
    <r>
      <rPr>
        <sz val="11"/>
        <color rgb="FF20334A"/>
        <rFont val="Arial"/>
        <family val="2"/>
        <charset val="1"/>
      </rPr>
      <t xml:space="preserve">Reducing</t>
    </r>
    <r>
      <rPr>
        <sz val="11"/>
        <color rgb="FF20334A"/>
        <rFont val="Noto Sans CJK SC"/>
        <family val="2"/>
        <charset val="1"/>
      </rPr>
      <t xml:space="preserve">）现存主合同全文已审；表格／公式及双语差异未解决，不自动视为严格通过。</t>
    </r>
  </si>
  <si>
    <r>
      <rPr>
        <sz val="11"/>
        <color rgb="FF20334A"/>
        <rFont val="Arial"/>
        <family val="2"/>
        <charset val="1"/>
      </rPr>
      <t xml:space="preserve">B4</t>
    </r>
    <r>
      <rPr>
        <sz val="11"/>
        <color rgb="FF20334A"/>
        <rFont val="Noto Sans CJK SC"/>
        <family val="2"/>
        <charset val="1"/>
      </rPr>
      <t xml:space="preserve">独立</t>
    </r>
    <r>
      <rPr>
        <sz val="11"/>
        <color rgb="FF20334A"/>
        <rFont val="Arial"/>
        <family val="2"/>
        <charset val="1"/>
      </rPr>
      <t xml:space="preserve">QA · B4-MY-005</t>
    </r>
    <r>
      <rPr>
        <sz val="11"/>
        <color rgb="FF20334A"/>
        <rFont val="Noto Sans CJK SC"/>
        <family val="2"/>
        <charset val="1"/>
      </rPr>
      <t xml:space="preserve">；</t>
    </r>
    <r>
      <rPr>
        <sz val="11"/>
        <color rgb="FF20334A"/>
        <rFont val="Arial"/>
        <family val="2"/>
        <charset val="1"/>
      </rPr>
      <t xml:space="preserve">53</t>
    </r>
    <r>
      <rPr>
        <sz val="11"/>
        <color rgb="FF20334A"/>
        <rFont val="Noto Sans CJK SC"/>
        <family val="2"/>
        <charset val="1"/>
      </rPr>
      <t xml:space="preserve">物理页现存文件全文证据。</t>
    </r>
  </si>
  <si>
    <t xml:space="preserve">MY-SUN-037</t>
  </si>
  <si>
    <t xml:space="preserve">B4-MY-ID-001</t>
  </si>
  <si>
    <r>
      <rPr>
        <sz val="11"/>
        <color rgb="FF20334A"/>
        <rFont val="Noto Sans CJK SC"/>
        <family val="2"/>
        <charset val="1"/>
      </rPr>
      <t xml:space="preserve">复用</t>
    </r>
    <r>
      <rPr>
        <sz val="11"/>
        <color rgb="FF20334A"/>
        <rFont val="Arial"/>
        <family val="2"/>
        <charset val="1"/>
      </rPr>
      <t xml:space="preserve">Cash Plus</t>
    </r>
    <r>
      <rPr>
        <sz val="11"/>
        <color rgb="FF20334A"/>
        <rFont val="Noto Sans CJK SC"/>
        <family val="2"/>
        <charset val="1"/>
      </rPr>
      <t xml:space="preserve">／</t>
    </r>
    <r>
      <rPr>
        <sz val="11"/>
        <color rgb="FF20334A"/>
        <rFont val="Arial"/>
        <family val="2"/>
        <charset val="1"/>
      </rPr>
      <t xml:space="preserve">Credit Protector Plus</t>
    </r>
    <r>
      <rPr>
        <sz val="11"/>
        <color rgb="FF20334A"/>
        <rFont val="Noto Sans CJK SC"/>
        <family val="2"/>
        <charset val="1"/>
      </rPr>
      <t xml:space="preserve">两份已审事实，限定</t>
    </r>
    <r>
      <rPr>
        <sz val="11"/>
        <color rgb="FF20334A"/>
        <rFont val="Arial"/>
        <family val="2"/>
        <charset val="1"/>
      </rPr>
      <t xml:space="preserve">2</t>
    </r>
    <r>
      <rPr>
        <sz val="11"/>
        <color rgb="FF20334A"/>
        <rFont val="Noto Sans CJK SC"/>
        <family val="2"/>
        <charset val="1"/>
      </rPr>
      <t xml:space="preserve">合同版本及材料映射验收；无新增全文或主文。</t>
    </r>
  </si>
  <si>
    <r>
      <rPr>
        <sz val="11"/>
        <color rgb="FF20334A"/>
        <rFont val="Arial"/>
        <family val="2"/>
        <charset val="1"/>
      </rPr>
      <t xml:space="preserve">B4</t>
    </r>
    <r>
      <rPr>
        <sz val="11"/>
        <color rgb="FF20334A"/>
        <rFont val="Noto Sans CJK SC"/>
        <family val="2"/>
        <charset val="1"/>
      </rPr>
      <t xml:space="preserve">独立</t>
    </r>
    <r>
      <rPr>
        <sz val="11"/>
        <color rgb="FF20334A"/>
        <rFont val="Arial"/>
        <family val="2"/>
        <charset val="1"/>
      </rPr>
      <t xml:space="preserve">QA · B4-MY-ID-001</t>
    </r>
    <r>
      <rPr>
        <sz val="11"/>
        <color rgb="FF20334A"/>
        <rFont val="Noto Sans CJK SC"/>
        <family val="2"/>
        <charset val="1"/>
      </rPr>
      <t xml:space="preserve">；限定身份及材料关系证据。</t>
    </r>
  </si>
  <si>
    <t xml:space="preserve">保留未核定字段和冲突；当前采用／现售需另有准确证据，不能由材料关联推导。</t>
  </si>
  <si>
    <r>
      <rPr>
        <sz val="11"/>
        <color rgb="FF20334A"/>
        <rFont val="Noto Sans CJK SC"/>
        <family val="2"/>
        <charset val="1"/>
      </rPr>
      <t xml:space="preserve">按已审法律主体分列；详见</t>
    </r>
    <r>
      <rPr>
        <sz val="11"/>
        <color rgb="FF20334A"/>
        <rFont val="Arial"/>
        <family val="2"/>
        <charset val="1"/>
      </rPr>
      <t xml:space="preserve">MY</t>
    </r>
    <r>
      <rPr>
        <sz val="11"/>
        <color rgb="FF20334A"/>
        <rFont val="Noto Sans CJK SC"/>
        <family val="2"/>
        <charset val="1"/>
      </rPr>
      <t xml:space="preserve">侧表</t>
    </r>
  </si>
  <si>
    <t xml:space="preserve">复用已审事实的身份／材料映射</t>
  </si>
  <si>
    <t xml:space="preserve">既存具名材料关联，当前采用未核</t>
  </si>
  <si>
    <r>
      <rPr>
        <sz val="11"/>
        <color rgb="FF20334A"/>
        <rFont val="Noto Sans CJK SC"/>
        <family val="2"/>
        <charset val="1"/>
      </rPr>
      <t xml:space="preserve">两个工作单共复用</t>
    </r>
    <r>
      <rPr>
        <sz val="11"/>
        <color rgb="FF20334A"/>
        <rFont val="Arial"/>
        <family val="2"/>
        <charset val="1"/>
      </rPr>
      <t xml:space="preserve">4</t>
    </r>
    <r>
      <rPr>
        <sz val="11"/>
        <color rgb="FF20334A"/>
        <rFont val="Noto Sans CJK SC"/>
        <family val="2"/>
        <charset val="1"/>
      </rPr>
      <t xml:space="preserve">份已审原件；</t>
    </r>
    <r>
      <rPr>
        <sz val="11"/>
        <color rgb="FF20334A"/>
        <rFont val="Arial"/>
        <family val="2"/>
        <charset val="1"/>
      </rPr>
      <t xml:space="preserve">4</t>
    </r>
    <r>
      <rPr>
        <sz val="11"/>
        <color rgb="FF20334A"/>
        <rFont val="Noto Sans CJK SC"/>
        <family val="2"/>
        <charset val="1"/>
      </rPr>
      <t xml:space="preserve">版本、</t>
    </r>
    <r>
      <rPr>
        <sz val="11"/>
        <color rgb="FF20334A"/>
        <rFont val="Arial"/>
        <family val="2"/>
        <charset val="1"/>
      </rPr>
      <t xml:space="preserve">31</t>
    </r>
    <r>
      <rPr>
        <sz val="11"/>
        <color rgb="FF20334A"/>
        <rFont val="Noto Sans CJK SC"/>
        <family val="2"/>
        <charset val="1"/>
      </rPr>
      <t xml:space="preserve">关系不计新增全文或产品。</t>
    </r>
  </si>
  <si>
    <t xml:space="preserve">MY-SUN-006 / MY-SUN-008</t>
  </si>
  <si>
    <t xml:space="preserve">B4-MY-ID-002</t>
  </si>
  <si>
    <r>
      <rPr>
        <sz val="11"/>
        <color rgb="FF20334A"/>
        <rFont val="Noto Sans CJK SC"/>
        <family val="2"/>
        <charset val="1"/>
      </rPr>
      <t xml:space="preserve">复用</t>
    </r>
    <r>
      <rPr>
        <sz val="11"/>
        <color rgb="FF20334A"/>
        <rFont val="Arial"/>
        <family val="2"/>
        <charset val="1"/>
      </rPr>
      <t xml:space="preserve">Biz Shield</t>
    </r>
    <r>
      <rPr>
        <sz val="11"/>
        <color rgb="FF20334A"/>
        <rFont val="Noto Sans CJK SC"/>
        <family val="2"/>
        <charset val="1"/>
      </rPr>
      <t xml:space="preserve">／</t>
    </r>
    <r>
      <rPr>
        <sz val="11"/>
        <color rgb="FF20334A"/>
        <rFont val="Arial"/>
        <family val="2"/>
        <charset val="1"/>
      </rPr>
      <t xml:space="preserve">Biz Shield-i</t>
    </r>
    <r>
      <rPr>
        <sz val="11"/>
        <color rgb="FF20334A"/>
        <rFont val="Noto Sans CJK SC"/>
        <family val="2"/>
        <charset val="1"/>
      </rPr>
      <t xml:space="preserve">两份已审事实，</t>
    </r>
    <r>
      <rPr>
        <sz val="11"/>
        <color rgb="FF20334A"/>
        <rFont val="Arial"/>
        <family val="2"/>
        <charset val="1"/>
      </rPr>
      <t xml:space="preserve">Assurance</t>
    </r>
    <r>
      <rPr>
        <sz val="11"/>
        <color rgb="FF20334A"/>
        <rFont val="Noto Sans CJK SC"/>
        <family val="2"/>
        <charset val="1"/>
      </rPr>
      <t xml:space="preserve">与</t>
    </r>
    <r>
      <rPr>
        <sz val="11"/>
        <color rgb="FF20334A"/>
        <rFont val="Arial"/>
        <family val="2"/>
        <charset val="1"/>
      </rPr>
      <t xml:space="preserve">Takaful</t>
    </r>
    <r>
      <rPr>
        <sz val="11"/>
        <color rgb="FF20334A"/>
        <rFont val="Noto Sans CJK SC"/>
        <family val="2"/>
        <charset val="1"/>
      </rPr>
      <t xml:space="preserve">跨主体隔离；限定</t>
    </r>
    <r>
      <rPr>
        <sz val="11"/>
        <color rgb="FF20334A"/>
        <rFont val="Arial"/>
        <family val="2"/>
        <charset val="1"/>
      </rPr>
      <t xml:space="preserve">2</t>
    </r>
    <r>
      <rPr>
        <sz val="11"/>
        <color rgb="FF20334A"/>
        <rFont val="Noto Sans CJK SC"/>
        <family val="2"/>
        <charset val="1"/>
      </rPr>
      <t xml:space="preserve">版本，无新增全文或主文。</t>
    </r>
  </si>
  <si>
    <r>
      <rPr>
        <sz val="11"/>
        <color rgb="FF20334A"/>
        <rFont val="Arial"/>
        <family val="2"/>
        <charset val="1"/>
      </rPr>
      <t xml:space="preserve">B4</t>
    </r>
    <r>
      <rPr>
        <sz val="11"/>
        <color rgb="FF20334A"/>
        <rFont val="Noto Sans CJK SC"/>
        <family val="2"/>
        <charset val="1"/>
      </rPr>
      <t xml:space="preserve">独立</t>
    </r>
    <r>
      <rPr>
        <sz val="11"/>
        <color rgb="FF20334A"/>
        <rFont val="Arial"/>
        <family val="2"/>
        <charset val="1"/>
      </rPr>
      <t xml:space="preserve">QA · B4-MY-ID-002</t>
    </r>
    <r>
      <rPr>
        <sz val="11"/>
        <color rgb="FF20334A"/>
        <rFont val="Noto Sans CJK SC"/>
        <family val="2"/>
        <charset val="1"/>
      </rPr>
      <t xml:space="preserve">；限定身份及材料关系证据。</t>
    </r>
  </si>
  <si>
    <t xml:space="preserve">MY-SUN-002 / MY-SUN-036</t>
  </si>
  <si>
    <t xml:space="preserve">B4-ID-001</t>
  </si>
  <si>
    <t xml:space="preserve">印度尼西亚</t>
  </si>
  <si>
    <r>
      <rPr>
        <sz val="11"/>
        <color rgb="FF20334A"/>
        <rFont val="Arial"/>
        <family val="2"/>
        <charset val="1"/>
      </rPr>
      <t xml:space="preserve">18</t>
    </r>
    <r>
      <rPr>
        <sz val="11"/>
        <color rgb="FF20334A"/>
        <rFont val="Noto Sans CJK SC"/>
        <family val="2"/>
        <charset val="1"/>
      </rPr>
      <t xml:space="preserve">页标准条款仅部分语言核验；印尼语为优先文本且尚未完整可靠语义审读，全文</t>
    </r>
    <r>
      <rPr>
        <sz val="11"/>
        <color rgb="FF20334A"/>
        <rFont val="Arial"/>
        <family val="2"/>
        <charset val="1"/>
      </rPr>
      <t xml:space="preserve">0</t>
    </r>
    <r>
      <rPr>
        <sz val="11"/>
        <color rgb="FF20334A"/>
        <rFont val="Noto Sans CJK SC"/>
        <family val="2"/>
        <charset val="1"/>
      </rPr>
      <t xml:space="preserve">、产品主文</t>
    </r>
    <r>
      <rPr>
        <sz val="11"/>
        <color rgb="FF20334A"/>
        <rFont val="Arial"/>
        <family val="2"/>
        <charset val="1"/>
      </rPr>
      <t xml:space="preserve">0</t>
    </r>
    <r>
      <rPr>
        <sz val="11"/>
        <color rgb="FF20334A"/>
        <rFont val="Noto Sans CJK SC"/>
        <family val="2"/>
        <charset val="1"/>
      </rPr>
      <t xml:space="preserve">。</t>
    </r>
  </si>
  <si>
    <r>
      <rPr>
        <sz val="11"/>
        <color rgb="FF20334A"/>
        <rFont val="Arial"/>
        <family val="2"/>
        <charset val="1"/>
      </rPr>
      <t xml:space="preserve">B4</t>
    </r>
    <r>
      <rPr>
        <sz val="11"/>
        <color rgb="FF20334A"/>
        <rFont val="Noto Sans CJK SC"/>
        <family val="2"/>
        <charset val="1"/>
      </rPr>
      <t xml:space="preserve">独立</t>
    </r>
    <r>
      <rPr>
        <sz val="11"/>
        <color rgb="FF20334A"/>
        <rFont val="Arial"/>
        <family val="2"/>
        <charset val="1"/>
      </rPr>
      <t xml:space="preserve">QA · B4-ID-001</t>
    </r>
    <r>
      <rPr>
        <sz val="11"/>
        <color rgb="FF20334A"/>
        <rFont val="Noto Sans CJK SC"/>
        <family val="2"/>
        <charset val="1"/>
      </rPr>
      <t xml:space="preserve">；</t>
    </r>
    <r>
      <rPr>
        <sz val="11"/>
        <color rgb="FF20334A"/>
        <rFont val="Arial"/>
        <family val="2"/>
        <charset val="1"/>
      </rPr>
      <t xml:space="preserve">18</t>
    </r>
    <r>
      <rPr>
        <sz val="11"/>
        <color rgb="FF20334A"/>
        <rFont val="Noto Sans CJK SC"/>
        <family val="2"/>
        <charset val="1"/>
      </rPr>
      <t xml:space="preserve">页结构／英文证据；优先印尼语语义未全核。</t>
    </r>
  </si>
  <si>
    <t xml:space="preserve">需可靠印尼语语义审读并核双语差异、错误引用及版本；未解除前保持部分核验，不自动修正条文。</t>
  </si>
  <si>
    <t xml:space="preserve">PT Asuransi Multi Artha Guna Tbk</t>
  </si>
  <si>
    <t xml:space="preserve">标准条款支持件；优先语言未全审</t>
  </si>
  <si>
    <t xml:space="preserve">有标准条款，不认定目标产品主文</t>
  </si>
  <si>
    <r>
      <rPr>
        <sz val="11"/>
        <color rgb="FF20334A"/>
        <rFont val="Noto Sans CJK SC"/>
        <family val="2"/>
        <charset val="1"/>
      </rPr>
      <t xml:space="preserve">印尼语优先；英文阅读和全部</t>
    </r>
    <r>
      <rPr>
        <sz val="11"/>
        <color rgb="FF20334A"/>
        <rFont val="Arial"/>
        <family val="2"/>
        <charset val="1"/>
      </rPr>
      <t xml:space="preserve">18</t>
    </r>
    <r>
      <rPr>
        <sz val="11"/>
        <color rgb="FF20334A"/>
        <rFont val="Noto Sans CJK SC"/>
        <family val="2"/>
        <charset val="1"/>
      </rPr>
      <t xml:space="preserve">页视觉检查不构成整份语义全文。</t>
    </r>
  </si>
  <si>
    <t xml:space="preserve">ID-DOC-007</t>
  </si>
  <si>
    <t xml:space="preserve">B4-MM-001</t>
  </si>
  <si>
    <t xml:space="preserve">缅甸</t>
  </si>
  <si>
    <r>
      <rPr>
        <sz val="11"/>
        <color rgb="FF20334A"/>
        <rFont val="Arial"/>
        <family val="2"/>
        <charset val="1"/>
      </rPr>
      <t xml:space="preserve">2</t>
    </r>
    <r>
      <rPr>
        <sz val="11"/>
        <color rgb="FF20334A"/>
        <rFont val="Noto Sans CJK SC"/>
        <family val="2"/>
        <charset val="1"/>
      </rPr>
      <t xml:space="preserve">页通用申报保单特别条件已全文审读，仍依赖未附基础保单；不是独立主合同。</t>
    </r>
  </si>
  <si>
    <r>
      <rPr>
        <sz val="11"/>
        <color rgb="FF20334A"/>
        <rFont val="Arial"/>
        <family val="2"/>
        <charset val="1"/>
      </rPr>
      <t xml:space="preserve">B4</t>
    </r>
    <r>
      <rPr>
        <sz val="11"/>
        <color rgb="FF20334A"/>
        <rFont val="Noto Sans CJK SC"/>
        <family val="2"/>
        <charset val="1"/>
      </rPr>
      <t xml:space="preserve">独立</t>
    </r>
    <r>
      <rPr>
        <sz val="11"/>
        <color rgb="FF20334A"/>
        <rFont val="Arial"/>
        <family val="2"/>
        <charset val="1"/>
      </rPr>
      <t xml:space="preserve">QA · B4-MM-001</t>
    </r>
    <r>
      <rPr>
        <sz val="11"/>
        <color rgb="FF20334A"/>
        <rFont val="Noto Sans CJK SC"/>
        <family val="2"/>
        <charset val="1"/>
      </rPr>
      <t xml:space="preserve">；</t>
    </r>
    <r>
      <rPr>
        <sz val="11"/>
        <color rgb="FF20334A"/>
        <rFont val="Arial"/>
        <family val="2"/>
        <charset val="1"/>
      </rPr>
      <t xml:space="preserve">2</t>
    </r>
    <r>
      <rPr>
        <sz val="11"/>
        <color rgb="FF20334A"/>
        <rFont val="Noto Sans CJK SC"/>
        <family val="2"/>
        <charset val="1"/>
      </rPr>
      <t xml:space="preserve">物理页现存文件全文证据。</t>
    </r>
  </si>
  <si>
    <t xml:space="preserve">First National Insurance (General) Company Limited</t>
  </si>
  <si>
    <t xml:space="preserve">通用组件，非独立主合同</t>
  </si>
  <si>
    <t xml:space="preserve">通用组件，不替代产品主文</t>
  </si>
  <si>
    <t xml:space="preserve">组件全文不等于独立主合同或当前产品合同包。</t>
  </si>
  <si>
    <t xml:space="preserve">MM-fni-general-fire-18</t>
  </si>
  <si>
    <t xml:space="preserve">B4-MM-002</t>
  </si>
  <si>
    <r>
      <rPr>
        <sz val="11"/>
        <color rgb="FF20334A"/>
        <rFont val="Arial"/>
        <family val="2"/>
        <charset val="1"/>
      </rPr>
      <t xml:space="preserve">13</t>
    </r>
    <r>
      <rPr>
        <sz val="11"/>
        <color rgb="FF20334A"/>
        <rFont val="Noto Sans CJK SC"/>
        <family val="2"/>
        <charset val="1"/>
      </rPr>
      <t xml:space="preserve">页、</t>
    </r>
    <r>
      <rPr>
        <sz val="11"/>
        <color rgb="FF20334A"/>
        <rFont val="Arial"/>
        <family val="2"/>
        <charset val="1"/>
      </rPr>
      <t xml:space="preserve">11</t>
    </r>
    <r>
      <rPr>
        <sz val="11"/>
        <color rgb="FF20334A"/>
        <rFont val="Noto Sans CJK SC"/>
        <family val="2"/>
        <charset val="1"/>
      </rPr>
      <t xml:space="preserve">项通用批单全文已审；基础主合同／采用组合与引用问题未解决，主文新增</t>
    </r>
    <r>
      <rPr>
        <sz val="11"/>
        <color rgb="FF20334A"/>
        <rFont val="Arial"/>
        <family val="2"/>
        <charset val="1"/>
      </rPr>
      <t xml:space="preserve">0</t>
    </r>
    <r>
      <rPr>
        <sz val="11"/>
        <color rgb="FF20334A"/>
        <rFont val="Noto Sans CJK SC"/>
        <family val="2"/>
        <charset val="1"/>
      </rPr>
      <t xml:space="preserve">。</t>
    </r>
  </si>
  <si>
    <r>
      <rPr>
        <sz val="11"/>
        <color rgb="FF20334A"/>
        <rFont val="Arial"/>
        <family val="2"/>
        <charset val="1"/>
      </rPr>
      <t xml:space="preserve">B4</t>
    </r>
    <r>
      <rPr>
        <sz val="11"/>
        <color rgb="FF20334A"/>
        <rFont val="Noto Sans CJK SC"/>
        <family val="2"/>
        <charset val="1"/>
      </rPr>
      <t xml:space="preserve">独立</t>
    </r>
    <r>
      <rPr>
        <sz val="11"/>
        <color rgb="FF20334A"/>
        <rFont val="Arial"/>
        <family val="2"/>
        <charset val="1"/>
      </rPr>
      <t xml:space="preserve">QA · B4-MM-002</t>
    </r>
    <r>
      <rPr>
        <sz val="11"/>
        <color rgb="FF20334A"/>
        <rFont val="Noto Sans CJK SC"/>
        <family val="2"/>
        <charset val="1"/>
      </rPr>
      <t xml:space="preserve">；</t>
    </r>
    <r>
      <rPr>
        <sz val="11"/>
        <color rgb="FF20334A"/>
        <rFont val="Arial"/>
        <family val="2"/>
        <charset val="1"/>
      </rPr>
      <t xml:space="preserve">13</t>
    </r>
    <r>
      <rPr>
        <sz val="11"/>
        <color rgb="FF20334A"/>
        <rFont val="Noto Sans CJK SC"/>
        <family val="2"/>
        <charset val="1"/>
      </rPr>
      <t xml:space="preserve">物理页现存文件全文证据。</t>
    </r>
  </si>
  <si>
    <t xml:space="preserve">MM-fni-general-fire-19</t>
  </si>
  <si>
    <t xml:space="preserve">B5-HK-001</t>
  </si>
  <si>
    <r>
      <rPr>
        <sz val="11"/>
        <color rgb="FF20334A"/>
        <rFont val="Noto Sans CJK SC"/>
        <family val="2"/>
        <charset val="1"/>
      </rPr>
      <t xml:space="preserve">限定已记录公开路线证据已验收；未取得确切目标主文，缺口保留。 </t>
    </r>
    <r>
      <rPr>
        <sz val="11"/>
        <color rgb="FF20334A"/>
        <rFont val="Arial"/>
        <family val="2"/>
        <charset val="1"/>
      </rPr>
      <t xml:space="preserve">HSBC</t>
    </r>
    <r>
      <rPr>
        <sz val="11"/>
        <color rgb="FF20334A"/>
        <rFont val="Noto Sans CJK SC"/>
        <family val="2"/>
        <charset val="1"/>
      </rPr>
      <t xml:space="preserve">含</t>
    </r>
    <r>
      <rPr>
        <sz val="11"/>
        <color rgb="FF20334A"/>
        <rFont val="Arial"/>
        <family val="2"/>
        <charset val="1"/>
      </rPr>
      <t xml:space="preserve">policy</t>
    </r>
    <r>
      <rPr>
        <sz val="11"/>
        <color rgb="FF20334A"/>
        <rFont val="Noto Sans CJK SC"/>
        <family val="2"/>
        <charset val="1"/>
      </rPr>
      <t xml:space="preserve">文件名的旧</t>
    </r>
    <r>
      <rPr>
        <sz val="11"/>
        <color rgb="FF20334A"/>
        <rFont val="Arial"/>
        <family val="2"/>
        <charset val="1"/>
      </rPr>
      <t xml:space="preserve">PDF</t>
    </r>
    <r>
      <rPr>
        <sz val="11"/>
        <color rgb="FF20334A"/>
        <rFont val="Noto Sans CJK SC"/>
        <family val="2"/>
        <charset val="1"/>
      </rPr>
      <t xml:space="preserve">被官方列为产品册，不升格主文。</t>
    </r>
  </si>
  <si>
    <r>
      <rPr>
        <sz val="11"/>
        <color rgb="FF20334A"/>
        <rFont val="Arial"/>
        <family val="2"/>
        <charset val="1"/>
      </rPr>
      <t xml:space="preserve">B5</t>
    </r>
    <r>
      <rPr>
        <sz val="11"/>
        <color rgb="FF20334A"/>
        <rFont val="Noto Sans CJK SC"/>
        <family val="2"/>
        <charset val="1"/>
      </rPr>
      <t xml:space="preserve">独立</t>
    </r>
    <r>
      <rPr>
        <sz val="11"/>
        <color rgb="FF20334A"/>
        <rFont val="Arial"/>
        <family val="2"/>
        <charset val="1"/>
      </rPr>
      <t xml:space="preserve">QA · B5-HK-001</t>
    </r>
    <r>
      <rPr>
        <sz val="11"/>
        <color rgb="FF20334A"/>
        <rFont val="Noto Sans CJK SC"/>
        <family val="2"/>
        <charset val="1"/>
      </rPr>
      <t xml:space="preserve">；限定公开路线证据。</t>
    </r>
  </si>
  <si>
    <t xml:space="preserve">B5</t>
  </si>
  <si>
    <r>
      <rPr>
        <sz val="11"/>
        <color rgb="FF20334A"/>
        <rFont val="Noto Sans CJK SC"/>
        <family val="2"/>
        <charset val="1"/>
      </rPr>
      <t xml:space="preserve">官方产品响应：</t>
    </r>
    <r>
      <rPr>
        <sz val="11"/>
        <color rgb="FF20334A"/>
        <rFont val="Arial"/>
        <family val="2"/>
        <charset val="1"/>
      </rPr>
      <t xml:space="preserve">live HTTP 200</t>
    </r>
  </si>
  <si>
    <t xml:space="preserve">hsbc-income-goal</t>
  </si>
  <si>
    <t xml:space="preserve">B5-HK-002</t>
  </si>
  <si>
    <r>
      <rPr>
        <sz val="11"/>
        <color rgb="FF20334A"/>
        <rFont val="Noto Sans CJK SC"/>
        <family val="2"/>
        <charset val="1"/>
      </rPr>
      <t xml:space="preserve">限定已记录公开路线证据已验收；未取得确切目标主文，缺口保留。 </t>
    </r>
    <r>
      <rPr>
        <sz val="11"/>
        <color rgb="FF20334A"/>
        <rFont val="Arial"/>
        <family val="2"/>
        <charset val="1"/>
      </rPr>
      <t xml:space="preserve">Luminous</t>
    </r>
    <r>
      <rPr>
        <sz val="11"/>
        <color rgb="FF20334A"/>
        <rFont val="Noto Sans CJK SC"/>
        <family val="2"/>
        <charset val="1"/>
      </rPr>
      <t xml:space="preserve">相关</t>
    </r>
    <r>
      <rPr>
        <sz val="11"/>
        <color rgb="FF20334A"/>
        <rFont val="Arial"/>
        <family val="2"/>
        <charset val="1"/>
      </rPr>
      <t xml:space="preserve">PDF</t>
    </r>
    <r>
      <rPr>
        <sz val="11"/>
        <color rgb="FF20334A"/>
        <rFont val="Noto Sans CJK SC"/>
        <family val="2"/>
        <charset val="1"/>
      </rPr>
      <t xml:space="preserve">为保单服务表格，不是主文。</t>
    </r>
  </si>
  <si>
    <r>
      <rPr>
        <sz val="11"/>
        <color rgb="FF20334A"/>
        <rFont val="Arial"/>
        <family val="2"/>
        <charset val="1"/>
      </rPr>
      <t xml:space="preserve">B5</t>
    </r>
    <r>
      <rPr>
        <sz val="11"/>
        <color rgb="FF20334A"/>
        <rFont val="Noto Sans CJK SC"/>
        <family val="2"/>
        <charset val="1"/>
      </rPr>
      <t xml:space="preserve">独立</t>
    </r>
    <r>
      <rPr>
        <sz val="11"/>
        <color rgb="FF20334A"/>
        <rFont val="Arial"/>
        <family val="2"/>
        <charset val="1"/>
      </rPr>
      <t xml:space="preserve">QA · B5-HK-002</t>
    </r>
    <r>
      <rPr>
        <sz val="11"/>
        <color rgb="FF20334A"/>
        <rFont val="Noto Sans CJK SC"/>
        <family val="2"/>
        <charset val="1"/>
      </rPr>
      <t xml:space="preserve">；限定公开路线证据。</t>
    </r>
  </si>
  <si>
    <t xml:space="preserve">hsbc-luminous-global</t>
  </si>
  <si>
    <t xml:space="preserve">B5-HK-003</t>
  </si>
  <si>
    <r>
      <rPr>
        <sz val="11"/>
        <color rgb="FF20334A"/>
        <rFont val="Arial"/>
        <family val="2"/>
        <charset val="1"/>
      </rPr>
      <t xml:space="preserve">B5</t>
    </r>
    <r>
      <rPr>
        <sz val="11"/>
        <color rgb="FF20334A"/>
        <rFont val="Noto Sans CJK SC"/>
        <family val="2"/>
        <charset val="1"/>
      </rPr>
      <t xml:space="preserve">独立</t>
    </r>
    <r>
      <rPr>
        <sz val="11"/>
        <color rgb="FF20334A"/>
        <rFont val="Arial"/>
        <family val="2"/>
        <charset val="1"/>
      </rPr>
      <t xml:space="preserve">QA · B5-HK-003</t>
    </r>
    <r>
      <rPr>
        <sz val="11"/>
        <color rgb="FF20334A"/>
        <rFont val="Noto Sans CJK SC"/>
        <family val="2"/>
        <charset val="1"/>
      </rPr>
      <t xml:space="preserve">；限定公开路线证据。</t>
    </r>
  </si>
  <si>
    <t xml:space="preserve">hsbc-goal-access-universal</t>
  </si>
  <si>
    <t xml:space="preserve">B5-HK-004</t>
  </si>
  <si>
    <r>
      <rPr>
        <sz val="11"/>
        <color rgb="FF20334A"/>
        <rFont val="Arial"/>
        <family val="2"/>
        <charset val="1"/>
      </rPr>
      <t xml:space="preserve">B5</t>
    </r>
    <r>
      <rPr>
        <sz val="11"/>
        <color rgb="FF20334A"/>
        <rFont val="Noto Sans CJK SC"/>
        <family val="2"/>
        <charset val="1"/>
      </rPr>
      <t xml:space="preserve">独立</t>
    </r>
    <r>
      <rPr>
        <sz val="11"/>
        <color rgb="FF20334A"/>
        <rFont val="Arial"/>
        <family val="2"/>
        <charset val="1"/>
      </rPr>
      <t xml:space="preserve">QA · B5-HK-004</t>
    </r>
    <r>
      <rPr>
        <sz val="11"/>
        <color rgb="FF20334A"/>
        <rFont val="Noto Sans CJK SC"/>
        <family val="2"/>
        <charset val="1"/>
      </rPr>
      <t xml:space="preserve">；限定公开路线证据。</t>
    </r>
  </si>
  <si>
    <t xml:space="preserve">hangseng-legend-power2</t>
  </si>
  <si>
    <t xml:space="preserve">B5-HK-005</t>
  </si>
  <si>
    <r>
      <rPr>
        <sz val="11"/>
        <color rgb="FF20334A"/>
        <rFont val="Noto Sans CJK SC"/>
        <family val="2"/>
        <charset val="1"/>
      </rPr>
      <t xml:space="preserve">限定已记录公开路线证据已验收；未取得确切目标主文，缺口保留。 </t>
    </r>
    <r>
      <rPr>
        <sz val="11"/>
        <color rgb="FF20334A"/>
        <rFont val="Arial"/>
        <family val="2"/>
        <charset val="1"/>
      </rPr>
      <t xml:space="preserve">10Life</t>
    </r>
    <r>
      <rPr>
        <sz val="11"/>
        <color rgb="FF20334A"/>
        <rFont val="Noto Sans CJK SC"/>
        <family val="2"/>
        <charset val="1"/>
      </rPr>
      <t xml:space="preserve">为旧版广告主供稿，非独立佐证，也非获授权恒生销售证据。</t>
    </r>
  </si>
  <si>
    <r>
      <rPr>
        <sz val="11"/>
        <color rgb="FF20334A"/>
        <rFont val="Arial"/>
        <family val="2"/>
        <charset val="1"/>
      </rPr>
      <t xml:space="preserve">B5</t>
    </r>
    <r>
      <rPr>
        <sz val="11"/>
        <color rgb="FF20334A"/>
        <rFont val="Noto Sans CJK SC"/>
        <family val="2"/>
        <charset val="1"/>
      </rPr>
      <t xml:space="preserve">独立</t>
    </r>
    <r>
      <rPr>
        <sz val="11"/>
        <color rgb="FF20334A"/>
        <rFont val="Arial"/>
        <family val="2"/>
        <charset val="1"/>
      </rPr>
      <t xml:space="preserve">QA · B5-HK-005</t>
    </r>
    <r>
      <rPr>
        <sz val="11"/>
        <color rgb="FF20334A"/>
        <rFont val="Noto Sans CJK SC"/>
        <family val="2"/>
        <charset val="1"/>
      </rPr>
      <t xml:space="preserve">；限定公开路线证据。</t>
    </r>
  </si>
  <si>
    <t xml:space="preserve">hangseng-family-power2</t>
  </si>
  <si>
    <t xml:space="preserve">B5-HK-006</t>
  </si>
  <si>
    <r>
      <rPr>
        <sz val="11"/>
        <color rgb="FF20334A"/>
        <rFont val="Arial"/>
        <family val="2"/>
        <charset val="1"/>
      </rPr>
      <t xml:space="preserve">B5</t>
    </r>
    <r>
      <rPr>
        <sz val="11"/>
        <color rgb="FF20334A"/>
        <rFont val="Noto Sans CJK SC"/>
        <family val="2"/>
        <charset val="1"/>
      </rPr>
      <t xml:space="preserve">独立</t>
    </r>
    <r>
      <rPr>
        <sz val="11"/>
        <color rgb="FF20334A"/>
        <rFont val="Arial"/>
        <family val="2"/>
        <charset val="1"/>
      </rPr>
      <t xml:space="preserve">QA · B5-HK-006</t>
    </r>
    <r>
      <rPr>
        <sz val="11"/>
        <color rgb="FF20334A"/>
        <rFont val="Noto Sans CJK SC"/>
        <family val="2"/>
        <charset val="1"/>
      </rPr>
      <t xml:space="preserve">；限定公开路线证据。</t>
    </r>
  </si>
  <si>
    <t xml:space="preserve">hangseng-dragonpower</t>
  </si>
  <si>
    <t xml:space="preserve">B5-HK-007</t>
  </si>
  <si>
    <r>
      <rPr>
        <sz val="11"/>
        <color rgb="FF20334A"/>
        <rFont val="Arial"/>
        <family val="2"/>
        <charset val="1"/>
      </rPr>
      <t xml:space="preserve">B5</t>
    </r>
    <r>
      <rPr>
        <sz val="11"/>
        <color rgb="FF20334A"/>
        <rFont val="Noto Sans CJK SC"/>
        <family val="2"/>
        <charset val="1"/>
      </rPr>
      <t xml:space="preserve">独立</t>
    </r>
    <r>
      <rPr>
        <sz val="11"/>
        <color rgb="FF20334A"/>
        <rFont val="Arial"/>
        <family val="2"/>
        <charset val="1"/>
      </rPr>
      <t xml:space="preserve">QA · B5-HK-007</t>
    </r>
    <r>
      <rPr>
        <sz val="11"/>
        <color rgb="FF20334A"/>
        <rFont val="Noto Sans CJK SC"/>
        <family val="2"/>
        <charset val="1"/>
      </rPr>
      <t xml:space="preserve">；限定公开路线证据。</t>
    </r>
  </si>
  <si>
    <t xml:space="preserve">hangseng-phoenix-power</t>
  </si>
  <si>
    <t xml:space="preserve">B5-HK-008</t>
  </si>
  <si>
    <r>
      <rPr>
        <sz val="11"/>
        <color rgb="FF20334A"/>
        <rFont val="Arial"/>
        <family val="2"/>
        <charset val="1"/>
      </rPr>
      <t xml:space="preserve">B5</t>
    </r>
    <r>
      <rPr>
        <sz val="11"/>
        <color rgb="FF20334A"/>
        <rFont val="Noto Sans CJK SC"/>
        <family val="2"/>
        <charset val="1"/>
      </rPr>
      <t xml:space="preserve">独立</t>
    </r>
    <r>
      <rPr>
        <sz val="11"/>
        <color rgb="FF20334A"/>
        <rFont val="Arial"/>
        <family val="2"/>
        <charset val="1"/>
      </rPr>
      <t xml:space="preserve">QA · B5-HK-008</t>
    </r>
    <r>
      <rPr>
        <sz val="11"/>
        <color rgb="FF20334A"/>
        <rFont val="Noto Sans CJK SC"/>
        <family val="2"/>
        <charset val="1"/>
      </rPr>
      <t xml:space="preserve">；限定公开路线证据。</t>
    </r>
  </si>
  <si>
    <t xml:space="preserve">BOC Life</t>
  </si>
  <si>
    <r>
      <rPr>
        <sz val="11"/>
        <color rgb="FF20334A"/>
        <rFont val="Noto Sans CJK SC"/>
        <family val="2"/>
        <charset val="1"/>
      </rPr>
      <t xml:space="preserve">官方产品摘录／缓存：</t>
    </r>
    <r>
      <rPr>
        <sz val="11"/>
        <color rgb="FF20334A"/>
        <rFont val="Arial"/>
        <family val="2"/>
        <charset val="1"/>
      </rPr>
      <t xml:space="preserve">HTTP</t>
    </r>
    <r>
      <rPr>
        <sz val="11"/>
        <color rgb="FF20334A"/>
        <rFont val="Noto Sans CJK SC"/>
        <family val="2"/>
        <charset val="1"/>
      </rPr>
      <t xml:space="preserve">未知</t>
    </r>
  </si>
  <si>
    <r>
      <rPr>
        <sz val="11"/>
        <color rgb="FF20334A"/>
        <rFont val="Noto Sans CJK SC"/>
        <family val="2"/>
        <charset val="1"/>
      </rPr>
      <t xml:space="preserve">只覆盖保存的响应或摘录；不是全网无主文、穷尽路线或当前在售证明。 摘录不保证全页或</t>
    </r>
    <r>
      <rPr>
        <sz val="11"/>
        <color rgb="FF20334A"/>
        <rFont val="Arial"/>
        <family val="2"/>
        <charset val="1"/>
      </rPr>
      <t xml:space="preserve">JavaScript</t>
    </r>
    <r>
      <rPr>
        <sz val="11"/>
        <color rgb="FF20334A"/>
        <rFont val="Noto Sans CJK SC"/>
        <family val="2"/>
        <charset val="1"/>
      </rPr>
      <t xml:space="preserve">链接覆盖；搜索原查询未全保存。</t>
    </r>
  </si>
  <si>
    <t xml:space="preserve">boclife-reachup-insurance-plan</t>
  </si>
  <si>
    <t xml:space="preserve">B5-HK-009</t>
  </si>
  <si>
    <r>
      <rPr>
        <sz val="11"/>
        <color rgb="FF20334A"/>
        <rFont val="Arial"/>
        <family val="2"/>
        <charset val="1"/>
      </rPr>
      <t xml:space="preserve">B5</t>
    </r>
    <r>
      <rPr>
        <sz val="11"/>
        <color rgb="FF20334A"/>
        <rFont val="Noto Sans CJK SC"/>
        <family val="2"/>
        <charset val="1"/>
      </rPr>
      <t xml:space="preserve">独立</t>
    </r>
    <r>
      <rPr>
        <sz val="11"/>
        <color rgb="FF20334A"/>
        <rFont val="Arial"/>
        <family val="2"/>
        <charset val="1"/>
      </rPr>
      <t xml:space="preserve">QA · B5-HK-009</t>
    </r>
    <r>
      <rPr>
        <sz val="11"/>
        <color rgb="FF20334A"/>
        <rFont val="Noto Sans CJK SC"/>
        <family val="2"/>
        <charset val="1"/>
      </rPr>
      <t xml:space="preserve">；限定公开路线证据。</t>
    </r>
  </si>
  <si>
    <t xml:space="preserve">boclife-forever-wellbeing-whole-life-plan</t>
  </si>
  <si>
    <t xml:space="preserve">B5-HK-010</t>
  </si>
  <si>
    <r>
      <rPr>
        <sz val="11"/>
        <color rgb="FF20334A"/>
        <rFont val="Noto Sans CJK SC"/>
        <family val="2"/>
        <charset val="1"/>
      </rPr>
      <t xml:space="preserve">限定已记录公开路线证据已验收；未取得确切目标主文，缺口保留。 </t>
    </r>
    <r>
      <rPr>
        <sz val="11"/>
        <color rgb="FF20334A"/>
        <rFont val="Arial"/>
        <family val="2"/>
        <charset val="1"/>
      </rPr>
      <t xml:space="preserve">BOCHK</t>
    </r>
    <r>
      <rPr>
        <sz val="11"/>
        <color rgb="FF20334A"/>
        <rFont val="Noto Sans CJK SC"/>
        <family val="2"/>
        <charset val="1"/>
      </rPr>
      <t xml:space="preserve">入口工具超时；不是来源</t>
    </r>
    <r>
      <rPr>
        <sz val="11"/>
        <color rgb="FF20334A"/>
        <rFont val="Arial"/>
        <family val="2"/>
        <charset val="1"/>
      </rPr>
      <t xml:space="preserve">HTTP 400</t>
    </r>
    <r>
      <rPr>
        <sz val="11"/>
        <color rgb="FF20334A"/>
        <rFont val="Noto Sans CJK SC"/>
        <family val="2"/>
        <charset val="1"/>
      </rPr>
      <t xml:space="preserve">或无文件证明。</t>
    </r>
  </si>
  <si>
    <r>
      <rPr>
        <sz val="11"/>
        <color rgb="FF20334A"/>
        <rFont val="Arial"/>
        <family val="2"/>
        <charset val="1"/>
      </rPr>
      <t xml:space="preserve">B5</t>
    </r>
    <r>
      <rPr>
        <sz val="11"/>
        <color rgb="FF20334A"/>
        <rFont val="Noto Sans CJK SC"/>
        <family val="2"/>
        <charset val="1"/>
      </rPr>
      <t xml:space="preserve">独立</t>
    </r>
    <r>
      <rPr>
        <sz val="11"/>
        <color rgb="FF20334A"/>
        <rFont val="Arial"/>
        <family val="2"/>
        <charset val="1"/>
      </rPr>
      <t xml:space="preserve">QA · B5-HK-010</t>
    </r>
    <r>
      <rPr>
        <sz val="11"/>
        <color rgb="FF20334A"/>
        <rFont val="Noto Sans CJK SC"/>
        <family val="2"/>
        <charset val="1"/>
      </rPr>
      <t xml:space="preserve">；限定公开路线证据。</t>
    </r>
  </si>
  <si>
    <t xml:space="preserve">boclife-assure-together-global-whole-life-insurance-plan</t>
  </si>
  <si>
    <t xml:space="preserve">B5-HK-011</t>
  </si>
  <si>
    <r>
      <rPr>
        <sz val="11"/>
        <color rgb="FF20334A"/>
        <rFont val="Arial"/>
        <family val="2"/>
        <charset val="1"/>
      </rPr>
      <t xml:space="preserve">B5</t>
    </r>
    <r>
      <rPr>
        <sz val="11"/>
        <color rgb="FF20334A"/>
        <rFont val="Noto Sans CJK SC"/>
        <family val="2"/>
        <charset val="1"/>
      </rPr>
      <t xml:space="preserve">独立</t>
    </r>
    <r>
      <rPr>
        <sz val="11"/>
        <color rgb="FF20334A"/>
        <rFont val="Arial"/>
        <family val="2"/>
        <charset val="1"/>
      </rPr>
      <t xml:space="preserve">QA · B5-HK-011</t>
    </r>
    <r>
      <rPr>
        <sz val="11"/>
        <color rgb="FF20334A"/>
        <rFont val="Noto Sans CJK SC"/>
        <family val="2"/>
        <charset val="1"/>
      </rPr>
      <t xml:space="preserve">；限定公开路线证据。</t>
    </r>
  </si>
  <si>
    <t xml:space="preserve">boclife-elite-generations-global-whole-life-insurance-plan</t>
  </si>
  <si>
    <t xml:space="preserve">B5-HK-012</t>
  </si>
  <si>
    <r>
      <rPr>
        <sz val="11"/>
        <color rgb="FF20334A"/>
        <rFont val="Arial"/>
        <family val="2"/>
        <charset val="1"/>
      </rPr>
      <t xml:space="preserve">B5</t>
    </r>
    <r>
      <rPr>
        <sz val="11"/>
        <color rgb="FF20334A"/>
        <rFont val="Noto Sans CJK SC"/>
        <family val="2"/>
        <charset val="1"/>
      </rPr>
      <t xml:space="preserve">独立</t>
    </r>
    <r>
      <rPr>
        <sz val="11"/>
        <color rgb="FF20334A"/>
        <rFont val="Arial"/>
        <family val="2"/>
        <charset val="1"/>
      </rPr>
      <t xml:space="preserve">QA · B5-HK-012</t>
    </r>
    <r>
      <rPr>
        <sz val="11"/>
        <color rgb="FF20334A"/>
        <rFont val="Noto Sans CJK SC"/>
        <family val="2"/>
        <charset val="1"/>
      </rPr>
      <t xml:space="preserve">；限定公开路线证据。</t>
    </r>
  </si>
  <si>
    <t xml:space="preserve">boclife-forever-legacy-whole-life-plan-ii</t>
  </si>
  <si>
    <t xml:space="preserve">B6-SG-001</t>
  </si>
  <si>
    <r>
      <rPr>
        <sz val="11"/>
        <color rgb="FF20334A"/>
        <rFont val="Noto Sans CJK SC"/>
        <family val="2"/>
        <charset val="1"/>
      </rPr>
      <t xml:space="preserve">限定已记录公开路线证据已验收；未取得确切目标主文，缺口保留。 不将摘要型</t>
    </r>
    <r>
      <rPr>
        <sz val="11"/>
        <color rgb="FF20334A"/>
        <rFont val="Arial"/>
        <family val="2"/>
        <charset val="1"/>
      </rPr>
      <t xml:space="preserve">wording</t>
    </r>
    <r>
      <rPr>
        <sz val="11"/>
        <color rgb="FF20334A"/>
        <rFont val="Noto Sans CJK SC"/>
        <family val="2"/>
        <charset val="1"/>
      </rPr>
      <t xml:space="preserve">发现链接、</t>
    </r>
    <r>
      <rPr>
        <sz val="11"/>
        <color rgb="FF20334A"/>
        <rFont val="Arial"/>
        <family val="2"/>
        <charset val="1"/>
      </rPr>
      <t xml:space="preserve">Citi</t>
    </r>
    <r>
      <rPr>
        <sz val="11"/>
        <color rgb="FF20334A"/>
        <rFont val="Noto Sans CJK SC"/>
        <family val="2"/>
        <charset val="1"/>
      </rPr>
      <t xml:space="preserve">分销介绍或</t>
    </r>
    <r>
      <rPr>
        <sz val="11"/>
        <color rgb="FF20334A"/>
        <rFont val="Arial"/>
        <family val="2"/>
        <charset val="1"/>
      </rPr>
      <t xml:space="preserve">GE</t>
    </r>
    <r>
      <rPr>
        <sz val="11"/>
        <color rgb="FF20334A"/>
        <rFont val="Noto Sans CJK SC"/>
        <family val="2"/>
        <charset val="1"/>
      </rPr>
      <t xml:space="preserve">登录后合同指引当作已取得主文。</t>
    </r>
  </si>
  <si>
    <r>
      <rPr>
        <sz val="11"/>
        <color rgb="FF20334A"/>
        <rFont val="Arial"/>
        <family val="2"/>
        <charset val="1"/>
      </rPr>
      <t xml:space="preserve">B6</t>
    </r>
    <r>
      <rPr>
        <sz val="11"/>
        <color rgb="FF20334A"/>
        <rFont val="Noto Sans CJK SC"/>
        <family val="2"/>
        <charset val="1"/>
      </rPr>
      <t xml:space="preserve">独立</t>
    </r>
    <r>
      <rPr>
        <sz val="11"/>
        <color rgb="FF20334A"/>
        <rFont val="Arial"/>
        <family val="2"/>
        <charset val="1"/>
      </rPr>
      <t xml:space="preserve">QA · B6-SG-001</t>
    </r>
    <r>
      <rPr>
        <sz val="11"/>
        <color rgb="FF20334A"/>
        <rFont val="Noto Sans CJK SC"/>
        <family val="2"/>
        <charset val="1"/>
      </rPr>
      <t xml:space="preserve">；限定公开路线证据。</t>
    </r>
  </si>
  <si>
    <t xml:space="preserve">B6</t>
  </si>
  <si>
    <t xml:space="preserve">AIA Singapore Private Limited</t>
  </si>
  <si>
    <r>
      <rPr>
        <sz val="11"/>
        <color rgb="FF20334A"/>
        <rFont val="Noto Sans CJK SC"/>
        <family val="2"/>
        <charset val="1"/>
      </rPr>
      <t xml:space="preserve">仅</t>
    </r>
    <r>
      <rPr>
        <sz val="11"/>
        <color rgb="FF20334A"/>
        <rFont val="Arial"/>
        <family val="2"/>
        <charset val="1"/>
      </rPr>
      <t xml:space="preserve">294</t>
    </r>
    <r>
      <rPr>
        <sz val="11"/>
        <color rgb="FF20334A"/>
        <rFont val="Noto Sans CJK SC"/>
        <family val="2"/>
        <charset val="1"/>
      </rPr>
      <t xml:space="preserve">身份投影中指定</t>
    </r>
    <r>
      <rPr>
        <sz val="11"/>
        <color rgb="FF20334A"/>
        <rFont val="Arial"/>
        <family val="2"/>
        <charset val="1"/>
      </rPr>
      <t xml:space="preserve">12</t>
    </r>
    <r>
      <rPr>
        <sz val="11"/>
        <color rgb="FF20334A"/>
        <rFont val="Noto Sans CJK SC"/>
        <family val="2"/>
        <charset val="1"/>
      </rPr>
      <t xml:space="preserve">族；不是较窄</t>
    </r>
    <r>
      <rPr>
        <sz val="11"/>
        <color rgb="FF20334A"/>
        <rFont val="Arial"/>
        <family val="2"/>
        <charset val="1"/>
      </rPr>
      <t xml:space="preserve">144</t>
    </r>
    <r>
      <rPr>
        <sz val="11"/>
        <color rgb="FF20334A"/>
        <rFont val="Noto Sans CJK SC"/>
        <family val="2"/>
        <charset val="1"/>
      </rPr>
      <t xml:space="preserve">范围或全市场分母。</t>
    </r>
    <r>
      <rPr>
        <sz val="11"/>
        <color rgb="FF20334A"/>
        <rFont val="Arial"/>
        <family val="2"/>
        <charset val="1"/>
      </rPr>
      <t xml:space="preserve">11</t>
    </r>
    <r>
      <rPr>
        <sz val="11"/>
        <color rgb="FF20334A"/>
        <rFont val="Noto Sans CJK SC"/>
        <family val="2"/>
        <charset val="1"/>
      </rPr>
      <t xml:space="preserve">个唯一官方</t>
    </r>
    <r>
      <rPr>
        <sz val="11"/>
        <color rgb="FF20334A"/>
        <rFont val="Arial"/>
        <family val="2"/>
        <charset val="1"/>
      </rPr>
      <t xml:space="preserve">URL</t>
    </r>
    <r>
      <rPr>
        <sz val="11"/>
        <color rgb="FF20334A"/>
        <rFont val="Noto Sans CJK SC"/>
        <family val="2"/>
        <charset val="1"/>
      </rPr>
      <t xml:space="preserve">对应</t>
    </r>
    <r>
      <rPr>
        <sz val="11"/>
        <color rgb="FF20334A"/>
        <rFont val="Arial"/>
        <family val="2"/>
        <charset val="1"/>
      </rPr>
      <t xml:space="preserve">12</t>
    </r>
    <r>
      <rPr>
        <sz val="11"/>
        <color rgb="FF20334A"/>
        <rFont val="Noto Sans CJK SC"/>
        <family val="2"/>
        <charset val="1"/>
      </rPr>
      <t xml:space="preserve">任务；未下载</t>
    </r>
    <r>
      <rPr>
        <sz val="11"/>
        <color rgb="FF20334A"/>
        <rFont val="Arial"/>
        <family val="2"/>
        <charset val="1"/>
      </rPr>
      <t xml:space="preserve">PDF</t>
    </r>
    <r>
      <rPr>
        <sz val="11"/>
        <color rgb="FF20334A"/>
        <rFont val="Noto Sans CJK SC"/>
        <family val="2"/>
        <charset val="1"/>
      </rPr>
      <t xml:space="preserve">。</t>
    </r>
    <r>
      <rPr>
        <sz val="11"/>
        <color rgb="FF20334A"/>
        <rFont val="Arial"/>
        <family val="2"/>
        <charset val="1"/>
      </rPr>
      <t xml:space="preserve">SingSaver</t>
    </r>
    <r>
      <rPr>
        <sz val="11"/>
        <color rgb="FF20334A"/>
        <rFont val="Noto Sans CJK SC"/>
        <family val="2"/>
        <charset val="1"/>
      </rPr>
      <t xml:space="preserve">编辑页及页脚自述不证明本目标销售授权。</t>
    </r>
  </si>
  <si>
    <t xml:space="preserve">SG-F-2ff0bfc305c47fbe</t>
  </si>
  <si>
    <t xml:space="preserve">B6-SG-002</t>
  </si>
  <si>
    <r>
      <rPr>
        <sz val="11"/>
        <color rgb="FF20334A"/>
        <rFont val="Arial"/>
        <family val="2"/>
        <charset val="1"/>
      </rPr>
      <t xml:space="preserve">B6</t>
    </r>
    <r>
      <rPr>
        <sz val="11"/>
        <color rgb="FF20334A"/>
        <rFont val="Noto Sans CJK SC"/>
        <family val="2"/>
        <charset val="1"/>
      </rPr>
      <t xml:space="preserve">独立</t>
    </r>
    <r>
      <rPr>
        <sz val="11"/>
        <color rgb="FF20334A"/>
        <rFont val="Arial"/>
        <family val="2"/>
        <charset val="1"/>
      </rPr>
      <t xml:space="preserve">QA · B6-SG-002</t>
    </r>
    <r>
      <rPr>
        <sz val="11"/>
        <color rgb="FF20334A"/>
        <rFont val="Noto Sans CJK SC"/>
        <family val="2"/>
        <charset val="1"/>
      </rPr>
      <t xml:space="preserve">；限定公开路线证据。</t>
    </r>
  </si>
  <si>
    <t xml:space="preserve">SG-F-23d1dbd002c97909</t>
  </si>
  <si>
    <t xml:space="preserve">B6-SG-003</t>
  </si>
  <si>
    <r>
      <rPr>
        <sz val="11"/>
        <color rgb="FF20334A"/>
        <rFont val="Arial"/>
        <family val="2"/>
        <charset val="1"/>
      </rPr>
      <t xml:space="preserve">B6</t>
    </r>
    <r>
      <rPr>
        <sz val="11"/>
        <color rgb="FF20334A"/>
        <rFont val="Noto Sans CJK SC"/>
        <family val="2"/>
        <charset val="1"/>
      </rPr>
      <t xml:space="preserve">独立</t>
    </r>
    <r>
      <rPr>
        <sz val="11"/>
        <color rgb="FF20334A"/>
        <rFont val="Arial"/>
        <family val="2"/>
        <charset val="1"/>
      </rPr>
      <t xml:space="preserve">QA · B6-SG-003</t>
    </r>
    <r>
      <rPr>
        <sz val="11"/>
        <color rgb="FF20334A"/>
        <rFont val="Noto Sans CJK SC"/>
        <family val="2"/>
        <charset val="1"/>
      </rPr>
      <t xml:space="preserve">；限定公开路线证据。</t>
    </r>
  </si>
  <si>
    <t xml:space="preserve">SG-F-e9f33cf7d75f9598</t>
  </si>
  <si>
    <t xml:space="preserve">B6-SG-004</t>
  </si>
  <si>
    <r>
      <rPr>
        <sz val="11"/>
        <color rgb="FF20334A"/>
        <rFont val="Arial"/>
        <family val="2"/>
        <charset val="1"/>
      </rPr>
      <t xml:space="preserve">B6</t>
    </r>
    <r>
      <rPr>
        <sz val="11"/>
        <color rgb="FF20334A"/>
        <rFont val="Noto Sans CJK SC"/>
        <family val="2"/>
        <charset val="1"/>
      </rPr>
      <t xml:space="preserve">独立</t>
    </r>
    <r>
      <rPr>
        <sz val="11"/>
        <color rgb="FF20334A"/>
        <rFont val="Arial"/>
        <family val="2"/>
        <charset val="1"/>
      </rPr>
      <t xml:space="preserve">QA · B6-SG-004</t>
    </r>
    <r>
      <rPr>
        <sz val="11"/>
        <color rgb="FF20334A"/>
        <rFont val="Noto Sans CJK SC"/>
        <family val="2"/>
        <charset val="1"/>
      </rPr>
      <t xml:space="preserve">；限定公开路线证据。</t>
    </r>
  </si>
  <si>
    <t xml:space="preserve">SG-F-aad0ce003e88c450</t>
  </si>
  <si>
    <t xml:space="preserve">B6-SG-005</t>
  </si>
  <si>
    <r>
      <rPr>
        <sz val="11"/>
        <color rgb="FF20334A"/>
        <rFont val="Arial"/>
        <family val="2"/>
        <charset val="1"/>
      </rPr>
      <t xml:space="preserve">B6</t>
    </r>
    <r>
      <rPr>
        <sz val="11"/>
        <color rgb="FF20334A"/>
        <rFont val="Noto Sans CJK SC"/>
        <family val="2"/>
        <charset val="1"/>
      </rPr>
      <t xml:space="preserve">独立</t>
    </r>
    <r>
      <rPr>
        <sz val="11"/>
        <color rgb="FF20334A"/>
        <rFont val="Arial"/>
        <family val="2"/>
        <charset val="1"/>
      </rPr>
      <t xml:space="preserve">QA · B6-SG-005</t>
    </r>
    <r>
      <rPr>
        <sz val="11"/>
        <color rgb="FF20334A"/>
        <rFont val="Noto Sans CJK SC"/>
        <family val="2"/>
        <charset val="1"/>
      </rPr>
      <t xml:space="preserve">；限定公开路线证据。</t>
    </r>
  </si>
  <si>
    <t xml:space="preserve">SG-F-8f026fc8fa33c40e</t>
  </si>
  <si>
    <t xml:space="preserve">B6-SG-006</t>
  </si>
  <si>
    <r>
      <rPr>
        <sz val="11"/>
        <color rgb="FF20334A"/>
        <rFont val="Arial"/>
        <family val="2"/>
        <charset val="1"/>
      </rPr>
      <t xml:space="preserve">B6</t>
    </r>
    <r>
      <rPr>
        <sz val="11"/>
        <color rgb="FF20334A"/>
        <rFont val="Noto Sans CJK SC"/>
        <family val="2"/>
        <charset val="1"/>
      </rPr>
      <t xml:space="preserve">独立</t>
    </r>
    <r>
      <rPr>
        <sz val="11"/>
        <color rgb="FF20334A"/>
        <rFont val="Arial"/>
        <family val="2"/>
        <charset val="1"/>
      </rPr>
      <t xml:space="preserve">QA · B6-SG-006</t>
    </r>
    <r>
      <rPr>
        <sz val="11"/>
        <color rgb="FF20334A"/>
        <rFont val="Noto Sans CJK SC"/>
        <family val="2"/>
        <charset val="1"/>
      </rPr>
      <t xml:space="preserve">；限定公开路线证据。</t>
    </r>
  </si>
  <si>
    <t xml:space="preserve">SG-F-532fcfd906b696b6</t>
  </si>
  <si>
    <t xml:space="preserve">B6-SG-007</t>
  </si>
  <si>
    <r>
      <rPr>
        <sz val="11"/>
        <color rgb="FF20334A"/>
        <rFont val="Arial"/>
        <family val="2"/>
        <charset val="1"/>
      </rPr>
      <t xml:space="preserve">B6</t>
    </r>
    <r>
      <rPr>
        <sz val="11"/>
        <color rgb="FF20334A"/>
        <rFont val="Noto Sans CJK SC"/>
        <family val="2"/>
        <charset val="1"/>
      </rPr>
      <t xml:space="preserve">独立</t>
    </r>
    <r>
      <rPr>
        <sz val="11"/>
        <color rgb="FF20334A"/>
        <rFont val="Arial"/>
        <family val="2"/>
        <charset val="1"/>
      </rPr>
      <t xml:space="preserve">QA · B6-SG-007</t>
    </r>
    <r>
      <rPr>
        <sz val="11"/>
        <color rgb="FF20334A"/>
        <rFont val="Noto Sans CJK SC"/>
        <family val="2"/>
        <charset val="1"/>
      </rPr>
      <t xml:space="preserve">；限定公开路线证据。</t>
    </r>
  </si>
  <si>
    <t xml:space="preserve">The Great Eastern Life Assurance Company Limited</t>
  </si>
  <si>
    <t xml:space="preserve">SG-F-36d3151c36b4bdef</t>
  </si>
  <si>
    <t xml:space="preserve">B6-SG-008</t>
  </si>
  <si>
    <r>
      <rPr>
        <sz val="11"/>
        <color rgb="FF20334A"/>
        <rFont val="Arial"/>
        <family val="2"/>
        <charset val="1"/>
      </rPr>
      <t xml:space="preserve">B6</t>
    </r>
    <r>
      <rPr>
        <sz val="11"/>
        <color rgb="FF20334A"/>
        <rFont val="Noto Sans CJK SC"/>
        <family val="2"/>
        <charset val="1"/>
      </rPr>
      <t xml:space="preserve">独立</t>
    </r>
    <r>
      <rPr>
        <sz val="11"/>
        <color rgb="FF20334A"/>
        <rFont val="Arial"/>
        <family val="2"/>
        <charset val="1"/>
      </rPr>
      <t xml:space="preserve">QA · B6-SG-008</t>
    </r>
    <r>
      <rPr>
        <sz val="11"/>
        <color rgb="FF20334A"/>
        <rFont val="Noto Sans CJK SC"/>
        <family val="2"/>
        <charset val="1"/>
      </rPr>
      <t xml:space="preserve">；限定公开路线证据。</t>
    </r>
  </si>
  <si>
    <t xml:space="preserve">SG-F-592509e2a0469b2a</t>
  </si>
  <si>
    <t xml:space="preserve">B6-SG-009</t>
  </si>
  <si>
    <r>
      <rPr>
        <sz val="11"/>
        <color rgb="FF20334A"/>
        <rFont val="Arial"/>
        <family val="2"/>
        <charset val="1"/>
      </rPr>
      <t xml:space="preserve">B6</t>
    </r>
    <r>
      <rPr>
        <sz val="11"/>
        <color rgb="FF20334A"/>
        <rFont val="Noto Sans CJK SC"/>
        <family val="2"/>
        <charset val="1"/>
      </rPr>
      <t xml:space="preserve">独立</t>
    </r>
    <r>
      <rPr>
        <sz val="11"/>
        <color rgb="FF20334A"/>
        <rFont val="Arial"/>
        <family val="2"/>
        <charset val="1"/>
      </rPr>
      <t xml:space="preserve">QA · B6-SG-009</t>
    </r>
    <r>
      <rPr>
        <sz val="11"/>
        <color rgb="FF20334A"/>
        <rFont val="Noto Sans CJK SC"/>
        <family val="2"/>
        <charset val="1"/>
      </rPr>
      <t xml:space="preserve">；限定公开路线证据。</t>
    </r>
  </si>
  <si>
    <t xml:space="preserve">SG-F-e16454c41b0ed93f</t>
  </si>
  <si>
    <t xml:space="preserve">B6-SG-010</t>
  </si>
  <si>
    <r>
      <rPr>
        <sz val="11"/>
        <color rgb="FF20334A"/>
        <rFont val="Arial"/>
        <family val="2"/>
        <charset val="1"/>
      </rPr>
      <t xml:space="preserve">B6</t>
    </r>
    <r>
      <rPr>
        <sz val="11"/>
        <color rgb="FF20334A"/>
        <rFont val="Noto Sans CJK SC"/>
        <family val="2"/>
        <charset val="1"/>
      </rPr>
      <t xml:space="preserve">独立</t>
    </r>
    <r>
      <rPr>
        <sz val="11"/>
        <color rgb="FF20334A"/>
        <rFont val="Arial"/>
        <family val="2"/>
        <charset val="1"/>
      </rPr>
      <t xml:space="preserve">QA · B6-SG-010</t>
    </r>
    <r>
      <rPr>
        <sz val="11"/>
        <color rgb="FF20334A"/>
        <rFont val="Noto Sans CJK SC"/>
        <family val="2"/>
        <charset val="1"/>
      </rPr>
      <t xml:space="preserve">；限定公开路线证据。</t>
    </r>
  </si>
  <si>
    <t xml:space="preserve">SG-F-a4a5dd158f663590</t>
  </si>
  <si>
    <t xml:space="preserve">B6-SG-011</t>
  </si>
  <si>
    <r>
      <rPr>
        <sz val="11"/>
        <color rgb="FF20334A"/>
        <rFont val="Arial"/>
        <family val="2"/>
        <charset val="1"/>
      </rPr>
      <t xml:space="preserve">B6</t>
    </r>
    <r>
      <rPr>
        <sz val="11"/>
        <color rgb="FF20334A"/>
        <rFont val="Noto Sans CJK SC"/>
        <family val="2"/>
        <charset val="1"/>
      </rPr>
      <t xml:space="preserve">独立</t>
    </r>
    <r>
      <rPr>
        <sz val="11"/>
        <color rgb="FF20334A"/>
        <rFont val="Arial"/>
        <family val="2"/>
        <charset val="1"/>
      </rPr>
      <t xml:space="preserve">QA · B6-SG-011</t>
    </r>
    <r>
      <rPr>
        <sz val="11"/>
        <color rgb="FF20334A"/>
        <rFont val="Noto Sans CJK SC"/>
        <family val="2"/>
        <charset val="1"/>
      </rPr>
      <t xml:space="preserve">；限定公开路线证据。</t>
    </r>
  </si>
  <si>
    <t xml:space="preserve">SG-F-59d34f7b6cca900b</t>
  </si>
  <si>
    <t xml:space="preserve">B6-SG-012</t>
  </si>
  <si>
    <r>
      <rPr>
        <sz val="11"/>
        <color rgb="FF20334A"/>
        <rFont val="Arial"/>
        <family val="2"/>
        <charset val="1"/>
      </rPr>
      <t xml:space="preserve">B6</t>
    </r>
    <r>
      <rPr>
        <sz val="11"/>
        <color rgb="FF20334A"/>
        <rFont val="Noto Sans CJK SC"/>
        <family val="2"/>
        <charset val="1"/>
      </rPr>
      <t xml:space="preserve">独立</t>
    </r>
    <r>
      <rPr>
        <sz val="11"/>
        <color rgb="FF20334A"/>
        <rFont val="Arial"/>
        <family val="2"/>
        <charset val="1"/>
      </rPr>
      <t xml:space="preserve">QA · B6-SG-012</t>
    </r>
    <r>
      <rPr>
        <sz val="11"/>
        <color rgb="FF20334A"/>
        <rFont val="Noto Sans CJK SC"/>
        <family val="2"/>
        <charset val="1"/>
      </rPr>
      <t xml:space="preserve">；限定公开路线证据。</t>
    </r>
  </si>
  <si>
    <t xml:space="preserve">SG-F-c895db052215d96d</t>
  </si>
  <si>
    <t xml:space="preserve">B7-MY-001</t>
  </si>
  <si>
    <r>
      <rPr>
        <sz val="11"/>
        <color rgb="FF20334A"/>
        <rFont val="Arial"/>
        <family val="2"/>
        <charset val="1"/>
      </rPr>
      <t xml:space="preserve">21</t>
    </r>
    <r>
      <rPr>
        <sz val="11"/>
        <color rgb="FF20334A"/>
        <rFont val="Noto Sans CJK SC"/>
        <family val="2"/>
        <charset val="1"/>
      </rPr>
      <t xml:space="preserve">页现存主合同全审。附表未附；</t>
    </r>
    <r>
      <rPr>
        <sz val="11"/>
        <color rgb="FF20334A"/>
        <rFont val="Arial"/>
        <family val="2"/>
        <charset val="1"/>
      </rPr>
      <t xml:space="preserve">CIMB</t>
    </r>
    <r>
      <rPr>
        <sz val="11"/>
        <color rgb="FF20334A"/>
        <rFont val="Noto Sans CJK SC"/>
        <family val="2"/>
        <charset val="1"/>
      </rPr>
      <t xml:space="preserve">目录标签不证明正文具名持有人或当前采用。</t>
    </r>
  </si>
  <si>
    <r>
      <rPr>
        <sz val="11"/>
        <color rgb="FF20334A"/>
        <rFont val="Arial"/>
        <family val="2"/>
        <charset val="1"/>
      </rPr>
      <t xml:space="preserve">B7</t>
    </r>
    <r>
      <rPr>
        <sz val="11"/>
        <color rgb="FF20334A"/>
        <rFont val="Noto Sans CJK SC"/>
        <family val="2"/>
        <charset val="1"/>
      </rPr>
      <t xml:space="preserve">独立</t>
    </r>
    <r>
      <rPr>
        <sz val="11"/>
        <color rgb="FF20334A"/>
        <rFont val="Arial"/>
        <family val="2"/>
        <charset val="1"/>
      </rPr>
      <t xml:space="preserve">QA · B7-MY-001</t>
    </r>
    <r>
      <rPr>
        <sz val="11"/>
        <color rgb="FF20334A"/>
        <rFont val="Noto Sans CJK SC"/>
        <family val="2"/>
        <charset val="1"/>
      </rPr>
      <t xml:space="preserve">；</t>
    </r>
    <r>
      <rPr>
        <sz val="11"/>
        <color rgb="FF20334A"/>
        <rFont val="Arial"/>
        <family val="2"/>
        <charset val="1"/>
      </rPr>
      <t xml:space="preserve">21</t>
    </r>
    <r>
      <rPr>
        <sz val="11"/>
        <color rgb="FF20334A"/>
        <rFont val="Noto Sans CJK SC"/>
        <family val="2"/>
        <charset val="1"/>
      </rPr>
      <t xml:space="preserve">物理页全审，原件</t>
    </r>
    <r>
      <rPr>
        <sz val="11"/>
        <color rgb="FF20334A"/>
        <rFont val="Arial"/>
        <family val="2"/>
        <charset val="1"/>
      </rPr>
      <t xml:space="preserve">SHA e7b462d060091f72</t>
    </r>
    <r>
      <rPr>
        <sz val="11"/>
        <color rgb="FF20334A"/>
        <rFont val="Noto Sans CJK SC"/>
        <family val="2"/>
        <charset val="1"/>
      </rPr>
      <t xml:space="preserve">。</t>
    </r>
  </si>
  <si>
    <t xml:space="preserve">按明确缺项／差异定点核证；不自动修正、合并编号、补个人资料或推导当前采用。</t>
  </si>
  <si>
    <r>
      <rPr>
        <sz val="11"/>
        <color rgb="FF20334A"/>
        <rFont val="Noto Sans CJK SC"/>
        <family val="2"/>
        <charset val="1"/>
      </rPr>
      <t xml:space="preserve">现存全部页已审；文件仍</t>
    </r>
    <r>
      <rPr>
        <sz val="11"/>
        <color rgb="FF20334A"/>
        <rFont val="Arial"/>
        <family val="2"/>
        <charset val="1"/>
      </rPr>
      <t xml:space="preserve">needs_review</t>
    </r>
  </si>
  <si>
    <t xml:space="preserve">主合同文件角色已核</t>
  </si>
  <si>
    <t xml:space="preserve">确切文件角色已核，当前产品采用未核</t>
  </si>
  <si>
    <r>
      <rPr>
        <sz val="11"/>
        <color rgb="FF20334A"/>
        <rFont val="Noto Sans CJK SC"/>
        <family val="2"/>
        <charset val="1"/>
      </rPr>
      <t xml:space="preserve">既存原件与独立</t>
    </r>
    <r>
      <rPr>
        <sz val="11"/>
        <color rgb="FF20334A"/>
        <rFont val="Arial"/>
        <family val="2"/>
        <charset val="1"/>
      </rPr>
      <t xml:space="preserve">QA</t>
    </r>
    <r>
      <rPr>
        <sz val="11"/>
        <color rgb="FF20334A"/>
        <rFont val="Noto Sans CJK SC"/>
        <family val="2"/>
        <charset val="1"/>
      </rPr>
      <t xml:space="preserve">；未重新联网取得</t>
    </r>
  </si>
  <si>
    <r>
      <rPr>
        <sz val="11"/>
        <color rgb="FF20334A"/>
        <rFont val="Noto Sans CJK SC"/>
        <family val="2"/>
        <charset val="1"/>
      </rPr>
      <t xml:space="preserve">全文仅指确切</t>
    </r>
    <r>
      <rPr>
        <sz val="11"/>
        <color rgb="FF20334A"/>
        <rFont val="Arial"/>
        <family val="2"/>
        <charset val="1"/>
      </rPr>
      <t xml:space="preserve">SHA</t>
    </r>
    <r>
      <rPr>
        <sz val="11"/>
        <color rgb="FF20334A"/>
        <rFont val="Noto Sans CJK SC"/>
        <family val="2"/>
        <charset val="1"/>
      </rPr>
      <t xml:space="preserve">现存全部页面。文件角色、严格状态、当前采用／现售、通用公开合同包和个人齐套独立判断。</t>
    </r>
  </si>
  <si>
    <t xml:space="preserve">MY-SUN-001</t>
  </si>
  <si>
    <t xml:space="preserve">B7-MY-002</t>
  </si>
  <si>
    <r>
      <rPr>
        <sz val="11"/>
        <color rgb="FF20334A"/>
        <rFont val="Arial"/>
        <family val="2"/>
        <charset val="1"/>
      </rPr>
      <t xml:space="preserve">19</t>
    </r>
    <r>
      <rPr>
        <sz val="11"/>
        <color rgb="FF20334A"/>
        <rFont val="Noto Sans CJK SC"/>
        <family val="2"/>
        <charset val="1"/>
      </rPr>
      <t xml:space="preserve">页现存主合同全审。缺附表；不把与</t>
    </r>
    <r>
      <rPr>
        <sz val="11"/>
        <color rgb="FF20334A"/>
        <rFont val="Arial"/>
        <family val="2"/>
        <charset val="1"/>
      </rPr>
      <t xml:space="preserve">Access Shield</t>
    </r>
    <r>
      <rPr>
        <sz val="11"/>
        <color rgb="FF20334A"/>
        <rFont val="Noto Sans CJK SC"/>
        <family val="2"/>
        <charset val="1"/>
      </rPr>
      <t xml:space="preserve">相近名称或利益组件合并。</t>
    </r>
  </si>
  <si>
    <r>
      <rPr>
        <sz val="11"/>
        <color rgb="FF20334A"/>
        <rFont val="Arial"/>
        <family val="2"/>
        <charset val="1"/>
      </rPr>
      <t xml:space="preserve">B7</t>
    </r>
    <r>
      <rPr>
        <sz val="11"/>
        <color rgb="FF20334A"/>
        <rFont val="Noto Sans CJK SC"/>
        <family val="2"/>
        <charset val="1"/>
      </rPr>
      <t xml:space="preserve">独立</t>
    </r>
    <r>
      <rPr>
        <sz val="11"/>
        <color rgb="FF20334A"/>
        <rFont val="Arial"/>
        <family val="2"/>
        <charset val="1"/>
      </rPr>
      <t xml:space="preserve">QA · B7-MY-002</t>
    </r>
    <r>
      <rPr>
        <sz val="11"/>
        <color rgb="FF20334A"/>
        <rFont val="Noto Sans CJK SC"/>
        <family val="2"/>
        <charset val="1"/>
      </rPr>
      <t xml:space="preserve">；</t>
    </r>
    <r>
      <rPr>
        <sz val="11"/>
        <color rgb="FF20334A"/>
        <rFont val="Arial"/>
        <family val="2"/>
        <charset val="1"/>
      </rPr>
      <t xml:space="preserve">19</t>
    </r>
    <r>
      <rPr>
        <sz val="11"/>
        <color rgb="FF20334A"/>
        <rFont val="Noto Sans CJK SC"/>
        <family val="2"/>
        <charset val="1"/>
      </rPr>
      <t xml:space="preserve">物理页全审，原件</t>
    </r>
    <r>
      <rPr>
        <sz val="11"/>
        <color rgb="FF20334A"/>
        <rFont val="Arial"/>
        <family val="2"/>
        <charset val="1"/>
      </rPr>
      <t xml:space="preserve">SHA 42cd19474f8b115e</t>
    </r>
    <r>
      <rPr>
        <sz val="11"/>
        <color rgb="FF20334A"/>
        <rFont val="Noto Sans CJK SC"/>
        <family val="2"/>
        <charset val="1"/>
      </rPr>
      <t xml:space="preserve">。</t>
    </r>
  </si>
  <si>
    <t xml:space="preserve">MY-SUN-007</t>
  </si>
  <si>
    <t xml:space="preserve">B7-MY-003</t>
  </si>
  <si>
    <r>
      <rPr>
        <sz val="11"/>
        <color rgb="FF20334A"/>
        <rFont val="Arial"/>
        <family val="2"/>
        <charset val="1"/>
      </rPr>
      <t xml:space="preserve">45</t>
    </r>
    <r>
      <rPr>
        <sz val="11"/>
        <color rgb="FF20334A"/>
        <rFont val="Noto Sans CJK SC"/>
        <family val="2"/>
        <charset val="1"/>
      </rPr>
      <t xml:space="preserve">页英马主合同全审。正文</t>
    </r>
    <r>
      <rPr>
        <sz val="11"/>
        <color rgb="FF20334A"/>
        <rFont val="Arial"/>
        <family val="2"/>
        <charset val="1"/>
      </rPr>
      <t xml:space="preserve">CIMBGTT0623</t>
    </r>
    <r>
      <rPr>
        <sz val="11"/>
        <color rgb="FF20334A"/>
        <rFont val="Noto Sans CJK SC"/>
        <family val="2"/>
        <charset val="1"/>
      </rPr>
      <t xml:space="preserve">与文件名</t>
    </r>
    <r>
      <rPr>
        <sz val="11"/>
        <color rgb="FF20334A"/>
        <rFont val="Arial"/>
        <family val="2"/>
        <charset val="1"/>
      </rPr>
      <t xml:space="preserve">GTTCIMB0623</t>
    </r>
    <r>
      <rPr>
        <sz val="11"/>
        <color rgb="FF20334A"/>
        <rFont val="Noto Sans CJK SC"/>
        <family val="2"/>
        <charset val="1"/>
      </rPr>
      <t xml:space="preserve">分开；附表及双语实质差异未解。</t>
    </r>
  </si>
  <si>
    <r>
      <rPr>
        <sz val="11"/>
        <color rgb="FF20334A"/>
        <rFont val="Arial"/>
        <family val="2"/>
        <charset val="1"/>
      </rPr>
      <t xml:space="preserve">B7</t>
    </r>
    <r>
      <rPr>
        <sz val="11"/>
        <color rgb="FF20334A"/>
        <rFont val="Noto Sans CJK SC"/>
        <family val="2"/>
        <charset val="1"/>
      </rPr>
      <t xml:space="preserve">独立</t>
    </r>
    <r>
      <rPr>
        <sz val="11"/>
        <color rgb="FF20334A"/>
        <rFont val="Arial"/>
        <family val="2"/>
        <charset val="1"/>
      </rPr>
      <t xml:space="preserve">QA · B7-MY-003</t>
    </r>
    <r>
      <rPr>
        <sz val="11"/>
        <color rgb="FF20334A"/>
        <rFont val="Noto Sans CJK SC"/>
        <family val="2"/>
        <charset val="1"/>
      </rPr>
      <t xml:space="preserve">；</t>
    </r>
    <r>
      <rPr>
        <sz val="11"/>
        <color rgb="FF20334A"/>
        <rFont val="Arial"/>
        <family val="2"/>
        <charset val="1"/>
      </rPr>
      <t xml:space="preserve">45</t>
    </r>
    <r>
      <rPr>
        <sz val="11"/>
        <color rgb="FF20334A"/>
        <rFont val="Noto Sans CJK SC"/>
        <family val="2"/>
        <charset val="1"/>
      </rPr>
      <t xml:space="preserve">物理页全审，原件</t>
    </r>
    <r>
      <rPr>
        <sz val="11"/>
        <color rgb="FF20334A"/>
        <rFont val="Arial"/>
        <family val="2"/>
        <charset val="1"/>
      </rPr>
      <t xml:space="preserve">SHA 6997e4f72df6932e</t>
    </r>
    <r>
      <rPr>
        <sz val="11"/>
        <color rgb="FF20334A"/>
        <rFont val="Noto Sans CJK SC"/>
        <family val="2"/>
        <charset val="1"/>
      </rPr>
      <t xml:space="preserve">。</t>
    </r>
  </si>
  <si>
    <t xml:space="preserve">MY-SUN-033</t>
  </si>
  <si>
    <t xml:space="preserve">B7-MM-001</t>
  </si>
  <si>
    <r>
      <rPr>
        <sz val="11"/>
        <color rgb="FF20334A"/>
        <rFont val="Arial"/>
        <family val="2"/>
        <charset val="1"/>
      </rPr>
      <t xml:space="preserve">7</t>
    </r>
    <r>
      <rPr>
        <sz val="11"/>
        <color rgb="FF20334A"/>
        <rFont val="Noto Sans CJK SC"/>
        <family val="2"/>
        <charset val="1"/>
      </rPr>
      <t xml:space="preserve">页</t>
    </r>
    <r>
      <rPr>
        <sz val="11"/>
        <color rgb="FF20334A"/>
        <rFont val="Arial"/>
        <family val="2"/>
        <charset val="1"/>
      </rPr>
      <t xml:space="preserve">Institute</t>
    </r>
    <r>
      <rPr>
        <sz val="11"/>
        <color rgb="FF20334A"/>
        <rFont val="Noto Sans CJK SC"/>
        <family val="2"/>
        <charset val="1"/>
      </rPr>
      <t xml:space="preserve">条款组件全审，不是完整保司主合同。</t>
    </r>
  </si>
  <si>
    <r>
      <rPr>
        <sz val="11"/>
        <color rgb="FF20334A"/>
        <rFont val="Arial"/>
        <family val="2"/>
        <charset val="1"/>
      </rPr>
      <t xml:space="preserve">B7</t>
    </r>
    <r>
      <rPr>
        <sz val="11"/>
        <color rgb="FF20334A"/>
        <rFont val="Noto Sans CJK SC"/>
        <family val="2"/>
        <charset val="1"/>
      </rPr>
      <t xml:space="preserve">独立</t>
    </r>
    <r>
      <rPr>
        <sz val="11"/>
        <color rgb="FF20334A"/>
        <rFont val="Arial"/>
        <family val="2"/>
        <charset val="1"/>
      </rPr>
      <t xml:space="preserve">QA · B7-MM-001</t>
    </r>
    <r>
      <rPr>
        <sz val="11"/>
        <color rgb="FF20334A"/>
        <rFont val="Noto Sans CJK SC"/>
        <family val="2"/>
        <charset val="1"/>
      </rPr>
      <t xml:space="preserve">；</t>
    </r>
    <r>
      <rPr>
        <sz val="11"/>
        <color rgb="FF20334A"/>
        <rFont val="Arial"/>
        <family val="2"/>
        <charset val="1"/>
      </rPr>
      <t xml:space="preserve">7</t>
    </r>
    <r>
      <rPr>
        <sz val="11"/>
        <color rgb="FF20334A"/>
        <rFont val="Noto Sans CJK SC"/>
        <family val="2"/>
        <charset val="1"/>
      </rPr>
      <t xml:space="preserve">物理页全审，原件</t>
    </r>
    <r>
      <rPr>
        <sz val="11"/>
        <color rgb="FF20334A"/>
        <rFont val="Arial"/>
        <family val="2"/>
        <charset val="1"/>
      </rPr>
      <t xml:space="preserve">SHA 60e045a147f6ea93</t>
    </r>
    <r>
      <rPr>
        <sz val="11"/>
        <color rgb="FF20334A"/>
        <rFont val="Noto Sans CJK SC"/>
        <family val="2"/>
        <charset val="1"/>
      </rPr>
      <t xml:space="preserve">。</t>
    </r>
  </si>
  <si>
    <t xml:space="preserve">通用条款组件，非独立主合同</t>
  </si>
  <si>
    <t xml:space="preserve">未确立目标产品主文可得</t>
  </si>
  <si>
    <t xml:space="preserve">MM-products-4-doc25</t>
  </si>
  <si>
    <t xml:space="preserve">B7-MM-002</t>
  </si>
  <si>
    <r>
      <rPr>
        <sz val="11"/>
        <color rgb="FF20334A"/>
        <rFont val="Arial"/>
        <family val="2"/>
        <charset val="1"/>
      </rPr>
      <t xml:space="preserve">5</t>
    </r>
    <r>
      <rPr>
        <sz val="11"/>
        <color rgb="FF20334A"/>
        <rFont val="Noto Sans CJK SC"/>
        <family val="2"/>
        <charset val="1"/>
      </rPr>
      <t xml:space="preserve">页</t>
    </r>
    <r>
      <rPr>
        <sz val="11"/>
        <color rgb="FF20334A"/>
        <rFont val="Arial"/>
        <family val="2"/>
        <charset val="1"/>
      </rPr>
      <t xml:space="preserve">Institute</t>
    </r>
    <r>
      <rPr>
        <sz val="11"/>
        <color rgb="FF20334A"/>
        <rFont val="Noto Sans CJK SC"/>
        <family val="2"/>
        <charset val="1"/>
      </rPr>
      <t xml:space="preserve">条款组件全审，不是完整保司主合同。</t>
    </r>
  </si>
  <si>
    <r>
      <rPr>
        <sz val="11"/>
        <color rgb="FF20334A"/>
        <rFont val="Arial"/>
        <family val="2"/>
        <charset val="1"/>
      </rPr>
      <t xml:space="preserve">B7</t>
    </r>
    <r>
      <rPr>
        <sz val="11"/>
        <color rgb="FF20334A"/>
        <rFont val="Noto Sans CJK SC"/>
        <family val="2"/>
        <charset val="1"/>
      </rPr>
      <t xml:space="preserve">独立</t>
    </r>
    <r>
      <rPr>
        <sz val="11"/>
        <color rgb="FF20334A"/>
        <rFont val="Arial"/>
        <family val="2"/>
        <charset val="1"/>
      </rPr>
      <t xml:space="preserve">QA · B7-MM-002</t>
    </r>
    <r>
      <rPr>
        <sz val="11"/>
        <color rgb="FF20334A"/>
        <rFont val="Noto Sans CJK SC"/>
        <family val="2"/>
        <charset val="1"/>
      </rPr>
      <t xml:space="preserve">；</t>
    </r>
    <r>
      <rPr>
        <sz val="11"/>
        <color rgb="FF20334A"/>
        <rFont val="Arial"/>
        <family val="2"/>
        <charset val="1"/>
      </rPr>
      <t xml:space="preserve">5</t>
    </r>
    <r>
      <rPr>
        <sz val="11"/>
        <color rgb="FF20334A"/>
        <rFont val="Noto Sans CJK SC"/>
        <family val="2"/>
        <charset val="1"/>
      </rPr>
      <t xml:space="preserve">物理页全审，原件</t>
    </r>
    <r>
      <rPr>
        <sz val="11"/>
        <color rgb="FF20334A"/>
        <rFont val="Arial"/>
        <family val="2"/>
        <charset val="1"/>
      </rPr>
      <t xml:space="preserve">SHA 750198164a6a5500</t>
    </r>
    <r>
      <rPr>
        <sz val="11"/>
        <color rgb="FF20334A"/>
        <rFont val="Noto Sans CJK SC"/>
        <family val="2"/>
        <charset val="1"/>
      </rPr>
      <t xml:space="preserve">。</t>
    </r>
  </si>
  <si>
    <t xml:space="preserve">MM-products-1-doc0</t>
  </si>
  <si>
    <t xml:space="preserve">B7-MM-003</t>
  </si>
  <si>
    <r>
      <rPr>
        <sz val="11"/>
        <color rgb="FF20334A"/>
        <rFont val="Arial"/>
        <family val="2"/>
        <charset val="1"/>
      </rPr>
      <t xml:space="preserve">6</t>
    </r>
    <r>
      <rPr>
        <sz val="11"/>
        <color rgb="FF20334A"/>
        <rFont val="Noto Sans CJK SC"/>
        <family val="2"/>
        <charset val="1"/>
      </rPr>
      <t xml:space="preserve">页</t>
    </r>
    <r>
      <rPr>
        <sz val="11"/>
        <color rgb="FF20334A"/>
        <rFont val="Arial"/>
        <family val="2"/>
        <charset val="1"/>
      </rPr>
      <t xml:space="preserve">Institute</t>
    </r>
    <r>
      <rPr>
        <sz val="11"/>
        <color rgb="FF20334A"/>
        <rFont val="Noto Sans CJK SC"/>
        <family val="2"/>
        <charset val="1"/>
      </rPr>
      <t xml:space="preserve">条款组件全审，不是完整保司主合同。</t>
    </r>
  </si>
  <si>
    <r>
      <rPr>
        <sz val="11"/>
        <color rgb="FF20334A"/>
        <rFont val="Arial"/>
        <family val="2"/>
        <charset val="1"/>
      </rPr>
      <t xml:space="preserve">B7</t>
    </r>
    <r>
      <rPr>
        <sz val="11"/>
        <color rgb="FF20334A"/>
        <rFont val="Noto Sans CJK SC"/>
        <family val="2"/>
        <charset val="1"/>
      </rPr>
      <t xml:space="preserve">独立</t>
    </r>
    <r>
      <rPr>
        <sz val="11"/>
        <color rgb="FF20334A"/>
        <rFont val="Arial"/>
        <family val="2"/>
        <charset val="1"/>
      </rPr>
      <t xml:space="preserve">QA · B7-MM-003</t>
    </r>
    <r>
      <rPr>
        <sz val="11"/>
        <color rgb="FF20334A"/>
        <rFont val="Noto Sans CJK SC"/>
        <family val="2"/>
        <charset val="1"/>
      </rPr>
      <t xml:space="preserve">；</t>
    </r>
    <r>
      <rPr>
        <sz val="11"/>
        <color rgb="FF20334A"/>
        <rFont val="Arial"/>
        <family val="2"/>
        <charset val="1"/>
      </rPr>
      <t xml:space="preserve">6</t>
    </r>
    <r>
      <rPr>
        <sz val="11"/>
        <color rgb="FF20334A"/>
        <rFont val="Noto Sans CJK SC"/>
        <family val="2"/>
        <charset val="1"/>
      </rPr>
      <t xml:space="preserve">物理页全审，原件</t>
    </r>
    <r>
      <rPr>
        <sz val="11"/>
        <color rgb="FF20334A"/>
        <rFont val="Arial"/>
        <family val="2"/>
        <charset val="1"/>
      </rPr>
      <t xml:space="preserve">SHA bc7f85ff5ec03b84</t>
    </r>
    <r>
      <rPr>
        <sz val="11"/>
        <color rgb="FF20334A"/>
        <rFont val="Noto Sans CJK SC"/>
        <family val="2"/>
        <charset val="1"/>
      </rPr>
      <t xml:space="preserve">。</t>
    </r>
  </si>
  <si>
    <t xml:space="preserve">MM-products-4-doc24</t>
  </si>
  <si>
    <t xml:space="preserve">B7-MM-004</t>
  </si>
  <si>
    <r>
      <rPr>
        <sz val="11"/>
        <color rgb="FF20334A"/>
        <rFont val="Arial"/>
        <family val="2"/>
        <charset val="1"/>
      </rPr>
      <t xml:space="preserve">12</t>
    </r>
    <r>
      <rPr>
        <sz val="11"/>
        <color rgb="FF20334A"/>
        <rFont val="Noto Sans CJK SC"/>
        <family val="2"/>
        <charset val="1"/>
      </rPr>
      <t xml:space="preserve">页</t>
    </r>
    <r>
      <rPr>
        <sz val="11"/>
        <color rgb="FF20334A"/>
        <rFont val="Arial"/>
        <family val="2"/>
        <charset val="1"/>
      </rPr>
      <t xml:space="preserve">Institute</t>
    </r>
    <r>
      <rPr>
        <sz val="11"/>
        <color rgb="FF20334A"/>
        <rFont val="Noto Sans CJK SC"/>
        <family val="2"/>
        <charset val="1"/>
      </rPr>
      <t xml:space="preserve">条款组件全审，不是完整保司主合同。</t>
    </r>
  </si>
  <si>
    <r>
      <rPr>
        <sz val="11"/>
        <color rgb="FF20334A"/>
        <rFont val="Arial"/>
        <family val="2"/>
        <charset val="1"/>
      </rPr>
      <t xml:space="preserve">B7</t>
    </r>
    <r>
      <rPr>
        <sz val="11"/>
        <color rgb="FF20334A"/>
        <rFont val="Noto Sans CJK SC"/>
        <family val="2"/>
        <charset val="1"/>
      </rPr>
      <t xml:space="preserve">独立</t>
    </r>
    <r>
      <rPr>
        <sz val="11"/>
        <color rgb="FF20334A"/>
        <rFont val="Arial"/>
        <family val="2"/>
        <charset val="1"/>
      </rPr>
      <t xml:space="preserve">QA · B7-MM-004</t>
    </r>
    <r>
      <rPr>
        <sz val="11"/>
        <color rgb="FF20334A"/>
        <rFont val="Noto Sans CJK SC"/>
        <family val="2"/>
        <charset val="1"/>
      </rPr>
      <t xml:space="preserve">；</t>
    </r>
    <r>
      <rPr>
        <sz val="11"/>
        <color rgb="FF20334A"/>
        <rFont val="Arial"/>
        <family val="2"/>
        <charset val="1"/>
      </rPr>
      <t xml:space="preserve">12</t>
    </r>
    <r>
      <rPr>
        <sz val="11"/>
        <color rgb="FF20334A"/>
        <rFont val="Noto Sans CJK SC"/>
        <family val="2"/>
        <charset val="1"/>
      </rPr>
      <t xml:space="preserve">物理页全审，原件</t>
    </r>
    <r>
      <rPr>
        <sz val="11"/>
        <color rgb="FF20334A"/>
        <rFont val="Arial"/>
        <family val="2"/>
        <charset val="1"/>
      </rPr>
      <t xml:space="preserve">SHA de59873049775b97</t>
    </r>
    <r>
      <rPr>
        <sz val="11"/>
        <color rgb="FF20334A"/>
        <rFont val="Noto Sans CJK SC"/>
        <family val="2"/>
        <charset val="1"/>
      </rPr>
      <t xml:space="preserve">。</t>
    </r>
  </si>
  <si>
    <t xml:space="preserve">MM-products-2-doc4</t>
  </si>
  <si>
    <t xml:space="preserve">B7-MM-005</t>
  </si>
  <si>
    <r>
      <rPr>
        <sz val="11"/>
        <color rgb="FF20334A"/>
        <rFont val="Arial"/>
        <family val="2"/>
        <charset val="1"/>
      </rPr>
      <t xml:space="preserve">10</t>
    </r>
    <r>
      <rPr>
        <sz val="11"/>
        <color rgb="FF20334A"/>
        <rFont val="Noto Sans CJK SC"/>
        <family val="2"/>
        <charset val="1"/>
      </rPr>
      <t xml:space="preserve">页</t>
    </r>
    <r>
      <rPr>
        <sz val="11"/>
        <color rgb="FF20334A"/>
        <rFont val="Arial"/>
        <family val="2"/>
        <charset val="1"/>
      </rPr>
      <t xml:space="preserve">Institute</t>
    </r>
    <r>
      <rPr>
        <sz val="11"/>
        <color rgb="FF20334A"/>
        <rFont val="Noto Sans CJK SC"/>
        <family val="2"/>
        <charset val="1"/>
      </rPr>
      <t xml:space="preserve">条款组件全审，不是完整保司主合同。</t>
    </r>
  </si>
  <si>
    <r>
      <rPr>
        <sz val="11"/>
        <color rgb="FF20334A"/>
        <rFont val="Arial"/>
        <family val="2"/>
        <charset val="1"/>
      </rPr>
      <t xml:space="preserve">B7</t>
    </r>
    <r>
      <rPr>
        <sz val="11"/>
        <color rgb="FF20334A"/>
        <rFont val="Noto Sans CJK SC"/>
        <family val="2"/>
        <charset val="1"/>
      </rPr>
      <t xml:space="preserve">独立</t>
    </r>
    <r>
      <rPr>
        <sz val="11"/>
        <color rgb="FF20334A"/>
        <rFont val="Arial"/>
        <family val="2"/>
        <charset val="1"/>
      </rPr>
      <t xml:space="preserve">QA · B7-MM-005</t>
    </r>
    <r>
      <rPr>
        <sz val="11"/>
        <color rgb="FF20334A"/>
        <rFont val="Noto Sans CJK SC"/>
        <family val="2"/>
        <charset val="1"/>
      </rPr>
      <t xml:space="preserve">；</t>
    </r>
    <r>
      <rPr>
        <sz val="11"/>
        <color rgb="FF20334A"/>
        <rFont val="Arial"/>
        <family val="2"/>
        <charset val="1"/>
      </rPr>
      <t xml:space="preserve">10</t>
    </r>
    <r>
      <rPr>
        <sz val="11"/>
        <color rgb="FF20334A"/>
        <rFont val="Noto Sans CJK SC"/>
        <family val="2"/>
        <charset val="1"/>
      </rPr>
      <t xml:space="preserve">物理页全审，原件</t>
    </r>
    <r>
      <rPr>
        <sz val="11"/>
        <color rgb="FF20334A"/>
        <rFont val="Arial"/>
        <family val="2"/>
        <charset val="1"/>
      </rPr>
      <t xml:space="preserve">SHA fdfcd03e21ca3f30</t>
    </r>
    <r>
      <rPr>
        <sz val="11"/>
        <color rgb="FF20334A"/>
        <rFont val="Noto Sans CJK SC"/>
        <family val="2"/>
        <charset val="1"/>
      </rPr>
      <t xml:space="preserve">。</t>
    </r>
  </si>
  <si>
    <t xml:space="preserve">MM-products-2-doc5</t>
  </si>
  <si>
    <t xml:space="preserve">B8-MY-001</t>
  </si>
  <si>
    <r>
      <rPr>
        <sz val="11"/>
        <color rgb="FF20334A"/>
        <rFont val="Arial"/>
        <family val="2"/>
        <charset val="1"/>
      </rPr>
      <t xml:space="preserve">14</t>
    </r>
    <r>
      <rPr>
        <sz val="11"/>
        <color rgb="FF20334A"/>
        <rFont val="Noto Sans CJK SC"/>
        <family val="2"/>
        <charset val="1"/>
      </rPr>
      <t xml:space="preserve">页全审，</t>
    </r>
    <r>
      <rPr>
        <sz val="11"/>
        <color rgb="FF20334A"/>
        <rFont val="Arial"/>
        <family val="2"/>
        <charset val="1"/>
      </rPr>
      <t xml:space="preserve">GTTAD002</t>
    </r>
    <r>
      <rPr>
        <sz val="11"/>
        <color rgb="FF20334A"/>
        <rFont val="Noto Sans CJK SC"/>
        <family val="2"/>
        <charset val="1"/>
      </rPr>
      <t xml:space="preserve">主附表缺失，文件严格状态仍待核。</t>
    </r>
  </si>
  <si>
    <r>
      <rPr>
        <sz val="11"/>
        <color rgb="FF20334A"/>
        <rFont val="Arial"/>
        <family val="2"/>
        <charset val="1"/>
      </rPr>
      <t xml:space="preserve">B8</t>
    </r>
    <r>
      <rPr>
        <sz val="11"/>
        <color rgb="FF20334A"/>
        <rFont val="Noto Sans CJK SC"/>
        <family val="2"/>
        <charset val="1"/>
      </rPr>
      <t xml:space="preserve">独立</t>
    </r>
    <r>
      <rPr>
        <sz val="11"/>
        <color rgb="FF20334A"/>
        <rFont val="Arial"/>
        <family val="2"/>
        <charset val="1"/>
      </rPr>
      <t xml:space="preserve">QA · B8-MY-001</t>
    </r>
    <r>
      <rPr>
        <sz val="11"/>
        <color rgb="FF20334A"/>
        <rFont val="Noto Sans CJK SC"/>
        <family val="2"/>
        <charset val="1"/>
      </rPr>
      <t xml:space="preserve">；</t>
    </r>
    <r>
      <rPr>
        <sz val="11"/>
        <color rgb="FF20334A"/>
        <rFont val="Arial"/>
        <family val="2"/>
        <charset val="1"/>
      </rPr>
      <t xml:space="preserve">14</t>
    </r>
    <r>
      <rPr>
        <sz val="11"/>
        <color rgb="FF20334A"/>
        <rFont val="Noto Sans CJK SC"/>
        <family val="2"/>
        <charset val="1"/>
      </rPr>
      <t xml:space="preserve">物理页全审，原件</t>
    </r>
    <r>
      <rPr>
        <sz val="11"/>
        <color rgb="FF20334A"/>
        <rFont val="Arial"/>
        <family val="2"/>
        <charset val="1"/>
      </rPr>
      <t xml:space="preserve">SHA bd6d8bfa223d21ea</t>
    </r>
    <r>
      <rPr>
        <sz val="11"/>
        <color rgb="FF20334A"/>
        <rFont val="Noto Sans CJK SC"/>
        <family val="2"/>
        <charset val="1"/>
      </rPr>
      <t xml:space="preserve">。</t>
    </r>
  </si>
  <si>
    <t xml:space="preserve">regional-20261025-bd6d8bfa223d21ea</t>
  </si>
  <si>
    <t xml:space="preserve">B8-MY-002</t>
  </si>
  <si>
    <r>
      <rPr>
        <sz val="11"/>
        <color rgb="FF20334A"/>
        <rFont val="Arial"/>
        <family val="2"/>
        <charset val="1"/>
      </rPr>
      <t xml:space="preserve">15</t>
    </r>
    <r>
      <rPr>
        <sz val="11"/>
        <color rgb="FF20334A"/>
        <rFont val="Noto Sans CJK SC"/>
        <family val="2"/>
        <charset val="1"/>
      </rPr>
      <t xml:space="preserve">页现存</t>
    </r>
    <r>
      <rPr>
        <sz val="11"/>
        <color rgb="FF20334A"/>
        <rFont val="Arial"/>
        <family val="2"/>
        <charset val="1"/>
      </rPr>
      <t xml:space="preserve">LTHO</t>
    </r>
    <r>
      <rPr>
        <sz val="11"/>
        <color rgb="FF20334A"/>
        <rFont val="Noto Sans CJK SC"/>
        <family val="2"/>
        <charset val="1"/>
      </rPr>
      <t xml:space="preserve">主合同已达到文件级</t>
    </r>
    <r>
      <rPr>
        <sz val="11"/>
        <color rgb="FF20334A"/>
        <rFont val="Arial"/>
        <family val="2"/>
        <charset val="1"/>
      </rPr>
      <t xml:space="preserve">verified</t>
    </r>
    <r>
      <rPr>
        <sz val="11"/>
        <color rgb="FF20334A"/>
        <rFont val="Noto Sans CJK SC"/>
        <family val="2"/>
        <charset val="1"/>
      </rPr>
      <t xml:space="preserve">；末页为空白，不是不可读正文。</t>
    </r>
  </si>
  <si>
    <r>
      <rPr>
        <sz val="11"/>
        <color rgb="FF20334A"/>
        <rFont val="Arial"/>
        <family val="2"/>
        <charset val="1"/>
      </rPr>
      <t xml:space="preserve">B8</t>
    </r>
    <r>
      <rPr>
        <sz val="11"/>
        <color rgb="FF20334A"/>
        <rFont val="Noto Sans CJK SC"/>
        <family val="2"/>
        <charset val="1"/>
      </rPr>
      <t xml:space="preserve">独立</t>
    </r>
    <r>
      <rPr>
        <sz val="11"/>
        <color rgb="FF20334A"/>
        <rFont val="Arial"/>
        <family val="2"/>
        <charset val="1"/>
      </rPr>
      <t xml:space="preserve">QA · B8-MY-002</t>
    </r>
    <r>
      <rPr>
        <sz val="11"/>
        <color rgb="FF20334A"/>
        <rFont val="Noto Sans CJK SC"/>
        <family val="2"/>
        <charset val="1"/>
      </rPr>
      <t xml:space="preserve">；</t>
    </r>
    <r>
      <rPr>
        <sz val="11"/>
        <color rgb="FF20334A"/>
        <rFont val="Arial"/>
        <family val="2"/>
        <charset val="1"/>
      </rPr>
      <t xml:space="preserve">15</t>
    </r>
    <r>
      <rPr>
        <sz val="11"/>
        <color rgb="FF20334A"/>
        <rFont val="Noto Sans CJK SC"/>
        <family val="2"/>
        <charset val="1"/>
      </rPr>
      <t xml:space="preserve">物理页全审，原件</t>
    </r>
    <r>
      <rPr>
        <sz val="11"/>
        <color rgb="FF20334A"/>
        <rFont val="Arial"/>
        <family val="2"/>
        <charset val="1"/>
      </rPr>
      <t xml:space="preserve">SHA 0208bef952ee2807</t>
    </r>
    <r>
      <rPr>
        <sz val="11"/>
        <color rgb="FF20334A"/>
        <rFont val="Noto Sans CJK SC"/>
        <family val="2"/>
        <charset val="1"/>
      </rPr>
      <t xml:space="preserve">。</t>
    </r>
  </si>
  <si>
    <t xml:space="preserve">文件层通过不关闭当前采用、现售及个体齐套；需相应独立证据。</t>
  </si>
  <si>
    <r>
      <rPr>
        <sz val="11"/>
        <color rgb="FF20334A"/>
        <rFont val="Noto Sans CJK SC"/>
        <family val="2"/>
        <charset val="1"/>
      </rPr>
      <t xml:space="preserve">文件级</t>
    </r>
    <r>
      <rPr>
        <sz val="11"/>
        <color rgb="FF20334A"/>
        <rFont val="Arial"/>
        <family val="2"/>
        <charset val="1"/>
      </rPr>
      <t xml:space="preserve">verified</t>
    </r>
    <r>
      <rPr>
        <sz val="11"/>
        <color rgb="FF20334A"/>
        <rFont val="Noto Sans CJK SC"/>
        <family val="2"/>
        <charset val="1"/>
      </rPr>
      <t xml:space="preserve">；当前采用／齐套未核</t>
    </r>
  </si>
  <si>
    <t xml:space="preserve">regional-20261025-0208bef952ee2807</t>
  </si>
  <si>
    <t xml:space="preserve">B8-MY-003</t>
  </si>
  <si>
    <r>
      <rPr>
        <sz val="11"/>
        <color rgb="FF20334A"/>
        <rFont val="Arial"/>
        <family val="2"/>
        <charset val="1"/>
      </rPr>
      <t xml:space="preserve">23</t>
    </r>
    <r>
      <rPr>
        <sz val="11"/>
        <color rgb="FF20334A"/>
        <rFont val="Noto Sans CJK SC"/>
        <family val="2"/>
        <charset val="1"/>
      </rPr>
      <t xml:space="preserve">页全审。第二至第五附表存在，但引用的第一附表未附，仍待核。</t>
    </r>
  </si>
  <si>
    <r>
      <rPr>
        <sz val="11"/>
        <color rgb="FF20334A"/>
        <rFont val="Arial"/>
        <family val="2"/>
        <charset val="1"/>
      </rPr>
      <t xml:space="preserve">B8</t>
    </r>
    <r>
      <rPr>
        <sz val="11"/>
        <color rgb="FF20334A"/>
        <rFont val="Noto Sans CJK SC"/>
        <family val="2"/>
        <charset val="1"/>
      </rPr>
      <t xml:space="preserve">独立</t>
    </r>
    <r>
      <rPr>
        <sz val="11"/>
        <color rgb="FF20334A"/>
        <rFont val="Arial"/>
        <family val="2"/>
        <charset val="1"/>
      </rPr>
      <t xml:space="preserve">QA · B8-MY-003</t>
    </r>
    <r>
      <rPr>
        <sz val="11"/>
        <color rgb="FF20334A"/>
        <rFont val="Noto Sans CJK SC"/>
        <family val="2"/>
        <charset val="1"/>
      </rPr>
      <t xml:space="preserve">；</t>
    </r>
    <r>
      <rPr>
        <sz val="11"/>
        <color rgb="FF20334A"/>
        <rFont val="Arial"/>
        <family val="2"/>
        <charset val="1"/>
      </rPr>
      <t xml:space="preserve">23</t>
    </r>
    <r>
      <rPr>
        <sz val="11"/>
        <color rgb="FF20334A"/>
        <rFont val="Noto Sans CJK SC"/>
        <family val="2"/>
        <charset val="1"/>
      </rPr>
      <t xml:space="preserve">物理页全审，原件</t>
    </r>
    <r>
      <rPr>
        <sz val="11"/>
        <color rgb="FF20334A"/>
        <rFont val="Arial"/>
        <family val="2"/>
        <charset val="1"/>
      </rPr>
      <t xml:space="preserve">SHA b902ab127320e99d</t>
    </r>
    <r>
      <rPr>
        <sz val="11"/>
        <color rgb="FF20334A"/>
        <rFont val="Noto Sans CJK SC"/>
        <family val="2"/>
        <charset val="1"/>
      </rPr>
      <t xml:space="preserve">。</t>
    </r>
  </si>
  <si>
    <t xml:space="preserve">regional-20261025-b902ab127320e99d</t>
  </si>
  <si>
    <t xml:space="preserve">B8-MY-004</t>
  </si>
  <si>
    <r>
      <rPr>
        <sz val="11"/>
        <color rgb="FF20334A"/>
        <rFont val="Arial"/>
        <family val="2"/>
        <charset val="1"/>
      </rPr>
      <t xml:space="preserve">26</t>
    </r>
    <r>
      <rPr>
        <sz val="11"/>
        <color rgb="FF20334A"/>
        <rFont val="Noto Sans CJK SC"/>
        <family val="2"/>
        <charset val="1"/>
      </rPr>
      <t xml:space="preserve">页现存</t>
    </r>
    <r>
      <rPr>
        <sz val="11"/>
        <color rgb="FF20334A"/>
        <rFont val="Arial"/>
        <family val="2"/>
        <charset val="1"/>
      </rPr>
      <t xml:space="preserve">GTT CI</t>
    </r>
    <r>
      <rPr>
        <sz val="11"/>
        <color rgb="FF20334A"/>
        <rFont val="Noto Sans CJK SC"/>
        <family val="2"/>
        <charset val="1"/>
      </rPr>
      <t xml:space="preserve">主合同文件级</t>
    </r>
    <r>
      <rPr>
        <sz val="11"/>
        <color rgb="FF20334A"/>
        <rFont val="Arial"/>
        <family val="2"/>
        <charset val="1"/>
      </rPr>
      <t xml:space="preserve">verified</t>
    </r>
    <r>
      <rPr>
        <sz val="11"/>
        <color rgb="FF20334A"/>
        <rFont val="Noto Sans CJK SC"/>
        <family val="2"/>
        <charset val="1"/>
      </rPr>
      <t xml:space="preserve">；</t>
    </r>
    <r>
      <rPr>
        <sz val="11"/>
        <color rgb="FF20334A"/>
        <rFont val="Arial"/>
        <family val="2"/>
        <charset val="1"/>
      </rPr>
      <t xml:space="preserve">GTTSLMT1125</t>
    </r>
    <r>
      <rPr>
        <sz val="11"/>
        <color rgb="FF20334A"/>
        <rFont val="Noto Sans CJK SC"/>
        <family val="2"/>
        <charset val="1"/>
      </rPr>
      <t xml:space="preserve">及已填主附表已核。</t>
    </r>
  </si>
  <si>
    <r>
      <rPr>
        <sz val="11"/>
        <color rgb="FF20334A"/>
        <rFont val="Arial"/>
        <family val="2"/>
        <charset val="1"/>
      </rPr>
      <t xml:space="preserve">B8</t>
    </r>
    <r>
      <rPr>
        <sz val="11"/>
        <color rgb="FF20334A"/>
        <rFont val="Noto Sans CJK SC"/>
        <family val="2"/>
        <charset val="1"/>
      </rPr>
      <t xml:space="preserve">独立</t>
    </r>
    <r>
      <rPr>
        <sz val="11"/>
        <color rgb="FF20334A"/>
        <rFont val="Arial"/>
        <family val="2"/>
        <charset val="1"/>
      </rPr>
      <t xml:space="preserve">QA · B8-MY-004</t>
    </r>
    <r>
      <rPr>
        <sz val="11"/>
        <color rgb="FF20334A"/>
        <rFont val="Noto Sans CJK SC"/>
        <family val="2"/>
        <charset val="1"/>
      </rPr>
      <t xml:space="preserve">；</t>
    </r>
    <r>
      <rPr>
        <sz val="11"/>
        <color rgb="FF20334A"/>
        <rFont val="Arial"/>
        <family val="2"/>
        <charset val="1"/>
      </rPr>
      <t xml:space="preserve">26</t>
    </r>
    <r>
      <rPr>
        <sz val="11"/>
        <color rgb="FF20334A"/>
        <rFont val="Noto Sans CJK SC"/>
        <family val="2"/>
        <charset val="1"/>
      </rPr>
      <t xml:space="preserve">物理页全审，原件</t>
    </r>
    <r>
      <rPr>
        <sz val="11"/>
        <color rgb="FF20334A"/>
        <rFont val="Arial"/>
        <family val="2"/>
        <charset val="1"/>
      </rPr>
      <t xml:space="preserve">SHA 948014aee826227a</t>
    </r>
    <r>
      <rPr>
        <sz val="11"/>
        <color rgb="FF20334A"/>
        <rFont val="Noto Sans CJK SC"/>
        <family val="2"/>
        <charset val="1"/>
      </rPr>
      <t xml:space="preserve">。</t>
    </r>
  </si>
  <si>
    <t xml:space="preserve">regional-20261025-948014aee826227a</t>
  </si>
  <si>
    <t xml:space="preserve">B8-MY-005</t>
  </si>
  <si>
    <r>
      <rPr>
        <sz val="11"/>
        <color rgb="FF20334A"/>
        <rFont val="Arial"/>
        <family val="2"/>
        <charset val="1"/>
      </rPr>
      <t xml:space="preserve">26</t>
    </r>
    <r>
      <rPr>
        <sz val="11"/>
        <color rgb="FF20334A"/>
        <rFont val="Noto Sans CJK SC"/>
        <family val="2"/>
        <charset val="1"/>
      </rPr>
      <t xml:space="preserve">页全审。主附表身份信息不全，</t>
    </r>
    <r>
      <rPr>
        <sz val="11"/>
        <color rgb="FF20334A"/>
        <rFont val="Arial"/>
        <family val="2"/>
        <charset val="1"/>
      </rPr>
      <t xml:space="preserve">GTTSAL</t>
    </r>
    <r>
      <rPr>
        <sz val="11"/>
        <color rgb="FF20334A"/>
        <rFont val="Noto Sans CJK SC"/>
        <family val="2"/>
        <charset val="1"/>
      </rPr>
      <t xml:space="preserve">与</t>
    </r>
    <r>
      <rPr>
        <sz val="11"/>
        <color rgb="FF20334A"/>
        <rFont val="Arial"/>
        <family val="2"/>
        <charset val="1"/>
      </rPr>
      <t xml:space="preserve">GTTCI</t>
    </r>
    <r>
      <rPr>
        <sz val="11"/>
        <color rgb="FF20334A"/>
        <rFont val="Noto Sans CJK SC"/>
        <family val="2"/>
        <charset val="1"/>
      </rPr>
      <t xml:space="preserve">交叉引用未解，不替换为</t>
    </r>
    <r>
      <rPr>
        <sz val="11"/>
        <color rgb="FF20334A"/>
        <rFont val="Arial"/>
        <family val="2"/>
        <charset val="1"/>
      </rPr>
      <t xml:space="preserve">025</t>
    </r>
    <r>
      <rPr>
        <sz val="11"/>
        <color rgb="FF20334A"/>
        <rFont val="Noto Sans CJK SC"/>
        <family val="2"/>
        <charset val="1"/>
      </rPr>
      <t xml:space="preserve">。</t>
    </r>
  </si>
  <si>
    <r>
      <rPr>
        <sz val="11"/>
        <color rgb="FF20334A"/>
        <rFont val="Arial"/>
        <family val="2"/>
        <charset val="1"/>
      </rPr>
      <t xml:space="preserve">B8</t>
    </r>
    <r>
      <rPr>
        <sz val="11"/>
        <color rgb="FF20334A"/>
        <rFont val="Noto Sans CJK SC"/>
        <family val="2"/>
        <charset val="1"/>
      </rPr>
      <t xml:space="preserve">独立</t>
    </r>
    <r>
      <rPr>
        <sz val="11"/>
        <color rgb="FF20334A"/>
        <rFont val="Arial"/>
        <family val="2"/>
        <charset val="1"/>
      </rPr>
      <t xml:space="preserve">QA · B8-MY-005</t>
    </r>
    <r>
      <rPr>
        <sz val="11"/>
        <color rgb="FF20334A"/>
        <rFont val="Noto Sans CJK SC"/>
        <family val="2"/>
        <charset val="1"/>
      </rPr>
      <t xml:space="preserve">；</t>
    </r>
    <r>
      <rPr>
        <sz val="11"/>
        <color rgb="FF20334A"/>
        <rFont val="Arial"/>
        <family val="2"/>
        <charset val="1"/>
      </rPr>
      <t xml:space="preserve">26</t>
    </r>
    <r>
      <rPr>
        <sz val="11"/>
        <color rgb="FF20334A"/>
        <rFont val="Noto Sans CJK SC"/>
        <family val="2"/>
        <charset val="1"/>
      </rPr>
      <t xml:space="preserve">物理页全审，原件</t>
    </r>
    <r>
      <rPr>
        <sz val="11"/>
        <color rgb="FF20334A"/>
        <rFont val="Arial"/>
        <family val="2"/>
        <charset val="1"/>
      </rPr>
      <t xml:space="preserve">SHA a5b6a6bdec1b9cea</t>
    </r>
    <r>
      <rPr>
        <sz val="11"/>
        <color rgb="FF20334A"/>
        <rFont val="Noto Sans CJK SC"/>
        <family val="2"/>
        <charset val="1"/>
      </rPr>
      <t xml:space="preserve">。</t>
    </r>
  </si>
  <si>
    <t xml:space="preserve">regional-20261025-a5b6a6bdec1b9cea</t>
  </si>
  <si>
    <t xml:space="preserve">B9-HK-001</t>
  </si>
  <si>
    <r>
      <rPr>
        <sz val="11"/>
        <color rgb="FF20334A"/>
        <rFont val="Noto Sans CJK SC"/>
        <family val="2"/>
        <charset val="1"/>
      </rPr>
      <t xml:space="preserve">限定公开路线已验收；未取得准确主文，缺口保留。 官方页</t>
    </r>
    <r>
      <rPr>
        <sz val="11"/>
        <color rgb="FF20334A"/>
        <rFont val="Arial"/>
        <family val="2"/>
        <charset val="1"/>
      </rPr>
      <t xml:space="preserve">200</t>
    </r>
    <r>
      <rPr>
        <sz val="11"/>
        <color rgb="FF20334A"/>
        <rFont val="Noto Sans CJK SC"/>
        <family val="2"/>
        <charset val="1"/>
      </rPr>
      <t xml:space="preserve">不等于主文、当前现售或全网路线穷尽。</t>
    </r>
  </si>
  <si>
    <r>
      <rPr>
        <sz val="11"/>
        <color rgb="FF20334A"/>
        <rFont val="Arial"/>
        <family val="2"/>
        <charset val="1"/>
      </rPr>
      <t xml:space="preserve">B9</t>
    </r>
    <r>
      <rPr>
        <sz val="11"/>
        <color rgb="FF20334A"/>
        <rFont val="Noto Sans CJK SC"/>
        <family val="2"/>
        <charset val="1"/>
      </rPr>
      <t xml:space="preserve">独立</t>
    </r>
    <r>
      <rPr>
        <sz val="11"/>
        <color rgb="FF20334A"/>
        <rFont val="Arial"/>
        <family val="2"/>
        <charset val="1"/>
      </rPr>
      <t xml:space="preserve">QA · B9-HK-001</t>
    </r>
    <r>
      <rPr>
        <sz val="11"/>
        <color rgb="FF20334A"/>
        <rFont val="Noto Sans CJK SC"/>
        <family val="2"/>
        <charset val="1"/>
      </rPr>
      <t xml:space="preserve">；限定路线证据，原件／全文增量</t>
    </r>
    <r>
      <rPr>
        <sz val="11"/>
        <color rgb="FF20334A"/>
        <rFont val="Arial"/>
        <family val="2"/>
        <charset val="1"/>
      </rPr>
      <t xml:space="preserve">0</t>
    </r>
    <r>
      <rPr>
        <sz val="11"/>
        <color rgb="FF20334A"/>
        <rFont val="Noto Sans CJK SC"/>
        <family val="2"/>
        <charset val="1"/>
      </rPr>
      <t xml:space="preserve">。</t>
    </r>
  </si>
  <si>
    <t xml:space="preserve">保留当前停止点；仅新确切公开证据或明确授权可重开，不重复负面探测或猜测路径。</t>
  </si>
  <si>
    <t xml:space="preserve">aia</t>
  </si>
  <si>
    <t xml:space="preserve">限定路线完成；目标主文未取得</t>
  </si>
  <si>
    <t xml:space="preserve">公开路线／线索，无已取得主文</t>
  </si>
  <si>
    <r>
      <rPr>
        <sz val="11"/>
        <color rgb="FF20334A"/>
        <rFont val="Noto Sans CJK SC"/>
        <family val="2"/>
        <charset val="1"/>
      </rPr>
      <t xml:space="preserve">官方确页</t>
    </r>
    <r>
      <rPr>
        <sz val="11"/>
        <color rgb="FF20334A"/>
        <rFont val="Arial"/>
        <family val="2"/>
        <charset val="1"/>
      </rPr>
      <t xml:space="preserve">HTTP 200</t>
    </r>
    <r>
      <rPr>
        <sz val="11"/>
        <color rgb="FF20334A"/>
        <rFont val="Noto Sans CJK SC"/>
        <family val="2"/>
        <charset val="1"/>
      </rPr>
      <t xml:space="preserve">与公开中介路线分层记录</t>
    </r>
  </si>
  <si>
    <t xml:space="preserve">仅保存的路线／响应证据，不证明全网不存在、当前采用或现售；不同缴费版本不互换。</t>
  </si>
  <si>
    <t xml:space="preserve">aia-serene-life-series</t>
  </si>
  <si>
    <t xml:space="preserve">B9-HK-002</t>
  </si>
  <si>
    <r>
      <rPr>
        <sz val="11"/>
        <color rgb="FF20334A"/>
        <rFont val="Noto Sans CJK SC"/>
        <family val="2"/>
        <charset val="1"/>
      </rPr>
      <t xml:space="preserve">限定公开路线已验收；未取得准确主文，缺口保留。 </t>
    </r>
    <r>
      <rPr>
        <sz val="11"/>
        <color rgb="FF20334A"/>
        <rFont val="Arial"/>
        <family val="2"/>
        <charset val="1"/>
      </rPr>
      <t xml:space="preserve">BEA</t>
    </r>
    <r>
      <rPr>
        <sz val="11"/>
        <color rgb="FF20334A"/>
        <rFont val="Noto Sans CJK SC"/>
        <family val="2"/>
        <charset val="1"/>
      </rPr>
      <t xml:space="preserve">代理身份为页面自述，非独立授权确认。</t>
    </r>
  </si>
  <si>
    <r>
      <rPr>
        <sz val="11"/>
        <color rgb="FF20334A"/>
        <rFont val="Arial"/>
        <family val="2"/>
        <charset val="1"/>
      </rPr>
      <t xml:space="preserve">B9</t>
    </r>
    <r>
      <rPr>
        <sz val="11"/>
        <color rgb="FF20334A"/>
        <rFont val="Noto Sans CJK SC"/>
        <family val="2"/>
        <charset val="1"/>
      </rPr>
      <t xml:space="preserve">独立</t>
    </r>
    <r>
      <rPr>
        <sz val="11"/>
        <color rgb="FF20334A"/>
        <rFont val="Arial"/>
        <family val="2"/>
        <charset val="1"/>
      </rPr>
      <t xml:space="preserve">QA · B9-HK-002</t>
    </r>
    <r>
      <rPr>
        <sz val="11"/>
        <color rgb="FF20334A"/>
        <rFont val="Noto Sans CJK SC"/>
        <family val="2"/>
        <charset val="1"/>
      </rPr>
      <t xml:space="preserve">；限定路线证据，原件／全文增量</t>
    </r>
    <r>
      <rPr>
        <sz val="11"/>
        <color rgb="FF20334A"/>
        <rFont val="Arial"/>
        <family val="2"/>
        <charset val="1"/>
      </rPr>
      <t xml:space="preserve">0</t>
    </r>
    <r>
      <rPr>
        <sz val="11"/>
        <color rgb="FF20334A"/>
        <rFont val="Noto Sans CJK SC"/>
        <family val="2"/>
        <charset val="1"/>
      </rPr>
      <t xml:space="preserve">。</t>
    </r>
  </si>
  <si>
    <t xml:space="preserve">aia-forever-love-coupon-plan-5</t>
  </si>
  <si>
    <t xml:space="preserve">B9-HK-003</t>
  </si>
  <si>
    <r>
      <rPr>
        <sz val="11"/>
        <color rgb="FF20334A"/>
        <rFont val="Noto Sans CJK SC"/>
        <family val="2"/>
        <charset val="1"/>
      </rPr>
      <t xml:space="preserve">限定公开路线已验收；未取得准确主文，缺口保留。 </t>
    </r>
    <r>
      <rPr>
        <sz val="11"/>
        <color rgb="FF20334A"/>
        <rFont val="Arial"/>
        <family val="2"/>
        <charset val="1"/>
      </rPr>
      <t xml:space="preserve">Citi</t>
    </r>
    <r>
      <rPr>
        <sz val="11"/>
        <color rgb="FF20334A"/>
        <rFont val="Noto Sans CJK SC"/>
        <family val="2"/>
        <charset val="1"/>
      </rPr>
      <t xml:space="preserve">索引销售材料仅发现线索，未核</t>
    </r>
    <r>
      <rPr>
        <sz val="11"/>
        <color rgb="FF20334A"/>
        <rFont val="Arial"/>
        <family val="2"/>
        <charset val="1"/>
      </rPr>
      <t xml:space="preserve">PDF</t>
    </r>
    <r>
      <rPr>
        <sz val="11"/>
        <color rgb="FF20334A"/>
        <rFont val="Noto Sans CJK SC"/>
        <family val="2"/>
        <charset val="1"/>
      </rPr>
      <t xml:space="preserve">或现行合同。</t>
    </r>
  </si>
  <si>
    <r>
      <rPr>
        <sz val="11"/>
        <color rgb="FF20334A"/>
        <rFont val="Arial"/>
        <family val="2"/>
        <charset val="1"/>
      </rPr>
      <t xml:space="preserve">B9</t>
    </r>
    <r>
      <rPr>
        <sz val="11"/>
        <color rgb="FF20334A"/>
        <rFont val="Noto Sans CJK SC"/>
        <family val="2"/>
        <charset val="1"/>
      </rPr>
      <t xml:space="preserve">独立</t>
    </r>
    <r>
      <rPr>
        <sz val="11"/>
        <color rgb="FF20334A"/>
        <rFont val="Arial"/>
        <family val="2"/>
        <charset val="1"/>
      </rPr>
      <t xml:space="preserve">QA · B9-HK-003</t>
    </r>
    <r>
      <rPr>
        <sz val="11"/>
        <color rgb="FF20334A"/>
        <rFont val="Noto Sans CJK SC"/>
        <family val="2"/>
        <charset val="1"/>
      </rPr>
      <t xml:space="preserve">；限定路线证据，原件／全文增量</t>
    </r>
    <r>
      <rPr>
        <sz val="11"/>
        <color rgb="FF20334A"/>
        <rFont val="Arial"/>
        <family val="2"/>
        <charset val="1"/>
      </rPr>
      <t xml:space="preserve">0</t>
    </r>
    <r>
      <rPr>
        <sz val="11"/>
        <color rgb="FF20334A"/>
        <rFont val="Noto Sans CJK SC"/>
        <family val="2"/>
        <charset val="1"/>
      </rPr>
      <t xml:space="preserve">。</t>
    </r>
  </si>
  <si>
    <t xml:space="preserve">aia-spring-income-plan</t>
  </si>
  <si>
    <t xml:space="preserve">B9-HK-004</t>
  </si>
  <si>
    <r>
      <rPr>
        <sz val="11"/>
        <color rgb="FF20334A"/>
        <rFont val="Noto Sans CJK SC"/>
        <family val="2"/>
        <charset val="1"/>
      </rPr>
      <t xml:space="preserve">限定公开路线已验收；未取得准确主文，缺口保留。 </t>
    </r>
    <r>
      <rPr>
        <sz val="11"/>
        <color rgb="FF20334A"/>
        <rFont val="Arial"/>
        <family val="2"/>
        <charset val="1"/>
      </rPr>
      <t xml:space="preserve">10Life</t>
    </r>
    <r>
      <rPr>
        <sz val="11"/>
        <color rgb="FF20334A"/>
        <rFont val="Noto Sans CJK SC"/>
        <family val="2"/>
        <charset val="1"/>
      </rPr>
      <t xml:space="preserve">确页传输错误；</t>
    </r>
    <r>
      <rPr>
        <sz val="11"/>
        <color rgb="FF20334A"/>
        <rFont val="Arial"/>
        <family val="2"/>
        <charset val="1"/>
      </rPr>
      <t xml:space="preserve">HongDoor</t>
    </r>
    <r>
      <rPr>
        <sz val="11"/>
        <color rgb="FF20334A"/>
        <rFont val="Noto Sans CJK SC"/>
        <family val="2"/>
        <charset val="1"/>
      </rPr>
      <t xml:space="preserve">为</t>
    </r>
    <r>
      <rPr>
        <sz val="11"/>
        <color rgb="FF20334A"/>
        <rFont val="Arial"/>
        <family val="2"/>
        <charset val="1"/>
      </rPr>
      <t xml:space="preserve">AIA</t>
    </r>
    <r>
      <rPr>
        <sz val="11"/>
        <color rgb="FF20334A"/>
        <rFont val="Noto Sans CJK SC"/>
        <family val="2"/>
        <charset val="1"/>
      </rPr>
      <t xml:space="preserve">顾问路线，不当独立经纪证据。</t>
    </r>
  </si>
  <si>
    <r>
      <rPr>
        <sz val="11"/>
        <color rgb="FF20334A"/>
        <rFont val="Arial"/>
        <family val="2"/>
        <charset val="1"/>
      </rPr>
      <t xml:space="preserve">B9</t>
    </r>
    <r>
      <rPr>
        <sz val="11"/>
        <color rgb="FF20334A"/>
        <rFont val="Noto Sans CJK SC"/>
        <family val="2"/>
        <charset val="1"/>
      </rPr>
      <t xml:space="preserve">独立</t>
    </r>
    <r>
      <rPr>
        <sz val="11"/>
        <color rgb="FF20334A"/>
        <rFont val="Arial"/>
        <family val="2"/>
        <charset val="1"/>
      </rPr>
      <t xml:space="preserve">QA · B9-HK-004</t>
    </r>
    <r>
      <rPr>
        <sz val="11"/>
        <color rgb="FF20334A"/>
        <rFont val="Noto Sans CJK SC"/>
        <family val="2"/>
        <charset val="1"/>
      </rPr>
      <t xml:space="preserve">；限定路线证据，原件／全文增量</t>
    </r>
    <r>
      <rPr>
        <sz val="11"/>
        <color rgb="FF20334A"/>
        <rFont val="Arial"/>
        <family val="2"/>
        <charset val="1"/>
      </rPr>
      <t xml:space="preserve">0</t>
    </r>
    <r>
      <rPr>
        <sz val="11"/>
        <color rgb="FF20334A"/>
        <rFont val="Noto Sans CJK SC"/>
        <family val="2"/>
        <charset val="1"/>
      </rPr>
      <t xml:space="preserve">。</t>
    </r>
  </si>
  <si>
    <t xml:space="preserve">aia-fortune-promise-2</t>
  </si>
  <si>
    <t xml:space="preserve">B9-HK-005</t>
  </si>
  <si>
    <r>
      <rPr>
        <sz val="11"/>
        <color rgb="FF20334A"/>
        <rFont val="Arial"/>
        <family val="2"/>
        <charset val="1"/>
      </rPr>
      <t xml:space="preserve">B9</t>
    </r>
    <r>
      <rPr>
        <sz val="11"/>
        <color rgb="FF20334A"/>
        <rFont val="Noto Sans CJK SC"/>
        <family val="2"/>
        <charset val="1"/>
      </rPr>
      <t xml:space="preserve">独立</t>
    </r>
    <r>
      <rPr>
        <sz val="11"/>
        <color rgb="FF20334A"/>
        <rFont val="Arial"/>
        <family val="2"/>
        <charset val="1"/>
      </rPr>
      <t xml:space="preserve">QA · B9-HK-005</t>
    </r>
    <r>
      <rPr>
        <sz val="11"/>
        <color rgb="FF20334A"/>
        <rFont val="Noto Sans CJK SC"/>
        <family val="2"/>
        <charset val="1"/>
      </rPr>
      <t xml:space="preserve">；限定路线证据，原件／全文增量</t>
    </r>
    <r>
      <rPr>
        <sz val="11"/>
        <color rgb="FF20334A"/>
        <rFont val="Arial"/>
        <family val="2"/>
        <charset val="1"/>
      </rPr>
      <t xml:space="preserve">0</t>
    </r>
    <r>
      <rPr>
        <sz val="11"/>
        <color rgb="FF20334A"/>
        <rFont val="Noto Sans CJK SC"/>
        <family val="2"/>
        <charset val="1"/>
      </rPr>
      <t xml:space="preserve">。</t>
    </r>
  </si>
  <si>
    <t xml:space="preserve">aia-admire-life-2</t>
  </si>
  <si>
    <t xml:space="preserve">B9-HK-006</t>
  </si>
  <si>
    <r>
      <rPr>
        <sz val="11"/>
        <color rgb="FF20334A"/>
        <rFont val="Noto Sans CJK SC"/>
        <family val="2"/>
        <charset val="1"/>
      </rPr>
      <t xml:space="preserve">限定公开路线已验收；未取得准确主文，缺口保留。 </t>
    </r>
    <r>
      <rPr>
        <sz val="11"/>
        <color rgb="FF20334A"/>
        <rFont val="Arial"/>
        <family val="2"/>
        <charset val="1"/>
      </rPr>
      <t xml:space="preserve">Insurance110</t>
    </r>
    <r>
      <rPr>
        <sz val="11"/>
        <color rgb="FF20334A"/>
        <rFont val="Noto Sans CJK SC"/>
        <family val="2"/>
        <charset val="1"/>
      </rPr>
      <t xml:space="preserve">普通访问</t>
    </r>
    <r>
      <rPr>
        <sz val="11"/>
        <color rgb="FF20334A"/>
        <rFont val="Arial"/>
        <family val="2"/>
        <charset val="1"/>
      </rPr>
      <t xml:space="preserve">403</t>
    </r>
    <r>
      <rPr>
        <sz val="11"/>
        <color rgb="FF20334A"/>
        <rFont val="Noto Sans CJK SC"/>
        <family val="2"/>
        <charset val="1"/>
      </rPr>
      <t xml:space="preserve">后停止；拒绝不证明无文件。</t>
    </r>
  </si>
  <si>
    <r>
      <rPr>
        <sz val="11"/>
        <color rgb="FF20334A"/>
        <rFont val="Arial"/>
        <family val="2"/>
        <charset val="1"/>
      </rPr>
      <t xml:space="preserve">B9</t>
    </r>
    <r>
      <rPr>
        <sz val="11"/>
        <color rgb="FF20334A"/>
        <rFont val="Noto Sans CJK SC"/>
        <family val="2"/>
        <charset val="1"/>
      </rPr>
      <t xml:space="preserve">独立</t>
    </r>
    <r>
      <rPr>
        <sz val="11"/>
        <color rgb="FF20334A"/>
        <rFont val="Arial"/>
        <family val="2"/>
        <charset val="1"/>
      </rPr>
      <t xml:space="preserve">QA · B9-HK-006</t>
    </r>
    <r>
      <rPr>
        <sz val="11"/>
        <color rgb="FF20334A"/>
        <rFont val="Noto Sans CJK SC"/>
        <family val="2"/>
        <charset val="1"/>
      </rPr>
      <t xml:space="preserve">；限定路线证据，原件／全文增量</t>
    </r>
    <r>
      <rPr>
        <sz val="11"/>
        <color rgb="FF20334A"/>
        <rFont val="Arial"/>
        <family val="2"/>
        <charset val="1"/>
      </rPr>
      <t xml:space="preserve">0</t>
    </r>
    <r>
      <rPr>
        <sz val="11"/>
        <color rgb="FF20334A"/>
        <rFont val="Noto Sans CJK SC"/>
        <family val="2"/>
        <charset val="1"/>
      </rPr>
      <t xml:space="preserve">。</t>
    </r>
  </si>
  <si>
    <t xml:space="preserve">aia-golden-years-income-plan</t>
  </si>
  <si>
    <t xml:space="preserve">B9-HK-007</t>
  </si>
  <si>
    <r>
      <rPr>
        <sz val="11"/>
        <color rgb="FF20334A"/>
        <rFont val="Noto Sans CJK SC"/>
        <family val="2"/>
        <charset val="1"/>
      </rPr>
      <t xml:space="preserve">限定公开路线已验收；未取得准确主文，缺口保留。 </t>
    </r>
    <r>
      <rPr>
        <sz val="11"/>
        <color rgb="FF20334A"/>
        <rFont val="Arial"/>
        <family val="2"/>
        <charset val="1"/>
      </rPr>
      <t xml:space="preserve">16</t>
    </r>
    <r>
      <rPr>
        <sz val="11"/>
        <color rgb="FF20334A"/>
        <rFont val="Noto Sans CJK SC"/>
        <family val="2"/>
        <charset val="1"/>
      </rPr>
      <t xml:space="preserve">个医疗</t>
    </r>
    <r>
      <rPr>
        <sz val="11"/>
        <color rgb="FF20334A"/>
        <rFont val="Arial"/>
        <family val="2"/>
        <charset val="1"/>
      </rPr>
      <t xml:space="preserve">F00074</t>
    </r>
    <r>
      <rPr>
        <sz val="11"/>
        <color rgb="FF20334A"/>
        <rFont val="Noto Sans CJK SC"/>
        <family val="2"/>
        <charset val="1"/>
      </rPr>
      <t xml:space="preserve">模板链接不得当</t>
    </r>
    <r>
      <rPr>
        <sz val="11"/>
        <color rgb="FF20334A"/>
        <rFont val="Arial"/>
        <family val="2"/>
        <charset val="1"/>
      </rPr>
      <t xml:space="preserve">EverBliss</t>
    </r>
    <r>
      <rPr>
        <sz val="11"/>
        <color rgb="FF20334A"/>
        <rFont val="Noto Sans CJK SC"/>
        <family val="2"/>
        <charset val="1"/>
      </rPr>
      <t xml:space="preserve">年金主文。</t>
    </r>
  </si>
  <si>
    <r>
      <rPr>
        <sz val="11"/>
        <color rgb="FF20334A"/>
        <rFont val="Arial"/>
        <family val="2"/>
        <charset val="1"/>
      </rPr>
      <t xml:space="preserve">B9</t>
    </r>
    <r>
      <rPr>
        <sz val="11"/>
        <color rgb="FF20334A"/>
        <rFont val="Noto Sans CJK SC"/>
        <family val="2"/>
        <charset val="1"/>
      </rPr>
      <t xml:space="preserve">独立</t>
    </r>
    <r>
      <rPr>
        <sz val="11"/>
        <color rgb="FF20334A"/>
        <rFont val="Arial"/>
        <family val="2"/>
        <charset val="1"/>
      </rPr>
      <t xml:space="preserve">QA · B9-HK-007</t>
    </r>
    <r>
      <rPr>
        <sz val="11"/>
        <color rgb="FF20334A"/>
        <rFont val="Noto Sans CJK SC"/>
        <family val="2"/>
        <charset val="1"/>
      </rPr>
      <t xml:space="preserve">；限定路线证据，原件／全文增量</t>
    </r>
    <r>
      <rPr>
        <sz val="11"/>
        <color rgb="FF20334A"/>
        <rFont val="Arial"/>
        <family val="2"/>
        <charset val="1"/>
      </rPr>
      <t xml:space="preserve">0</t>
    </r>
    <r>
      <rPr>
        <sz val="11"/>
        <color rgb="FF20334A"/>
        <rFont val="Noto Sans CJK SC"/>
        <family val="2"/>
        <charset val="1"/>
      </rPr>
      <t xml:space="preserve">。</t>
    </r>
  </si>
  <si>
    <t xml:space="preserve">aia-everbliss-annuity</t>
  </si>
  <si>
    <t xml:space="preserve">B9-HK-008</t>
  </si>
  <si>
    <r>
      <rPr>
        <sz val="11"/>
        <color rgb="FF20334A"/>
        <rFont val="Noto Sans CJK SC"/>
        <family val="2"/>
        <charset val="1"/>
      </rPr>
      <t xml:space="preserve">限定公开路线已验收；未取得准确主文，缺口保留。 </t>
    </r>
    <r>
      <rPr>
        <sz val="11"/>
        <color rgb="FF20334A"/>
        <rFont val="Arial"/>
        <family val="2"/>
        <charset val="1"/>
      </rPr>
      <t xml:space="preserve">DBS</t>
    </r>
    <r>
      <rPr>
        <sz val="11"/>
        <color rgb="FF20334A"/>
        <rFont val="Noto Sans CJK SC"/>
        <family val="2"/>
        <charset val="1"/>
      </rPr>
      <t xml:space="preserve">缓存产品指引与直接访问传输错误分开；港澳册及服务册不升主文。</t>
    </r>
  </si>
  <si>
    <r>
      <rPr>
        <sz val="11"/>
        <color rgb="FF20334A"/>
        <rFont val="Arial"/>
        <family val="2"/>
        <charset val="1"/>
      </rPr>
      <t xml:space="preserve">B9</t>
    </r>
    <r>
      <rPr>
        <sz val="11"/>
        <color rgb="FF20334A"/>
        <rFont val="Noto Sans CJK SC"/>
        <family val="2"/>
        <charset val="1"/>
      </rPr>
      <t xml:space="preserve">独立</t>
    </r>
    <r>
      <rPr>
        <sz val="11"/>
        <color rgb="FF20334A"/>
        <rFont val="Arial"/>
        <family val="2"/>
        <charset val="1"/>
      </rPr>
      <t xml:space="preserve">QA · B9-HK-008</t>
    </r>
    <r>
      <rPr>
        <sz val="11"/>
        <color rgb="FF20334A"/>
        <rFont val="Noto Sans CJK SC"/>
        <family val="2"/>
        <charset val="1"/>
      </rPr>
      <t xml:space="preserve">；限定路线证据，原件／全文增量</t>
    </r>
    <r>
      <rPr>
        <sz val="11"/>
        <color rgb="FF20334A"/>
        <rFont val="Arial"/>
        <family val="2"/>
        <charset val="1"/>
      </rPr>
      <t xml:space="preserve">0</t>
    </r>
    <r>
      <rPr>
        <sz val="11"/>
        <color rgb="FF20334A"/>
        <rFont val="Noto Sans CJK SC"/>
        <family val="2"/>
        <charset val="1"/>
      </rPr>
      <t xml:space="preserve">。</t>
    </r>
  </si>
  <si>
    <t xml:space="preserve">manulife</t>
  </si>
  <si>
    <t xml:space="preserve">manulife-prestige-achiever</t>
  </si>
  <si>
    <t xml:space="preserve">B9-HK-009</t>
  </si>
  <si>
    <r>
      <rPr>
        <sz val="11"/>
        <color rgb="FF20334A"/>
        <rFont val="Noto Sans CJK SC"/>
        <family val="2"/>
        <charset val="1"/>
      </rPr>
      <t xml:space="preserve">限定公开路线已验收；未取得准确主文，缺口保留。 冻结为一次缴费／三年到期，不以</t>
    </r>
    <r>
      <rPr>
        <sz val="11"/>
        <color rgb="FF20334A"/>
        <rFont val="Arial"/>
        <family val="2"/>
        <charset val="1"/>
      </rPr>
      <t xml:space="preserve">B10</t>
    </r>
    <r>
      <rPr>
        <sz val="11"/>
        <color rgb="FF20334A"/>
        <rFont val="Noto Sans CJK SC"/>
        <family val="2"/>
        <charset val="1"/>
      </rPr>
      <t xml:space="preserve">两年缴费变体替代。</t>
    </r>
  </si>
  <si>
    <r>
      <rPr>
        <sz val="11"/>
        <color rgb="FF20334A"/>
        <rFont val="Arial"/>
        <family val="2"/>
        <charset val="1"/>
      </rPr>
      <t xml:space="preserve">B9</t>
    </r>
    <r>
      <rPr>
        <sz val="11"/>
        <color rgb="FF20334A"/>
        <rFont val="Noto Sans CJK SC"/>
        <family val="2"/>
        <charset val="1"/>
      </rPr>
      <t xml:space="preserve">独立</t>
    </r>
    <r>
      <rPr>
        <sz val="11"/>
        <color rgb="FF20334A"/>
        <rFont val="Arial"/>
        <family val="2"/>
        <charset val="1"/>
      </rPr>
      <t xml:space="preserve">QA · B9-HK-009</t>
    </r>
    <r>
      <rPr>
        <sz val="11"/>
        <color rgb="FF20334A"/>
        <rFont val="Noto Sans CJK SC"/>
        <family val="2"/>
        <charset val="1"/>
      </rPr>
      <t xml:space="preserve">；限定路线证据，原件／全文增量</t>
    </r>
    <r>
      <rPr>
        <sz val="11"/>
        <color rgb="FF20334A"/>
        <rFont val="Arial"/>
        <family val="2"/>
        <charset val="1"/>
      </rPr>
      <t xml:space="preserve">0</t>
    </r>
    <r>
      <rPr>
        <sz val="11"/>
        <color rgb="FF20334A"/>
        <rFont val="Noto Sans CJK SC"/>
        <family val="2"/>
        <charset val="1"/>
      </rPr>
      <t xml:space="preserve">。</t>
    </r>
  </si>
  <si>
    <t xml:space="preserve">manulife-harvest-saver</t>
  </si>
  <si>
    <t xml:space="preserve">B9-HK-010</t>
  </si>
  <si>
    <r>
      <rPr>
        <sz val="11"/>
        <color rgb="FF20334A"/>
        <rFont val="Arial"/>
        <family val="2"/>
        <charset val="1"/>
      </rPr>
      <t xml:space="preserve">B9</t>
    </r>
    <r>
      <rPr>
        <sz val="11"/>
        <color rgb="FF20334A"/>
        <rFont val="Noto Sans CJK SC"/>
        <family val="2"/>
        <charset val="1"/>
      </rPr>
      <t xml:space="preserve">独立</t>
    </r>
    <r>
      <rPr>
        <sz val="11"/>
        <color rgb="FF20334A"/>
        <rFont val="Arial"/>
        <family val="2"/>
        <charset val="1"/>
      </rPr>
      <t xml:space="preserve">QA · B9-HK-010</t>
    </r>
    <r>
      <rPr>
        <sz val="11"/>
        <color rgb="FF20334A"/>
        <rFont val="Noto Sans CJK SC"/>
        <family val="2"/>
        <charset val="1"/>
      </rPr>
      <t xml:space="preserve">；限定路线证据，原件／全文增量</t>
    </r>
    <r>
      <rPr>
        <sz val="11"/>
        <color rgb="FF20334A"/>
        <rFont val="Arial"/>
        <family val="2"/>
        <charset val="1"/>
      </rPr>
      <t xml:space="preserve">0</t>
    </r>
    <r>
      <rPr>
        <sz val="11"/>
        <color rgb="FF20334A"/>
        <rFont val="Noto Sans CJK SC"/>
        <family val="2"/>
        <charset val="1"/>
      </rPr>
      <t xml:space="preserve">。</t>
    </r>
  </si>
  <si>
    <t xml:space="preserve">manulife-manucentury</t>
  </si>
  <si>
    <t xml:space="preserve">B9-HK-011</t>
  </si>
  <si>
    <r>
      <rPr>
        <sz val="11"/>
        <color rgb="FF20334A"/>
        <rFont val="Arial"/>
        <family val="2"/>
        <charset val="1"/>
      </rPr>
      <t xml:space="preserve">B9</t>
    </r>
    <r>
      <rPr>
        <sz val="11"/>
        <color rgb="FF20334A"/>
        <rFont val="Noto Sans CJK SC"/>
        <family val="2"/>
        <charset val="1"/>
      </rPr>
      <t xml:space="preserve">独立</t>
    </r>
    <r>
      <rPr>
        <sz val="11"/>
        <color rgb="FF20334A"/>
        <rFont val="Arial"/>
        <family val="2"/>
        <charset val="1"/>
      </rPr>
      <t xml:space="preserve">QA · B9-HK-011</t>
    </r>
    <r>
      <rPr>
        <sz val="11"/>
        <color rgb="FF20334A"/>
        <rFont val="Noto Sans CJK SC"/>
        <family val="2"/>
        <charset val="1"/>
      </rPr>
      <t xml:space="preserve">；限定路线证据，原件／全文增量</t>
    </r>
    <r>
      <rPr>
        <sz val="11"/>
        <color rgb="FF20334A"/>
        <rFont val="Arial"/>
        <family val="2"/>
        <charset val="1"/>
      </rPr>
      <t xml:space="preserve">0</t>
    </r>
    <r>
      <rPr>
        <sz val="11"/>
        <color rgb="FF20334A"/>
        <rFont val="Noto Sans CJK SC"/>
        <family val="2"/>
        <charset val="1"/>
      </rPr>
      <t xml:space="preserve">。</t>
    </r>
  </si>
  <si>
    <t xml:space="preserve">manulife-annuity-plan-flexifortune</t>
  </si>
  <si>
    <t xml:space="preserve">B9-HK-012</t>
  </si>
  <si>
    <r>
      <rPr>
        <sz val="11"/>
        <color rgb="FF20334A"/>
        <rFont val="Arial"/>
        <family val="2"/>
        <charset val="1"/>
      </rPr>
      <t xml:space="preserve">B9</t>
    </r>
    <r>
      <rPr>
        <sz val="11"/>
        <color rgb="FF20334A"/>
        <rFont val="Noto Sans CJK SC"/>
        <family val="2"/>
        <charset val="1"/>
      </rPr>
      <t xml:space="preserve">独立</t>
    </r>
    <r>
      <rPr>
        <sz val="11"/>
        <color rgb="FF20334A"/>
        <rFont val="Arial"/>
        <family val="2"/>
        <charset val="1"/>
      </rPr>
      <t xml:space="preserve">QA · B9-HK-012</t>
    </r>
    <r>
      <rPr>
        <sz val="11"/>
        <color rgb="FF20334A"/>
        <rFont val="Noto Sans CJK SC"/>
        <family val="2"/>
        <charset val="1"/>
      </rPr>
      <t xml:space="preserve">；限定路线证据，原件／全文增量</t>
    </r>
    <r>
      <rPr>
        <sz val="11"/>
        <color rgb="FF20334A"/>
        <rFont val="Arial"/>
        <family val="2"/>
        <charset val="1"/>
      </rPr>
      <t xml:space="preserve">0</t>
    </r>
    <r>
      <rPr>
        <sz val="11"/>
        <color rgb="FF20334A"/>
        <rFont val="Noto Sans CJK SC"/>
        <family val="2"/>
        <charset val="1"/>
      </rPr>
      <t xml:space="preserve">。</t>
    </r>
  </si>
  <si>
    <t xml:space="preserve">manulife-manudelight-annuity-plan</t>
  </si>
  <si>
    <t xml:space="preserve">B10-HK-001</t>
  </si>
  <si>
    <r>
      <rPr>
        <sz val="11"/>
        <color rgb="FF20334A"/>
        <rFont val="Noto Sans CJK SC"/>
        <family val="2"/>
        <charset val="1"/>
      </rPr>
      <t xml:space="preserve">两年缴费／三年到期</t>
    </r>
    <r>
      <rPr>
        <sz val="11"/>
        <color rgb="FF20334A"/>
        <rFont val="Arial"/>
        <family val="2"/>
        <charset val="1"/>
      </rPr>
      <t xml:space="preserve">Harvest</t>
    </r>
    <r>
      <rPr>
        <sz val="11"/>
        <color rgb="FF20334A"/>
        <rFont val="Noto Sans CJK SC"/>
        <family val="2"/>
        <charset val="1"/>
      </rPr>
      <t xml:space="preserve">变体线索。缓存标签后确页</t>
    </r>
    <r>
      <rPr>
        <sz val="11"/>
        <color rgb="FF20334A"/>
        <rFont val="Arial"/>
        <family val="2"/>
        <charset val="1"/>
      </rPr>
      <t xml:space="preserve">403</t>
    </r>
    <r>
      <rPr>
        <sz val="11"/>
        <color rgb="FF20334A"/>
        <rFont val="Noto Sans CJK SC"/>
        <family val="2"/>
        <charset val="1"/>
      </rPr>
      <t xml:space="preserve">停止；确切</t>
    </r>
    <r>
      <rPr>
        <sz val="11"/>
        <color rgb="FF20334A"/>
        <rFont val="Arial"/>
        <family val="2"/>
        <charset val="1"/>
      </rPr>
      <t xml:space="preserve">href</t>
    </r>
    <r>
      <rPr>
        <sz val="11"/>
        <color rgb="FF20334A"/>
        <rFont val="Noto Sans CJK SC"/>
        <family val="2"/>
        <charset val="1"/>
      </rPr>
      <t xml:space="preserve">与内容身份未解，不增独立产品。</t>
    </r>
  </si>
  <si>
    <r>
      <rPr>
        <sz val="11"/>
        <color rgb="FF20334A"/>
        <rFont val="Arial"/>
        <family val="2"/>
        <charset val="1"/>
      </rPr>
      <t xml:space="preserve">B10</t>
    </r>
    <r>
      <rPr>
        <sz val="11"/>
        <color rgb="FF20334A"/>
        <rFont val="Noto Sans CJK SC"/>
        <family val="2"/>
        <charset val="1"/>
      </rPr>
      <t xml:space="preserve">独立</t>
    </r>
    <r>
      <rPr>
        <sz val="11"/>
        <color rgb="FF20334A"/>
        <rFont val="Arial"/>
        <family val="2"/>
        <charset val="1"/>
      </rPr>
      <t xml:space="preserve">QA · B10-HK-001</t>
    </r>
    <r>
      <rPr>
        <sz val="11"/>
        <color rgb="FF20334A"/>
        <rFont val="Noto Sans CJK SC"/>
        <family val="2"/>
        <charset val="1"/>
      </rPr>
      <t xml:space="preserve">；限定路线证据，原件／全文增量</t>
    </r>
    <r>
      <rPr>
        <sz val="11"/>
        <color rgb="FF20334A"/>
        <rFont val="Arial"/>
        <family val="2"/>
        <charset val="1"/>
      </rPr>
      <t xml:space="preserve">0</t>
    </r>
    <r>
      <rPr>
        <sz val="11"/>
        <color rgb="FF20334A"/>
        <rFont val="Noto Sans CJK SC"/>
        <family val="2"/>
        <charset val="1"/>
      </rPr>
      <t xml:space="preserve">。</t>
    </r>
  </si>
  <si>
    <r>
      <rPr>
        <sz val="11"/>
        <color rgb="FF20334A"/>
        <rFont val="Arial"/>
        <family val="2"/>
        <charset val="1"/>
      </rPr>
      <t xml:space="preserve">Manulife</t>
    </r>
    <r>
      <rPr>
        <sz val="11"/>
        <color rgb="FF20334A"/>
        <rFont val="Noto Sans CJK SC"/>
        <family val="2"/>
        <charset val="1"/>
      </rPr>
      <t xml:space="preserve">／</t>
    </r>
    <r>
      <rPr>
        <sz val="11"/>
        <color rgb="FF20334A"/>
        <rFont val="Arial"/>
        <family val="2"/>
        <charset val="1"/>
      </rPr>
      <t xml:space="preserve">DBS</t>
    </r>
    <r>
      <rPr>
        <sz val="11"/>
        <color rgb="FF20334A"/>
        <rFont val="Noto Sans CJK SC"/>
        <family val="2"/>
        <charset val="1"/>
      </rPr>
      <t xml:space="preserve">来源变体</t>
    </r>
  </si>
  <si>
    <r>
      <rPr>
        <sz val="11"/>
        <color rgb="FF20334A"/>
        <rFont val="Noto Sans CJK SC"/>
        <family val="2"/>
        <charset val="1"/>
      </rPr>
      <t xml:space="preserve">缓存标签线索；普通确页</t>
    </r>
    <r>
      <rPr>
        <sz val="11"/>
        <color rgb="FF20334A"/>
        <rFont val="Arial"/>
        <family val="2"/>
        <charset val="1"/>
      </rPr>
      <t xml:space="preserve">HTTP 403</t>
    </r>
    <r>
      <rPr>
        <sz val="11"/>
        <color rgb="FF20334A"/>
        <rFont val="Noto Sans CJK SC"/>
        <family val="2"/>
        <charset val="1"/>
      </rPr>
      <t xml:space="preserve">后停止</t>
    </r>
  </si>
  <si>
    <r>
      <rPr>
        <sz val="11"/>
        <color rgb="FF20334A"/>
        <rFont val="Noto Sans CJK SC"/>
        <family val="2"/>
        <charset val="1"/>
      </rPr>
      <t xml:space="preserve">仅一条未归一化变体线索；不是额外独立产品。</t>
    </r>
    <r>
      <rPr>
        <sz val="11"/>
        <color rgb="FF20334A"/>
        <rFont val="Arial"/>
        <family val="2"/>
        <charset val="1"/>
      </rPr>
      <t xml:space="preserve">403</t>
    </r>
    <r>
      <rPr>
        <sz val="11"/>
        <color rgb="FF20334A"/>
        <rFont val="Noto Sans CJK SC"/>
        <family val="2"/>
        <charset val="1"/>
      </rPr>
      <t xml:space="preserve">来源层未定，未换渠道绕过。</t>
    </r>
  </si>
  <si>
    <t xml:space="preserve">未归一化变体线索</t>
  </si>
  <si>
    <t xml:space="preserve">B11-MY-001</t>
  </si>
  <si>
    <r>
      <rPr>
        <sz val="11"/>
        <color rgb="FF20334A"/>
        <rFont val="Arial"/>
        <family val="2"/>
        <charset val="1"/>
      </rPr>
      <t xml:space="preserve">30</t>
    </r>
    <r>
      <rPr>
        <sz val="11"/>
        <color rgb="FF20334A"/>
        <rFont val="Noto Sans CJK SC"/>
        <family val="2"/>
        <charset val="1"/>
      </rPr>
      <t xml:space="preserve">页全审，正文明确属非合同信息说明。仅接受与</t>
    </r>
    <r>
      <rPr>
        <sz val="11"/>
        <color rgb="FF20334A"/>
        <rFont val="Arial"/>
        <family val="2"/>
        <charset val="1"/>
      </rPr>
      <t xml:space="preserve">MY-SUN-024</t>
    </r>
    <r>
      <rPr>
        <sz val="11"/>
        <color rgb="FF20334A"/>
        <rFont val="Noto Sans CJK SC"/>
        <family val="2"/>
        <charset val="1"/>
      </rPr>
      <t xml:space="preserve">同编号／同持有人的历史解释支持关系。</t>
    </r>
  </si>
  <si>
    <r>
      <rPr>
        <sz val="11"/>
        <color rgb="FF20334A"/>
        <rFont val="Arial"/>
        <family val="2"/>
        <charset val="1"/>
      </rPr>
      <t xml:space="preserve">B11</t>
    </r>
    <r>
      <rPr>
        <sz val="11"/>
        <color rgb="FF20334A"/>
        <rFont val="Noto Sans CJK SC"/>
        <family val="2"/>
        <charset val="1"/>
      </rPr>
      <t xml:space="preserve">独立</t>
    </r>
    <r>
      <rPr>
        <sz val="11"/>
        <color rgb="FF20334A"/>
        <rFont val="Arial"/>
        <family val="2"/>
        <charset val="1"/>
      </rPr>
      <t xml:space="preserve">QA · B11-MY-001</t>
    </r>
    <r>
      <rPr>
        <sz val="11"/>
        <color rgb="FF20334A"/>
        <rFont val="Noto Sans CJK SC"/>
        <family val="2"/>
        <charset val="1"/>
      </rPr>
      <t xml:space="preserve">；</t>
    </r>
    <r>
      <rPr>
        <sz val="11"/>
        <color rgb="FF20334A"/>
        <rFont val="Arial"/>
        <family val="2"/>
        <charset val="1"/>
      </rPr>
      <t xml:space="preserve">30</t>
    </r>
    <r>
      <rPr>
        <sz val="11"/>
        <color rgb="FF20334A"/>
        <rFont val="Noto Sans CJK SC"/>
        <family val="2"/>
        <charset val="1"/>
      </rPr>
      <t xml:space="preserve">物理页全审，原件</t>
    </r>
    <r>
      <rPr>
        <sz val="11"/>
        <color rgb="FF20334A"/>
        <rFont val="Arial"/>
        <family val="2"/>
        <charset val="1"/>
      </rPr>
      <t xml:space="preserve">SHA a6f5f7c5706e96c8</t>
    </r>
    <r>
      <rPr>
        <sz val="11"/>
        <color rgb="FF20334A"/>
        <rFont val="Noto Sans CJK SC"/>
        <family val="2"/>
        <charset val="1"/>
      </rPr>
      <t xml:space="preserve">。</t>
    </r>
  </si>
  <si>
    <t xml:space="preserve">非合同信息说明／支持件</t>
  </si>
  <si>
    <r>
      <rPr>
        <sz val="11"/>
        <color rgb="FF20334A"/>
        <rFont val="Noto Sans CJK SC"/>
        <family val="2"/>
        <charset val="1"/>
      </rPr>
      <t xml:space="preserve">非合同信息支持；</t>
    </r>
    <r>
      <rPr>
        <sz val="11"/>
        <color rgb="FF20334A"/>
        <rFont val="Arial"/>
        <family val="2"/>
        <charset val="1"/>
      </rPr>
      <t xml:space="preserve">4</t>
    </r>
    <r>
      <rPr>
        <sz val="11"/>
        <color rgb="FF20334A"/>
        <rFont val="Noto Sans CJK SC"/>
        <family val="2"/>
        <charset val="1"/>
      </rPr>
      <t xml:space="preserve">份全审不升主文。</t>
    </r>
    <r>
      <rPr>
        <sz val="11"/>
        <color rgb="FF20334A"/>
        <rFont val="Arial"/>
        <family val="2"/>
        <charset val="1"/>
      </rPr>
      <t xml:space="preserve">1</t>
    </r>
    <r>
      <rPr>
        <sz val="11"/>
        <color rgb="FF20334A"/>
        <rFont val="Noto Sans CJK SC"/>
        <family val="2"/>
        <charset val="1"/>
      </rPr>
      <t xml:space="preserve">项历史解释关联与</t>
    </r>
    <r>
      <rPr>
        <sz val="11"/>
        <color rgb="FF20334A"/>
        <rFont val="Arial"/>
        <family val="2"/>
        <charset val="1"/>
      </rPr>
      <t xml:space="preserve">3</t>
    </r>
    <r>
      <rPr>
        <sz val="11"/>
        <color rgb="FF20334A"/>
        <rFont val="Noto Sans CJK SC"/>
        <family val="2"/>
        <charset val="1"/>
      </rPr>
      <t xml:space="preserve">项未定候选分开；不认定合同并入、同版或当前采用。</t>
    </r>
  </si>
  <si>
    <t xml:space="preserve">regional-20261025-a6f5f7c5706e96c8</t>
  </si>
  <si>
    <t xml:space="preserve">B11-MY-002</t>
  </si>
  <si>
    <r>
      <rPr>
        <sz val="11"/>
        <color rgb="FF20334A"/>
        <rFont val="Arial"/>
        <family val="2"/>
        <charset val="1"/>
      </rPr>
      <t xml:space="preserve">17</t>
    </r>
    <r>
      <rPr>
        <sz val="11"/>
        <color rgb="FF20334A"/>
        <rFont val="Noto Sans CJK SC"/>
        <family val="2"/>
        <charset val="1"/>
      </rPr>
      <t xml:space="preserve">页全审，非合同说明。与</t>
    </r>
    <r>
      <rPr>
        <sz val="11"/>
        <color rgb="FF20334A"/>
        <rFont val="Arial"/>
        <family val="2"/>
        <charset val="1"/>
      </rPr>
      <t xml:space="preserve">MY-SUN-025</t>
    </r>
    <r>
      <rPr>
        <sz val="11"/>
        <color rgb="FF20334A"/>
        <rFont val="Noto Sans CJK SC"/>
        <family val="2"/>
        <charset val="1"/>
      </rPr>
      <t xml:space="preserve">仅为家族候选关系；终止与剩余身故保障表述仍待核。</t>
    </r>
  </si>
  <si>
    <r>
      <rPr>
        <sz val="11"/>
        <color rgb="FF20334A"/>
        <rFont val="Arial"/>
        <family val="2"/>
        <charset val="1"/>
      </rPr>
      <t xml:space="preserve">B11</t>
    </r>
    <r>
      <rPr>
        <sz val="11"/>
        <color rgb="FF20334A"/>
        <rFont val="Noto Sans CJK SC"/>
        <family val="2"/>
        <charset val="1"/>
      </rPr>
      <t xml:space="preserve">独立</t>
    </r>
    <r>
      <rPr>
        <sz val="11"/>
        <color rgb="FF20334A"/>
        <rFont val="Arial"/>
        <family val="2"/>
        <charset val="1"/>
      </rPr>
      <t xml:space="preserve">QA · B11-MY-002</t>
    </r>
    <r>
      <rPr>
        <sz val="11"/>
        <color rgb="FF20334A"/>
        <rFont val="Noto Sans CJK SC"/>
        <family val="2"/>
        <charset val="1"/>
      </rPr>
      <t xml:space="preserve">；</t>
    </r>
    <r>
      <rPr>
        <sz val="11"/>
        <color rgb="FF20334A"/>
        <rFont val="Arial"/>
        <family val="2"/>
        <charset val="1"/>
      </rPr>
      <t xml:space="preserve">17</t>
    </r>
    <r>
      <rPr>
        <sz val="11"/>
        <color rgb="FF20334A"/>
        <rFont val="Noto Sans CJK SC"/>
        <family val="2"/>
        <charset val="1"/>
      </rPr>
      <t xml:space="preserve">物理页全审，原件</t>
    </r>
    <r>
      <rPr>
        <sz val="11"/>
        <color rgb="FF20334A"/>
        <rFont val="Arial"/>
        <family val="2"/>
        <charset val="1"/>
      </rPr>
      <t xml:space="preserve">SHA e23ebfe9f0a3f2a2</t>
    </r>
    <r>
      <rPr>
        <sz val="11"/>
        <color rgb="FF20334A"/>
        <rFont val="Noto Sans CJK SC"/>
        <family val="2"/>
        <charset val="1"/>
      </rPr>
      <t xml:space="preserve">。</t>
    </r>
  </si>
  <si>
    <t xml:space="preserve">regional-20261025-e23ebfe9f0a3f2a2</t>
  </si>
  <si>
    <t xml:space="preserve">B11-MY-003</t>
  </si>
  <si>
    <r>
      <rPr>
        <sz val="11"/>
        <color rgb="FF20334A"/>
        <rFont val="Arial"/>
        <family val="2"/>
        <charset val="1"/>
      </rPr>
      <t xml:space="preserve">35</t>
    </r>
    <r>
      <rPr>
        <sz val="11"/>
        <color rgb="FF20334A"/>
        <rFont val="Noto Sans CJK SC"/>
        <family val="2"/>
        <charset val="1"/>
      </rPr>
      <t xml:space="preserve">页全审，非合同说明。</t>
    </r>
    <r>
      <rPr>
        <sz val="11"/>
        <color rgb="FF20334A"/>
        <rFont val="Arial"/>
        <family val="2"/>
        <charset val="1"/>
      </rPr>
      <t xml:space="preserve">Salary Account</t>
    </r>
    <r>
      <rPr>
        <sz val="11"/>
        <color rgb="FF20334A"/>
        <rFont val="Noto Sans CJK SC"/>
        <family val="2"/>
        <charset val="1"/>
      </rPr>
      <t xml:space="preserve">／</t>
    </r>
    <r>
      <rPr>
        <sz val="11"/>
        <color rgb="FF20334A"/>
        <rFont val="Arial"/>
        <family val="2"/>
        <charset val="1"/>
      </rPr>
      <t xml:space="preserve">GTTCW0126</t>
    </r>
    <r>
      <rPr>
        <sz val="11"/>
        <color rgb="FF20334A"/>
        <rFont val="Noto Sans CJK SC"/>
        <family val="2"/>
        <charset val="1"/>
      </rPr>
      <t xml:space="preserve">身份不补足</t>
    </r>
    <r>
      <rPr>
        <sz val="11"/>
        <color rgb="FF20334A"/>
        <rFont val="Arial"/>
        <family val="2"/>
        <charset val="1"/>
      </rPr>
      <t xml:space="preserve">MY-SUN-032</t>
    </r>
    <r>
      <rPr>
        <sz val="11"/>
        <color rgb="FF20334A"/>
        <rFont val="Noto Sans CJK SC"/>
        <family val="2"/>
        <charset val="1"/>
      </rPr>
      <t xml:space="preserve">主附表或证明同版采用。</t>
    </r>
  </si>
  <si>
    <r>
      <rPr>
        <sz val="11"/>
        <color rgb="FF20334A"/>
        <rFont val="Arial"/>
        <family val="2"/>
        <charset val="1"/>
      </rPr>
      <t xml:space="preserve">B11</t>
    </r>
    <r>
      <rPr>
        <sz val="11"/>
        <color rgb="FF20334A"/>
        <rFont val="Noto Sans CJK SC"/>
        <family val="2"/>
        <charset val="1"/>
      </rPr>
      <t xml:space="preserve">独立</t>
    </r>
    <r>
      <rPr>
        <sz val="11"/>
        <color rgb="FF20334A"/>
        <rFont val="Arial"/>
        <family val="2"/>
        <charset val="1"/>
      </rPr>
      <t xml:space="preserve">QA · B11-MY-003</t>
    </r>
    <r>
      <rPr>
        <sz val="11"/>
        <color rgb="FF20334A"/>
        <rFont val="Noto Sans CJK SC"/>
        <family val="2"/>
        <charset val="1"/>
      </rPr>
      <t xml:space="preserve">；</t>
    </r>
    <r>
      <rPr>
        <sz val="11"/>
        <color rgb="FF20334A"/>
        <rFont val="Arial"/>
        <family val="2"/>
        <charset val="1"/>
      </rPr>
      <t xml:space="preserve">35</t>
    </r>
    <r>
      <rPr>
        <sz val="11"/>
        <color rgb="FF20334A"/>
        <rFont val="Noto Sans CJK SC"/>
        <family val="2"/>
        <charset val="1"/>
      </rPr>
      <t xml:space="preserve">物理页全审，原件</t>
    </r>
    <r>
      <rPr>
        <sz val="11"/>
        <color rgb="FF20334A"/>
        <rFont val="Arial"/>
        <family val="2"/>
        <charset val="1"/>
      </rPr>
      <t xml:space="preserve">SHA aa01a6df9e09bde7</t>
    </r>
    <r>
      <rPr>
        <sz val="11"/>
        <color rgb="FF20334A"/>
        <rFont val="Noto Sans CJK SC"/>
        <family val="2"/>
        <charset val="1"/>
      </rPr>
      <t xml:space="preserve">。</t>
    </r>
  </si>
  <si>
    <t xml:space="preserve">regional-20261025-aa01a6df9e09bde7</t>
  </si>
  <si>
    <t xml:space="preserve">B11-MY-004</t>
  </si>
  <si>
    <r>
      <rPr>
        <sz val="11"/>
        <color rgb="FF20334A"/>
        <rFont val="Arial"/>
        <family val="2"/>
        <charset val="1"/>
      </rPr>
      <t xml:space="preserve">21</t>
    </r>
    <r>
      <rPr>
        <sz val="11"/>
        <color rgb="FF20334A"/>
        <rFont val="Noto Sans CJK SC"/>
        <family val="2"/>
        <charset val="1"/>
      </rPr>
      <t xml:space="preserve">页全审，非合同说明。</t>
    </r>
    <r>
      <rPr>
        <sz val="11"/>
        <color rgb="FF20334A"/>
        <rFont val="Arial"/>
        <family val="2"/>
        <charset val="1"/>
      </rPr>
      <t xml:space="preserve">GTTCIMB0623</t>
    </r>
    <r>
      <rPr>
        <sz val="11"/>
        <color rgb="FF20334A"/>
        <rFont val="Noto Sans CJK SC"/>
        <family val="2"/>
        <charset val="1"/>
      </rPr>
      <t xml:space="preserve">与主文</t>
    </r>
    <r>
      <rPr>
        <sz val="11"/>
        <color rgb="FF20334A"/>
        <rFont val="Arial"/>
        <family val="2"/>
        <charset val="1"/>
      </rPr>
      <t xml:space="preserve">CIMBGTT0623</t>
    </r>
    <r>
      <rPr>
        <sz val="11"/>
        <color rgb="FF20334A"/>
        <rFont val="Noto Sans CJK SC"/>
        <family val="2"/>
        <charset val="1"/>
      </rPr>
      <t xml:space="preserve">编号顺序差异保留；不继承批单利益。</t>
    </r>
  </si>
  <si>
    <r>
      <rPr>
        <sz val="11"/>
        <color rgb="FF20334A"/>
        <rFont val="Arial"/>
        <family val="2"/>
        <charset val="1"/>
      </rPr>
      <t xml:space="preserve">B11</t>
    </r>
    <r>
      <rPr>
        <sz val="11"/>
        <color rgb="FF20334A"/>
        <rFont val="Noto Sans CJK SC"/>
        <family val="2"/>
        <charset val="1"/>
      </rPr>
      <t xml:space="preserve">独立</t>
    </r>
    <r>
      <rPr>
        <sz val="11"/>
        <color rgb="FF20334A"/>
        <rFont val="Arial"/>
        <family val="2"/>
        <charset val="1"/>
      </rPr>
      <t xml:space="preserve">QA · B11-MY-004</t>
    </r>
    <r>
      <rPr>
        <sz val="11"/>
        <color rgb="FF20334A"/>
        <rFont val="Noto Sans CJK SC"/>
        <family val="2"/>
        <charset val="1"/>
      </rPr>
      <t xml:space="preserve">；</t>
    </r>
    <r>
      <rPr>
        <sz val="11"/>
        <color rgb="FF20334A"/>
        <rFont val="Arial"/>
        <family val="2"/>
        <charset val="1"/>
      </rPr>
      <t xml:space="preserve">21</t>
    </r>
    <r>
      <rPr>
        <sz val="11"/>
        <color rgb="FF20334A"/>
        <rFont val="Noto Sans CJK SC"/>
        <family val="2"/>
        <charset val="1"/>
      </rPr>
      <t xml:space="preserve">物理页全审，原件</t>
    </r>
    <r>
      <rPr>
        <sz val="11"/>
        <color rgb="FF20334A"/>
        <rFont val="Arial"/>
        <family val="2"/>
        <charset val="1"/>
      </rPr>
      <t xml:space="preserve">SHA bb37df422029cb02</t>
    </r>
    <r>
      <rPr>
        <sz val="11"/>
        <color rgb="FF20334A"/>
        <rFont val="Noto Sans CJK SC"/>
        <family val="2"/>
        <charset val="1"/>
      </rPr>
      <t xml:space="preserve">。</t>
    </r>
  </si>
  <si>
    <t xml:space="preserve">regional-20261025-bb37df422029cb02</t>
  </si>
  <si>
    <t xml:space="preserve">B12-MY-001</t>
  </si>
  <si>
    <r>
      <rPr>
        <sz val="11"/>
        <color rgb="FF20334A"/>
        <rFont val="Arial"/>
        <family val="2"/>
        <charset val="1"/>
      </rPr>
      <t xml:space="preserve">38</t>
    </r>
    <r>
      <rPr>
        <sz val="11"/>
        <color rgb="FF20334A"/>
        <rFont val="Noto Sans CJK SC"/>
        <family val="2"/>
        <charset val="1"/>
      </rPr>
      <t xml:space="preserve">页</t>
    </r>
    <r>
      <rPr>
        <sz val="11"/>
        <color rgb="FF20334A"/>
        <rFont val="Arial"/>
        <family val="2"/>
        <charset val="1"/>
      </rPr>
      <t xml:space="preserve">Home Direct</t>
    </r>
    <r>
      <rPr>
        <sz val="11"/>
        <color rgb="FF20334A"/>
        <rFont val="Noto Sans CJK SC"/>
        <family val="2"/>
        <charset val="1"/>
      </rPr>
      <t xml:space="preserve">主合同全审。英马索赔证明期限</t>
    </r>
    <r>
      <rPr>
        <sz val="11"/>
        <color rgb="FF20334A"/>
        <rFont val="Arial"/>
        <family val="2"/>
        <charset val="1"/>
      </rPr>
      <t xml:space="preserve">30</t>
    </r>
    <r>
      <rPr>
        <sz val="11"/>
        <color rgb="FF20334A"/>
        <rFont val="Noto Sans CJK SC"/>
        <family val="2"/>
        <charset val="1"/>
      </rPr>
      <t xml:space="preserve">／</t>
    </r>
    <r>
      <rPr>
        <sz val="11"/>
        <color rgb="FF20334A"/>
        <rFont val="Arial"/>
        <family val="2"/>
        <charset val="1"/>
      </rPr>
      <t xml:space="preserve">90</t>
    </r>
    <r>
      <rPr>
        <sz val="11"/>
        <color rgb="FF20334A"/>
        <rFont val="Noto Sans CJK SC"/>
        <family val="2"/>
        <charset val="1"/>
      </rPr>
      <t xml:space="preserve">日及签署主体冲突未解。</t>
    </r>
  </si>
  <si>
    <r>
      <rPr>
        <sz val="11"/>
        <color rgb="FF20334A"/>
        <rFont val="Arial"/>
        <family val="2"/>
        <charset val="1"/>
      </rPr>
      <t xml:space="preserve">B12</t>
    </r>
    <r>
      <rPr>
        <sz val="11"/>
        <color rgb="FF20334A"/>
        <rFont val="Noto Sans CJK SC"/>
        <family val="2"/>
        <charset val="1"/>
      </rPr>
      <t xml:space="preserve">独立</t>
    </r>
    <r>
      <rPr>
        <sz val="11"/>
        <color rgb="FF20334A"/>
        <rFont val="Arial"/>
        <family val="2"/>
        <charset val="1"/>
      </rPr>
      <t xml:space="preserve">QA · B12-MY-001</t>
    </r>
    <r>
      <rPr>
        <sz val="11"/>
        <color rgb="FF20334A"/>
        <rFont val="Noto Sans CJK SC"/>
        <family val="2"/>
        <charset val="1"/>
      </rPr>
      <t xml:space="preserve">；</t>
    </r>
    <r>
      <rPr>
        <sz val="11"/>
        <color rgb="FF20334A"/>
        <rFont val="Arial"/>
        <family val="2"/>
        <charset val="1"/>
      </rPr>
      <t xml:space="preserve">38</t>
    </r>
    <r>
      <rPr>
        <sz val="11"/>
        <color rgb="FF20334A"/>
        <rFont val="Noto Sans CJK SC"/>
        <family val="2"/>
        <charset val="1"/>
      </rPr>
      <t xml:space="preserve">物理页全审，原件</t>
    </r>
    <r>
      <rPr>
        <sz val="11"/>
        <color rgb="FF20334A"/>
        <rFont val="Arial"/>
        <family val="2"/>
        <charset val="1"/>
      </rPr>
      <t xml:space="preserve">SHA 1a71ea1fddb77731</t>
    </r>
    <r>
      <rPr>
        <sz val="11"/>
        <color rgb="FF20334A"/>
        <rFont val="Noto Sans CJK SC"/>
        <family val="2"/>
        <charset val="1"/>
      </rPr>
      <t xml:space="preserve">。</t>
    </r>
  </si>
  <si>
    <t xml:space="preserve">regional-20261025-1a71ea1fddb77731</t>
  </si>
  <si>
    <t xml:space="preserve">B12-MY-002</t>
  </si>
  <si>
    <r>
      <rPr>
        <sz val="11"/>
        <color rgb="FF20334A"/>
        <rFont val="Arial"/>
        <family val="2"/>
        <charset val="1"/>
      </rPr>
      <t xml:space="preserve">58</t>
    </r>
    <r>
      <rPr>
        <sz val="11"/>
        <color rgb="FF20334A"/>
        <rFont val="Noto Sans CJK SC"/>
        <family val="2"/>
        <charset val="1"/>
      </rPr>
      <t xml:space="preserve">页</t>
    </r>
    <r>
      <rPr>
        <sz val="11"/>
        <color rgb="FF20334A"/>
        <rFont val="Arial"/>
        <family val="2"/>
        <charset val="1"/>
      </rPr>
      <t xml:space="preserve">Travel Direct</t>
    </r>
    <r>
      <rPr>
        <sz val="11"/>
        <color rgb="FF20334A"/>
        <rFont val="Noto Sans CJK SC"/>
        <family val="2"/>
        <charset val="1"/>
      </rPr>
      <t xml:space="preserve">主合同全审。返马治疗给付／排除及摩托车运动脚注差异仍待核。</t>
    </r>
  </si>
  <si>
    <r>
      <rPr>
        <sz val="11"/>
        <color rgb="FF20334A"/>
        <rFont val="Arial"/>
        <family val="2"/>
        <charset val="1"/>
      </rPr>
      <t xml:space="preserve">B12</t>
    </r>
    <r>
      <rPr>
        <sz val="11"/>
        <color rgb="FF20334A"/>
        <rFont val="Noto Sans CJK SC"/>
        <family val="2"/>
        <charset val="1"/>
      </rPr>
      <t xml:space="preserve">独立</t>
    </r>
    <r>
      <rPr>
        <sz val="11"/>
        <color rgb="FF20334A"/>
        <rFont val="Arial"/>
        <family val="2"/>
        <charset val="1"/>
      </rPr>
      <t xml:space="preserve">QA · B12-MY-002</t>
    </r>
    <r>
      <rPr>
        <sz val="11"/>
        <color rgb="FF20334A"/>
        <rFont val="Noto Sans CJK SC"/>
        <family val="2"/>
        <charset val="1"/>
      </rPr>
      <t xml:space="preserve">；</t>
    </r>
    <r>
      <rPr>
        <sz val="11"/>
        <color rgb="FF20334A"/>
        <rFont val="Arial"/>
        <family val="2"/>
        <charset val="1"/>
      </rPr>
      <t xml:space="preserve">58</t>
    </r>
    <r>
      <rPr>
        <sz val="11"/>
        <color rgb="FF20334A"/>
        <rFont val="Noto Sans CJK SC"/>
        <family val="2"/>
        <charset val="1"/>
      </rPr>
      <t xml:space="preserve">物理页全审，原件</t>
    </r>
    <r>
      <rPr>
        <sz val="11"/>
        <color rgb="FF20334A"/>
        <rFont val="Arial"/>
        <family val="2"/>
        <charset val="1"/>
      </rPr>
      <t xml:space="preserve">SHA 85d0646241730486</t>
    </r>
    <r>
      <rPr>
        <sz val="11"/>
        <color rgb="FF20334A"/>
        <rFont val="Noto Sans CJK SC"/>
        <family val="2"/>
        <charset val="1"/>
      </rPr>
      <t xml:space="preserve">。</t>
    </r>
  </si>
  <si>
    <t xml:space="preserve">regional-20261025-85d0646241730486</t>
  </si>
  <si>
    <t xml:space="preserve">B12-MY-003</t>
  </si>
  <si>
    <r>
      <rPr>
        <sz val="11"/>
        <color rgb="FF20334A"/>
        <rFont val="Arial"/>
        <family val="2"/>
        <charset val="1"/>
      </rPr>
      <t xml:space="preserve">25</t>
    </r>
    <r>
      <rPr>
        <sz val="11"/>
        <color rgb="FF20334A"/>
        <rFont val="Noto Sans CJK SC"/>
        <family val="2"/>
        <charset val="1"/>
      </rPr>
      <t xml:space="preserve">页</t>
    </r>
    <r>
      <rPr>
        <sz val="11"/>
        <color rgb="FF20334A"/>
        <rFont val="Arial"/>
        <family val="2"/>
        <charset val="1"/>
      </rPr>
      <t xml:space="preserve">PA Direct</t>
    </r>
    <r>
      <rPr>
        <sz val="11"/>
        <color rgb="FF20334A"/>
        <rFont val="Noto Sans CJK SC"/>
        <family val="2"/>
        <charset val="1"/>
      </rPr>
      <t xml:space="preserve">主合同文件级</t>
    </r>
    <r>
      <rPr>
        <sz val="11"/>
        <color rgb="FF20334A"/>
        <rFont val="Arial"/>
        <family val="2"/>
        <charset val="1"/>
      </rPr>
      <t xml:space="preserve">verified</t>
    </r>
    <r>
      <rPr>
        <sz val="11"/>
        <color rgb="FF20334A"/>
        <rFont val="Noto Sans CJK SC"/>
        <family val="2"/>
        <charset val="1"/>
      </rPr>
      <t xml:space="preserve">。全表语境复核支持文件层通过，不证明实际签发或当前采用。</t>
    </r>
  </si>
  <si>
    <r>
      <rPr>
        <sz val="11"/>
        <color rgb="FF20334A"/>
        <rFont val="Arial"/>
        <family val="2"/>
        <charset val="1"/>
      </rPr>
      <t xml:space="preserve">B12</t>
    </r>
    <r>
      <rPr>
        <sz val="11"/>
        <color rgb="FF20334A"/>
        <rFont val="Noto Sans CJK SC"/>
        <family val="2"/>
        <charset val="1"/>
      </rPr>
      <t xml:space="preserve">独立</t>
    </r>
    <r>
      <rPr>
        <sz val="11"/>
        <color rgb="FF20334A"/>
        <rFont val="Arial"/>
        <family val="2"/>
        <charset val="1"/>
      </rPr>
      <t xml:space="preserve">QA · B12-MY-003</t>
    </r>
    <r>
      <rPr>
        <sz val="11"/>
        <color rgb="FF20334A"/>
        <rFont val="Noto Sans CJK SC"/>
        <family val="2"/>
        <charset val="1"/>
      </rPr>
      <t xml:space="preserve">；</t>
    </r>
    <r>
      <rPr>
        <sz val="11"/>
        <color rgb="FF20334A"/>
        <rFont val="Arial"/>
        <family val="2"/>
        <charset val="1"/>
      </rPr>
      <t xml:space="preserve">25</t>
    </r>
    <r>
      <rPr>
        <sz val="11"/>
        <color rgb="FF20334A"/>
        <rFont val="Noto Sans CJK SC"/>
        <family val="2"/>
        <charset val="1"/>
      </rPr>
      <t xml:space="preserve">物理页全审，原件</t>
    </r>
    <r>
      <rPr>
        <sz val="11"/>
        <color rgb="FF20334A"/>
        <rFont val="Arial"/>
        <family val="2"/>
        <charset val="1"/>
      </rPr>
      <t xml:space="preserve">SHA e1d70e895e98adfe</t>
    </r>
    <r>
      <rPr>
        <sz val="11"/>
        <color rgb="FF20334A"/>
        <rFont val="Noto Sans CJK SC"/>
        <family val="2"/>
        <charset val="1"/>
      </rPr>
      <t xml:space="preserve">。</t>
    </r>
  </si>
  <si>
    <t xml:space="preserve">regional-20261025-e1d70e895e98adfe</t>
  </si>
  <si>
    <t xml:space="preserve">B12-MY-004</t>
  </si>
  <si>
    <r>
      <rPr>
        <sz val="11"/>
        <color rgb="FF20334A"/>
        <rFont val="Arial"/>
        <family val="2"/>
        <charset val="1"/>
      </rPr>
      <t xml:space="preserve">40</t>
    </r>
    <r>
      <rPr>
        <sz val="11"/>
        <color rgb="FF20334A"/>
        <rFont val="Noto Sans CJK SC"/>
        <family val="2"/>
        <charset val="1"/>
      </rPr>
      <t xml:space="preserve">页</t>
    </r>
    <r>
      <rPr>
        <sz val="11"/>
        <color rgb="FF20334A"/>
        <rFont val="Arial"/>
        <family val="2"/>
        <charset val="1"/>
      </rPr>
      <t xml:space="preserve">HealthPro</t>
    </r>
    <r>
      <rPr>
        <sz val="11"/>
        <color rgb="FF20334A"/>
        <rFont val="Noto Sans CJK SC"/>
        <family val="2"/>
        <charset val="1"/>
      </rPr>
      <t xml:space="preserve">主合同全审。独立核见</t>
    </r>
    <r>
      <rPr>
        <sz val="11"/>
        <color rgb="FF20334A"/>
        <rFont val="Arial"/>
        <family val="2"/>
        <charset val="1"/>
      </rPr>
      <t xml:space="preserve">12.2</t>
    </r>
    <r>
      <rPr>
        <sz val="11"/>
        <color rgb="FF20334A"/>
        <rFont val="Noto Sans CJK SC"/>
        <family val="2"/>
        <charset val="1"/>
      </rPr>
      <t xml:space="preserve">英马保证表述、两年后欺诈例外等实质差异；不复用已撤回</t>
    </r>
    <r>
      <rPr>
        <sz val="11"/>
        <color rgb="FF20334A"/>
        <rFont val="Arial"/>
        <family val="2"/>
        <charset val="1"/>
      </rPr>
      <t xml:space="preserve">B3</t>
    </r>
    <r>
      <rPr>
        <sz val="11"/>
        <color rgb="FF20334A"/>
        <rFont val="Noto Sans CJK SC"/>
        <family val="2"/>
        <charset val="1"/>
      </rPr>
      <t xml:space="preserve">说法。</t>
    </r>
  </si>
  <si>
    <r>
      <rPr>
        <sz val="11"/>
        <color rgb="FF20334A"/>
        <rFont val="Arial"/>
        <family val="2"/>
        <charset val="1"/>
      </rPr>
      <t xml:space="preserve">B12</t>
    </r>
    <r>
      <rPr>
        <sz val="11"/>
        <color rgb="FF20334A"/>
        <rFont val="Noto Sans CJK SC"/>
        <family val="2"/>
        <charset val="1"/>
      </rPr>
      <t xml:space="preserve">独立</t>
    </r>
    <r>
      <rPr>
        <sz val="11"/>
        <color rgb="FF20334A"/>
        <rFont val="Arial"/>
        <family val="2"/>
        <charset val="1"/>
      </rPr>
      <t xml:space="preserve">QA · B12-MY-004</t>
    </r>
    <r>
      <rPr>
        <sz val="11"/>
        <color rgb="FF20334A"/>
        <rFont val="Noto Sans CJK SC"/>
        <family val="2"/>
        <charset val="1"/>
      </rPr>
      <t xml:space="preserve">；</t>
    </r>
    <r>
      <rPr>
        <sz val="11"/>
        <color rgb="FF20334A"/>
        <rFont val="Arial"/>
        <family val="2"/>
        <charset val="1"/>
      </rPr>
      <t xml:space="preserve">40</t>
    </r>
    <r>
      <rPr>
        <sz val="11"/>
        <color rgb="FF20334A"/>
        <rFont val="Noto Sans CJK SC"/>
        <family val="2"/>
        <charset val="1"/>
      </rPr>
      <t xml:space="preserve">物理页全审，原件</t>
    </r>
    <r>
      <rPr>
        <sz val="11"/>
        <color rgb="FF20334A"/>
        <rFont val="Arial"/>
        <family val="2"/>
        <charset val="1"/>
      </rPr>
      <t xml:space="preserve">SHA a1521f197ab4c55b</t>
    </r>
    <r>
      <rPr>
        <sz val="11"/>
        <color rgb="FF20334A"/>
        <rFont val="Noto Sans CJK SC"/>
        <family val="2"/>
        <charset val="1"/>
      </rPr>
      <t xml:space="preserve">。</t>
    </r>
  </si>
  <si>
    <t xml:space="preserve">regional-20261025-a1521f197ab4c55b</t>
  </si>
  <si>
    <t xml:space="preserve">B12-MY-005</t>
  </si>
  <si>
    <r>
      <rPr>
        <sz val="11"/>
        <color rgb="FF20334A"/>
        <rFont val="Arial"/>
        <family val="2"/>
        <charset val="1"/>
      </rPr>
      <t xml:space="preserve">34</t>
    </r>
    <r>
      <rPr>
        <sz val="11"/>
        <color rgb="FF20334A"/>
        <rFont val="Noto Sans CJK SC"/>
        <family val="2"/>
        <charset val="1"/>
      </rPr>
      <t xml:space="preserve">页</t>
    </r>
    <r>
      <rPr>
        <sz val="11"/>
        <color rgb="FF20334A"/>
        <rFont val="Arial"/>
        <family val="2"/>
        <charset val="1"/>
      </rPr>
      <t xml:space="preserve">Prime Pro</t>
    </r>
    <r>
      <rPr>
        <sz val="11"/>
        <color rgb="FF20334A"/>
        <rFont val="Noto Sans CJK SC"/>
        <family val="2"/>
        <charset val="1"/>
      </rPr>
      <t xml:space="preserve">主合同全审。</t>
    </r>
    <r>
      <rPr>
        <sz val="11"/>
        <color rgb="FF20334A"/>
        <rFont val="Arial"/>
        <family val="2"/>
        <charset val="1"/>
      </rPr>
      <t xml:space="preserve">2019</t>
    </r>
    <r>
      <rPr>
        <sz val="11"/>
        <color rgb="FF20334A"/>
        <rFont val="Noto Sans CJK SC"/>
        <family val="2"/>
        <charset val="1"/>
      </rPr>
      <t xml:space="preserve">批单却具名</t>
    </r>
    <r>
      <rPr>
        <sz val="11"/>
        <color rgb="FF20334A"/>
        <rFont val="Arial"/>
        <family val="2"/>
        <charset val="1"/>
      </rPr>
      <t xml:space="preserve">PA Smart Pro</t>
    </r>
    <r>
      <rPr>
        <sz val="11"/>
        <color rgb="FF20334A"/>
        <rFont val="Noto Sans CJK SC"/>
        <family val="2"/>
        <charset val="1"/>
      </rPr>
      <t xml:space="preserve">，适用性未证；</t>
    </r>
    <r>
      <rPr>
        <sz val="11"/>
        <color rgb="FF20334A"/>
        <rFont val="Arial"/>
        <family val="2"/>
        <charset val="1"/>
      </rPr>
      <t xml:space="preserve">2018</t>
    </r>
    <r>
      <rPr>
        <sz val="11"/>
        <color rgb="FF20334A"/>
        <rFont val="Noto Sans CJK SC"/>
        <family val="2"/>
        <charset val="1"/>
      </rPr>
      <t xml:space="preserve">利益参照差异保留。</t>
    </r>
  </si>
  <si>
    <r>
      <rPr>
        <sz val="11"/>
        <color rgb="FF20334A"/>
        <rFont val="Arial"/>
        <family val="2"/>
        <charset val="1"/>
      </rPr>
      <t xml:space="preserve">B12</t>
    </r>
    <r>
      <rPr>
        <sz val="11"/>
        <color rgb="FF20334A"/>
        <rFont val="Noto Sans CJK SC"/>
        <family val="2"/>
        <charset val="1"/>
      </rPr>
      <t xml:space="preserve">独立</t>
    </r>
    <r>
      <rPr>
        <sz val="11"/>
        <color rgb="FF20334A"/>
        <rFont val="Arial"/>
        <family val="2"/>
        <charset val="1"/>
      </rPr>
      <t xml:space="preserve">QA · B12-MY-005</t>
    </r>
    <r>
      <rPr>
        <sz val="11"/>
        <color rgb="FF20334A"/>
        <rFont val="Noto Sans CJK SC"/>
        <family val="2"/>
        <charset val="1"/>
      </rPr>
      <t xml:space="preserve">；</t>
    </r>
    <r>
      <rPr>
        <sz val="11"/>
        <color rgb="FF20334A"/>
        <rFont val="Arial"/>
        <family val="2"/>
        <charset val="1"/>
      </rPr>
      <t xml:space="preserve">34</t>
    </r>
    <r>
      <rPr>
        <sz val="11"/>
        <color rgb="FF20334A"/>
        <rFont val="Noto Sans CJK SC"/>
        <family val="2"/>
        <charset val="1"/>
      </rPr>
      <t xml:space="preserve">物理页全审，原件</t>
    </r>
    <r>
      <rPr>
        <sz val="11"/>
        <color rgb="FF20334A"/>
        <rFont val="Arial"/>
        <family val="2"/>
        <charset val="1"/>
      </rPr>
      <t xml:space="preserve">SHA d66d3b52afd77ca6</t>
    </r>
    <r>
      <rPr>
        <sz val="11"/>
        <color rgb="FF20334A"/>
        <rFont val="Noto Sans CJK SC"/>
        <family val="2"/>
        <charset val="1"/>
      </rPr>
      <t xml:space="preserve">。</t>
    </r>
  </si>
  <si>
    <t xml:space="preserve">regional-20261025-d66d3b52afd77ca6</t>
  </si>
  <si>
    <t xml:space="preserve">B13-HK-001</t>
  </si>
  <si>
    <r>
      <rPr>
        <sz val="11"/>
        <color rgb="FF20334A"/>
        <rFont val="Arial"/>
        <family val="2"/>
        <charset val="1"/>
      </rPr>
      <t xml:space="preserve">HomeSafe</t>
    </r>
    <r>
      <rPr>
        <sz val="11"/>
        <color rgb="FF20334A"/>
        <rFont val="Noto Sans CJK SC"/>
        <family val="2"/>
        <charset val="1"/>
      </rPr>
      <t xml:space="preserve">落地页</t>
    </r>
    <r>
      <rPr>
        <sz val="11"/>
        <color rgb="FF20334A"/>
        <rFont val="Arial"/>
        <family val="2"/>
        <charset val="1"/>
      </rPr>
      <t xml:space="preserve">HTTP 200</t>
    </r>
    <r>
      <rPr>
        <sz val="11"/>
        <color rgb="FF20334A"/>
        <rFont val="Noto Sans CJK SC"/>
        <family val="2"/>
        <charset val="1"/>
      </rPr>
      <t xml:space="preserve">元数据；确切条款路线单次</t>
    </r>
    <r>
      <rPr>
        <sz val="11"/>
        <color rgb="FF20334A"/>
        <rFont val="Arial"/>
        <family val="2"/>
        <charset val="1"/>
      </rPr>
      <t xml:space="preserve">GET</t>
    </r>
    <r>
      <rPr>
        <sz val="11"/>
        <color rgb="FF20334A"/>
        <rFont val="Noto Sans CJK SC"/>
        <family val="2"/>
        <charset val="1"/>
      </rPr>
      <t xml:space="preserve">为</t>
    </r>
    <r>
      <rPr>
        <sz val="11"/>
        <color rgb="FF20334A"/>
        <rFont val="Arial"/>
        <family val="2"/>
        <charset val="1"/>
      </rPr>
      <t xml:space="preserve">503</t>
    </r>
    <r>
      <rPr>
        <sz val="11"/>
        <color rgb="FF20334A"/>
        <rFont val="Noto Sans CJK SC"/>
        <family val="2"/>
        <charset val="1"/>
      </rPr>
      <t xml:space="preserve">后停止。无</t>
    </r>
    <r>
      <rPr>
        <sz val="11"/>
        <color rgb="FF20334A"/>
        <rFont val="Arial"/>
        <family val="2"/>
        <charset val="1"/>
      </rPr>
      <t xml:space="preserve">PDF</t>
    </r>
    <r>
      <rPr>
        <sz val="11"/>
        <color rgb="FF20334A"/>
        <rFont val="Noto Sans CJK SC"/>
        <family val="2"/>
        <charset val="1"/>
      </rPr>
      <t xml:space="preserve">，不是权限拒绝或无条款证明。</t>
    </r>
  </si>
  <si>
    <r>
      <rPr>
        <sz val="11"/>
        <color rgb="FF20334A"/>
        <rFont val="Arial"/>
        <family val="2"/>
        <charset val="1"/>
      </rPr>
      <t xml:space="preserve">B13</t>
    </r>
    <r>
      <rPr>
        <sz val="11"/>
        <color rgb="FF20334A"/>
        <rFont val="Noto Sans CJK SC"/>
        <family val="2"/>
        <charset val="1"/>
      </rPr>
      <t xml:space="preserve">独立</t>
    </r>
    <r>
      <rPr>
        <sz val="11"/>
        <color rgb="FF20334A"/>
        <rFont val="Arial"/>
        <family val="2"/>
        <charset val="1"/>
      </rPr>
      <t xml:space="preserve">QA · B13-HK-001</t>
    </r>
    <r>
      <rPr>
        <sz val="11"/>
        <color rgb="FF20334A"/>
        <rFont val="Noto Sans CJK SC"/>
        <family val="2"/>
        <charset val="1"/>
      </rPr>
      <t xml:space="preserve">；限定路线证据，原件／全文增量</t>
    </r>
    <r>
      <rPr>
        <sz val="11"/>
        <color rgb="FF20334A"/>
        <rFont val="Arial"/>
        <family val="2"/>
        <charset val="1"/>
      </rPr>
      <t xml:space="preserve">0</t>
    </r>
    <r>
      <rPr>
        <sz val="11"/>
        <color rgb="FF20334A"/>
        <rFont val="Noto Sans CJK SC"/>
        <family val="2"/>
        <charset val="1"/>
      </rPr>
      <t xml:space="preserve">。</t>
    </r>
  </si>
  <si>
    <t xml:space="preserve">Blue Cross (Asia-Pacific) Insurance Limited</t>
  </si>
  <si>
    <r>
      <rPr>
        <sz val="11"/>
        <color rgb="FF20334A"/>
        <rFont val="Noto Sans CJK SC"/>
        <family val="2"/>
        <charset val="1"/>
      </rPr>
      <t xml:space="preserve">保存</t>
    </r>
    <r>
      <rPr>
        <sz val="11"/>
        <color rgb="FF20334A"/>
        <rFont val="Arial"/>
        <family val="2"/>
        <charset val="1"/>
      </rPr>
      <t xml:space="preserve">HTTP</t>
    </r>
    <r>
      <rPr>
        <sz val="11"/>
        <color rgb="FF20334A"/>
        <rFont val="Noto Sans CJK SC"/>
        <family val="2"/>
        <charset val="1"/>
      </rPr>
      <t xml:space="preserve">元数据／</t>
    </r>
    <r>
      <rPr>
        <sz val="11"/>
        <color rgb="FF20334A"/>
        <rFont val="Arial"/>
        <family val="2"/>
        <charset val="1"/>
      </rPr>
      <t xml:space="preserve">Web</t>
    </r>
    <r>
      <rPr>
        <sz val="11"/>
        <color rgb="FF20334A"/>
        <rFont val="Noto Sans CJK SC"/>
        <family val="2"/>
        <charset val="1"/>
      </rPr>
      <t xml:space="preserve">表示及浏览器重建说明</t>
    </r>
  </si>
  <si>
    <r>
      <rPr>
        <sz val="11"/>
        <color rgb="FF20334A"/>
        <rFont val="Noto Sans CJK SC"/>
        <family val="2"/>
        <charset val="1"/>
      </rPr>
      <t xml:space="preserve">未保存响应正文及正文哈希。浏览器说明为转录／重建，无原始轨迹可独立回放；不是视觉</t>
    </r>
    <r>
      <rPr>
        <sz val="11"/>
        <color rgb="FF20334A"/>
        <rFont val="Arial"/>
        <family val="2"/>
        <charset val="1"/>
      </rPr>
      <t xml:space="preserve">QA</t>
    </r>
    <r>
      <rPr>
        <sz val="11"/>
        <color rgb="FF20334A"/>
        <rFont val="Noto Sans CJK SC"/>
        <family val="2"/>
        <charset val="1"/>
      </rPr>
      <t xml:space="preserve">或穷尽证明。</t>
    </r>
  </si>
  <si>
    <t xml:space="preserve">LABEL:4561aae1f795034398df7241</t>
  </si>
  <si>
    <t xml:space="preserve">B13-HK-002</t>
  </si>
  <si>
    <r>
      <rPr>
        <sz val="11"/>
        <color rgb="FF20334A"/>
        <rFont val="Arial"/>
        <family val="2"/>
        <charset val="1"/>
      </rPr>
      <t xml:space="preserve">Trinity</t>
    </r>
    <r>
      <rPr>
        <sz val="11"/>
        <color rgb="FF20334A"/>
        <rFont val="Noto Sans CJK SC"/>
        <family val="2"/>
        <charset val="1"/>
      </rPr>
      <t xml:space="preserve">车险落地页／支持页</t>
    </r>
    <r>
      <rPr>
        <sz val="11"/>
        <color rgb="FF20334A"/>
        <rFont val="Arial"/>
        <family val="2"/>
        <charset val="1"/>
      </rPr>
      <t xml:space="preserve">200</t>
    </r>
    <r>
      <rPr>
        <sz val="11"/>
        <color rgb="FF20334A"/>
        <rFont val="Noto Sans CJK SC"/>
        <family val="2"/>
        <charset val="1"/>
      </rPr>
      <t xml:space="preserve">元数据；静态与重建浏览器</t>
    </r>
    <r>
      <rPr>
        <sz val="11"/>
        <color rgb="FF20334A"/>
        <rFont val="Arial"/>
        <family val="2"/>
        <charset val="1"/>
      </rPr>
      <t xml:space="preserve">DOM</t>
    </r>
    <r>
      <rPr>
        <sz val="11"/>
        <color rgb="FF20334A"/>
        <rFont val="Noto Sans CJK SC"/>
        <family val="2"/>
        <charset val="1"/>
      </rPr>
      <t xml:space="preserve">记录未解析确切条款</t>
    </r>
    <r>
      <rPr>
        <sz val="11"/>
        <color rgb="FF20334A"/>
        <rFont val="Arial"/>
        <family val="2"/>
        <charset val="1"/>
      </rPr>
      <t xml:space="preserve">URL</t>
    </r>
    <r>
      <rPr>
        <sz val="11"/>
        <color rgb="FF20334A"/>
        <rFont val="Noto Sans CJK SC"/>
        <family val="2"/>
        <charset val="1"/>
      </rPr>
      <t xml:space="preserve">，</t>
    </r>
    <r>
      <rPr>
        <sz val="11"/>
        <color rgb="FF20334A"/>
        <rFont val="Arial"/>
        <family val="2"/>
        <charset val="1"/>
      </rPr>
      <t xml:space="preserve">B13</t>
    </r>
    <r>
      <rPr>
        <sz val="11"/>
        <color rgb="FF20334A"/>
        <rFont val="Noto Sans CJK SC"/>
        <family val="2"/>
        <charset val="1"/>
      </rPr>
      <t xml:space="preserve">未测试点击。</t>
    </r>
  </si>
  <si>
    <r>
      <rPr>
        <sz val="11"/>
        <color rgb="FF20334A"/>
        <rFont val="Arial"/>
        <family val="2"/>
        <charset val="1"/>
      </rPr>
      <t xml:space="preserve">B13</t>
    </r>
    <r>
      <rPr>
        <sz val="11"/>
        <color rgb="FF20334A"/>
        <rFont val="Noto Sans CJK SC"/>
        <family val="2"/>
        <charset val="1"/>
      </rPr>
      <t xml:space="preserve">独立</t>
    </r>
    <r>
      <rPr>
        <sz val="11"/>
        <color rgb="FF20334A"/>
        <rFont val="Arial"/>
        <family val="2"/>
        <charset val="1"/>
      </rPr>
      <t xml:space="preserve">QA · B13-HK-002</t>
    </r>
    <r>
      <rPr>
        <sz val="11"/>
        <color rgb="FF20334A"/>
        <rFont val="Noto Sans CJK SC"/>
        <family val="2"/>
        <charset val="1"/>
      </rPr>
      <t xml:space="preserve">；限定路线证据，原件／全文增量</t>
    </r>
    <r>
      <rPr>
        <sz val="11"/>
        <color rgb="FF20334A"/>
        <rFont val="Arial"/>
        <family val="2"/>
        <charset val="1"/>
      </rPr>
      <t xml:space="preserve">0</t>
    </r>
    <r>
      <rPr>
        <sz val="11"/>
        <color rgb="FF20334A"/>
        <rFont val="Noto Sans CJK SC"/>
        <family val="2"/>
        <charset val="1"/>
      </rPr>
      <t xml:space="preserve">。</t>
    </r>
  </si>
  <si>
    <t xml:space="preserve">Trinity General Insurance Company Limited</t>
  </si>
  <si>
    <t xml:space="preserve">LABEL:49e19b862a559b1acd51270c</t>
  </si>
  <si>
    <t xml:space="preserve">B13-HK-003</t>
  </si>
  <si>
    <r>
      <rPr>
        <sz val="11"/>
        <color rgb="FF20334A"/>
        <rFont val="Arial"/>
        <family val="2"/>
        <charset val="1"/>
      </rPr>
      <t xml:space="preserve">Trinity TripCover</t>
    </r>
    <r>
      <rPr>
        <sz val="11"/>
        <color rgb="FF20334A"/>
        <rFont val="Noto Sans CJK SC"/>
        <family val="2"/>
        <charset val="1"/>
      </rPr>
      <t xml:space="preserve">落地页／支持页</t>
    </r>
    <r>
      <rPr>
        <sz val="11"/>
        <color rgb="FF20334A"/>
        <rFont val="Arial"/>
        <family val="2"/>
        <charset val="1"/>
      </rPr>
      <t xml:space="preserve">200</t>
    </r>
    <r>
      <rPr>
        <sz val="11"/>
        <color rgb="FF20334A"/>
        <rFont val="Noto Sans CJK SC"/>
        <family val="2"/>
        <charset val="1"/>
      </rPr>
      <t xml:space="preserve">元数据；</t>
    </r>
    <r>
      <rPr>
        <sz val="11"/>
        <color rgb="FF20334A"/>
        <rFont val="Arial"/>
        <family val="2"/>
        <charset val="1"/>
      </rPr>
      <t xml:space="preserve">SPAN</t>
    </r>
    <r>
      <rPr>
        <sz val="11"/>
        <color rgb="FF20334A"/>
        <rFont val="Noto Sans CJK SC"/>
        <family val="2"/>
        <charset val="1"/>
      </rPr>
      <t xml:space="preserve">无</t>
    </r>
    <r>
      <rPr>
        <sz val="11"/>
        <color rgb="FF20334A"/>
        <rFont val="Arial"/>
        <family val="2"/>
        <charset val="1"/>
      </rPr>
      <t xml:space="preserve">href</t>
    </r>
    <r>
      <rPr>
        <sz val="11"/>
        <color rgb="FF20334A"/>
        <rFont val="Noto Sans CJK SC"/>
        <family val="2"/>
        <charset val="1"/>
      </rPr>
      <t xml:space="preserve">不排除事件处理器或动态下载。</t>
    </r>
  </si>
  <si>
    <r>
      <rPr>
        <sz val="11"/>
        <color rgb="FF20334A"/>
        <rFont val="Arial"/>
        <family val="2"/>
        <charset val="1"/>
      </rPr>
      <t xml:space="preserve">B13</t>
    </r>
    <r>
      <rPr>
        <sz val="11"/>
        <color rgb="FF20334A"/>
        <rFont val="Noto Sans CJK SC"/>
        <family val="2"/>
        <charset val="1"/>
      </rPr>
      <t xml:space="preserve">独立</t>
    </r>
    <r>
      <rPr>
        <sz val="11"/>
        <color rgb="FF20334A"/>
        <rFont val="Arial"/>
        <family val="2"/>
        <charset val="1"/>
      </rPr>
      <t xml:space="preserve">QA · B13-HK-003</t>
    </r>
    <r>
      <rPr>
        <sz val="11"/>
        <color rgb="FF20334A"/>
        <rFont val="Noto Sans CJK SC"/>
        <family val="2"/>
        <charset val="1"/>
      </rPr>
      <t xml:space="preserve">；限定路线证据，原件／全文增量</t>
    </r>
    <r>
      <rPr>
        <sz val="11"/>
        <color rgb="FF20334A"/>
        <rFont val="Arial"/>
        <family val="2"/>
        <charset val="1"/>
      </rPr>
      <t xml:space="preserve">0</t>
    </r>
    <r>
      <rPr>
        <sz val="11"/>
        <color rgb="FF20334A"/>
        <rFont val="Noto Sans CJK SC"/>
        <family val="2"/>
        <charset val="1"/>
      </rPr>
      <t xml:space="preserve">。</t>
    </r>
  </si>
  <si>
    <t xml:space="preserve">LABEL:9464feb717becffdb641ebbb</t>
  </si>
  <si>
    <t xml:space="preserve">B13-PH-004</t>
  </si>
  <si>
    <t xml:space="preserve">菲律宾</t>
  </si>
  <si>
    <r>
      <rPr>
        <sz val="11"/>
        <color rgb="FF20334A"/>
        <rFont val="Arial"/>
        <family val="2"/>
        <charset val="1"/>
      </rPr>
      <t xml:space="preserve">365 Ready FAQ</t>
    </r>
    <r>
      <rPr>
        <sz val="11"/>
        <color rgb="FF20334A"/>
        <rFont val="Noto Sans CJK SC"/>
        <family val="2"/>
        <charset val="1"/>
      </rPr>
      <t xml:space="preserve">发现后，销售措辞与停用说明冲突保留。商店首次普通</t>
    </r>
    <r>
      <rPr>
        <sz val="11"/>
        <color rgb="FF20334A"/>
        <rFont val="Arial"/>
        <family val="2"/>
        <charset val="1"/>
      </rPr>
      <t xml:space="preserve">GET</t>
    </r>
    <r>
      <rPr>
        <sz val="11"/>
        <color rgb="FF20334A"/>
        <rFont val="Noto Sans CJK SC"/>
        <family val="2"/>
        <charset val="1"/>
      </rPr>
      <t xml:space="preserve">经两次</t>
    </r>
    <r>
      <rPr>
        <sz val="11"/>
        <color rgb="FF20334A"/>
        <rFont val="Arial"/>
        <family val="2"/>
        <charset val="1"/>
      </rPr>
      <t xml:space="preserve">301</t>
    </r>
    <r>
      <rPr>
        <sz val="11"/>
        <color rgb="FF20334A"/>
        <rFont val="Noto Sans CJK SC"/>
        <family val="2"/>
        <charset val="1"/>
      </rPr>
      <t xml:space="preserve">最终</t>
    </r>
    <r>
      <rPr>
        <sz val="11"/>
        <color rgb="FF20334A"/>
        <rFont val="Arial"/>
        <family val="2"/>
        <charset val="1"/>
      </rPr>
      <t xml:space="preserve">404</t>
    </r>
    <r>
      <rPr>
        <sz val="11"/>
        <color rgb="FF20334A"/>
        <rFont val="Noto Sans CJK SC"/>
        <family val="2"/>
        <charset val="1"/>
      </rPr>
      <t xml:space="preserve">；无主文取得。</t>
    </r>
  </si>
  <si>
    <r>
      <rPr>
        <sz val="11"/>
        <color rgb="FF20334A"/>
        <rFont val="Arial"/>
        <family val="2"/>
        <charset val="1"/>
      </rPr>
      <t xml:space="preserve">B13</t>
    </r>
    <r>
      <rPr>
        <sz val="11"/>
        <color rgb="FF20334A"/>
        <rFont val="Noto Sans CJK SC"/>
        <family val="2"/>
        <charset val="1"/>
      </rPr>
      <t xml:space="preserve">独立</t>
    </r>
    <r>
      <rPr>
        <sz val="11"/>
        <color rgb="FF20334A"/>
        <rFont val="Arial"/>
        <family val="2"/>
        <charset val="1"/>
      </rPr>
      <t xml:space="preserve">QA · B13-PH-004</t>
    </r>
    <r>
      <rPr>
        <sz val="11"/>
        <color rgb="FF20334A"/>
        <rFont val="Noto Sans CJK SC"/>
        <family val="2"/>
        <charset val="1"/>
      </rPr>
      <t xml:space="preserve">；限定路线证据，原件／全文增量</t>
    </r>
    <r>
      <rPr>
        <sz val="11"/>
        <color rgb="FF20334A"/>
        <rFont val="Arial"/>
        <family val="2"/>
        <charset val="1"/>
      </rPr>
      <t xml:space="preserve">0</t>
    </r>
    <r>
      <rPr>
        <sz val="11"/>
        <color rgb="FF20334A"/>
        <rFont val="Noto Sans CJK SC"/>
        <family val="2"/>
        <charset val="1"/>
      </rPr>
      <t xml:space="preserve">。</t>
    </r>
  </si>
  <si>
    <t xml:space="preserve">Manulife Philippines</t>
  </si>
  <si>
    <t xml:space="preserve">LABEL:ecafac96dcede66963310731</t>
  </si>
  <si>
    <t xml:space="preserve">B14-HK-001</t>
  </si>
  <si>
    <r>
      <rPr>
        <sz val="11"/>
        <color rgb="FF20334A"/>
        <rFont val="Arial"/>
        <family val="2"/>
        <charset val="1"/>
      </rPr>
      <t xml:space="preserve">Trinity</t>
    </r>
    <r>
      <rPr>
        <sz val="11"/>
        <color rgb="FF20334A"/>
        <rFont val="Noto Sans CJK SC"/>
        <family val="2"/>
        <charset val="1"/>
      </rPr>
      <t xml:space="preserve">车险条款标签单次只读点击，下载等待超时，未见新标签或取得文件；当前</t>
    </r>
    <r>
      <rPr>
        <sz val="11"/>
        <color rgb="FF20334A"/>
        <rFont val="Arial"/>
        <family val="2"/>
        <charset val="1"/>
      </rPr>
      <t xml:space="preserve">HTTP</t>
    </r>
    <r>
      <rPr>
        <sz val="11"/>
        <color rgb="FF20334A"/>
        <rFont val="Noto Sans CJK SC"/>
        <family val="2"/>
        <charset val="1"/>
      </rPr>
      <t xml:space="preserve">未暴露。</t>
    </r>
  </si>
  <si>
    <r>
      <rPr>
        <sz val="11"/>
        <color rgb="FF20334A"/>
        <rFont val="Arial"/>
        <family val="2"/>
        <charset val="1"/>
      </rPr>
      <t xml:space="preserve">B14</t>
    </r>
    <r>
      <rPr>
        <sz val="11"/>
        <color rgb="FF20334A"/>
        <rFont val="Noto Sans CJK SC"/>
        <family val="2"/>
        <charset val="1"/>
      </rPr>
      <t xml:space="preserve">独立</t>
    </r>
    <r>
      <rPr>
        <sz val="11"/>
        <color rgb="FF20334A"/>
        <rFont val="Arial"/>
        <family val="2"/>
        <charset val="1"/>
      </rPr>
      <t xml:space="preserve">QA · B14-HK-001</t>
    </r>
    <r>
      <rPr>
        <sz val="11"/>
        <color rgb="FF20334A"/>
        <rFont val="Noto Sans CJK SC"/>
        <family val="2"/>
        <charset val="1"/>
      </rPr>
      <t xml:space="preserve">；限定路线证据，原件／全文增量</t>
    </r>
    <r>
      <rPr>
        <sz val="11"/>
        <color rgb="FF20334A"/>
        <rFont val="Arial"/>
        <family val="2"/>
        <charset val="1"/>
      </rPr>
      <t xml:space="preserve">0</t>
    </r>
    <r>
      <rPr>
        <sz val="11"/>
        <color rgb="FF20334A"/>
        <rFont val="Noto Sans CJK SC"/>
        <family val="2"/>
        <charset val="1"/>
      </rPr>
      <t xml:space="preserve">。</t>
    </r>
  </si>
  <si>
    <r>
      <rPr>
        <sz val="11"/>
        <color rgb="FF20334A"/>
        <rFont val="Noto Sans CJK SC"/>
        <family val="2"/>
        <charset val="1"/>
      </rPr>
      <t xml:space="preserve">普通浏览器只读点击的保存元数据摘录；</t>
    </r>
    <r>
      <rPr>
        <sz val="11"/>
        <color rgb="FF20334A"/>
        <rFont val="Arial"/>
        <family val="2"/>
        <charset val="1"/>
      </rPr>
      <t xml:space="preserve">HTTP</t>
    </r>
    <r>
      <rPr>
        <sz val="11"/>
        <color rgb="FF20334A"/>
        <rFont val="Noto Sans CJK SC"/>
        <family val="2"/>
        <charset val="1"/>
      </rPr>
      <t xml:space="preserve">未知</t>
    </r>
  </si>
  <si>
    <t xml:space="preserve">保存的是工具元数据摘录，不是完整原始轨迹。时间为动作前后／等待完成上界；截图未保存供独立视觉复核。</t>
  </si>
  <si>
    <t xml:space="preserve">B14-HK-002</t>
  </si>
  <si>
    <r>
      <rPr>
        <sz val="11"/>
        <color rgb="FF20334A"/>
        <rFont val="Arial"/>
        <family val="2"/>
        <charset val="1"/>
      </rPr>
      <t xml:space="preserve">Trinity TripCover</t>
    </r>
    <r>
      <rPr>
        <sz val="11"/>
        <color rgb="FF20334A"/>
        <rFont val="Noto Sans CJK SC"/>
        <family val="2"/>
        <charset val="1"/>
      </rPr>
      <t xml:space="preserve">条款标签单次只读点击，下载等待超时；无文档</t>
    </r>
    <r>
      <rPr>
        <sz val="11"/>
        <color rgb="FF20334A"/>
        <rFont val="Arial"/>
        <family val="2"/>
        <charset val="1"/>
      </rPr>
      <t xml:space="preserve">URL</t>
    </r>
    <r>
      <rPr>
        <sz val="11"/>
        <color rgb="FF20334A"/>
        <rFont val="Noto Sans CJK SC"/>
        <family val="2"/>
        <charset val="1"/>
      </rPr>
      <t xml:space="preserve">／</t>
    </r>
    <r>
      <rPr>
        <sz val="11"/>
        <color rgb="FF20334A"/>
        <rFont val="Arial"/>
        <family val="2"/>
        <charset val="1"/>
      </rPr>
      <t xml:space="preserve">PDF</t>
    </r>
    <r>
      <rPr>
        <sz val="11"/>
        <color rgb="FF20334A"/>
        <rFont val="Noto Sans CJK SC"/>
        <family val="2"/>
        <charset val="1"/>
      </rPr>
      <t xml:space="preserve">。未重试旧</t>
    </r>
    <r>
      <rPr>
        <sz val="11"/>
        <color rgb="FF20334A"/>
        <rFont val="Arial"/>
        <family val="2"/>
        <charset val="1"/>
      </rPr>
      <t xml:space="preserve">404</t>
    </r>
    <r>
      <rPr>
        <sz val="11"/>
        <color rgb="FF20334A"/>
        <rFont val="Noto Sans CJK SC"/>
        <family val="2"/>
        <charset val="1"/>
      </rPr>
      <t xml:space="preserve">路线。</t>
    </r>
  </si>
  <si>
    <r>
      <rPr>
        <sz val="11"/>
        <color rgb="FF20334A"/>
        <rFont val="Arial"/>
        <family val="2"/>
        <charset val="1"/>
      </rPr>
      <t xml:space="preserve">B14</t>
    </r>
    <r>
      <rPr>
        <sz val="11"/>
        <color rgb="FF20334A"/>
        <rFont val="Noto Sans CJK SC"/>
        <family val="2"/>
        <charset val="1"/>
      </rPr>
      <t xml:space="preserve">独立</t>
    </r>
    <r>
      <rPr>
        <sz val="11"/>
        <color rgb="FF20334A"/>
        <rFont val="Arial"/>
        <family val="2"/>
        <charset val="1"/>
      </rPr>
      <t xml:space="preserve">QA · B14-HK-002</t>
    </r>
    <r>
      <rPr>
        <sz val="11"/>
        <color rgb="FF20334A"/>
        <rFont val="Noto Sans CJK SC"/>
        <family val="2"/>
        <charset val="1"/>
      </rPr>
      <t xml:space="preserve">；限定路线证据，原件／全文增量</t>
    </r>
    <r>
      <rPr>
        <sz val="11"/>
        <color rgb="FF20334A"/>
        <rFont val="Arial"/>
        <family val="2"/>
        <charset val="1"/>
      </rPr>
      <t xml:space="preserve">0</t>
    </r>
    <r>
      <rPr>
        <sz val="11"/>
        <color rgb="FF20334A"/>
        <rFont val="Noto Sans CJK SC"/>
        <family val="2"/>
        <charset val="1"/>
      </rPr>
      <t xml:space="preserve">。</t>
    </r>
  </si>
  <si>
    <t xml:space="preserve">产品／组件</t>
  </si>
  <si>
    <r>
      <rPr>
        <b val="true"/>
        <sz val="11"/>
        <color rgb="FFFFFFFF"/>
        <rFont val="Noto Sans CJK SC"/>
        <family val="2"/>
        <charset val="1"/>
      </rPr>
      <t xml:space="preserve">原始产品</t>
    </r>
    <r>
      <rPr>
        <b val="true"/>
        <sz val="11"/>
        <color rgb="FFFFFFFF"/>
        <rFont val="Arial"/>
        <family val="0"/>
        <charset val="1"/>
      </rPr>
      <t xml:space="preserve">ID</t>
    </r>
  </si>
  <si>
    <t xml:space="preserve">任务单位</t>
  </si>
  <si>
    <t xml:space="preserve">交付要求</t>
  </si>
  <si>
    <t xml:space="preserve">期初状态</t>
  </si>
  <si>
    <t xml:space="preserve">期初下一步</t>
  </si>
  <si>
    <r>
      <rPr>
        <b val="true"/>
        <sz val="11"/>
        <color rgb="FFFFFFFF"/>
        <rFont val="Noto Sans CJK SC"/>
        <family val="2"/>
        <charset val="1"/>
      </rPr>
      <t xml:space="preserve">来源</t>
    </r>
    <r>
      <rPr>
        <b val="true"/>
        <sz val="11"/>
        <color rgb="FFFFFFFF"/>
        <rFont val="Arial"/>
        <family val="0"/>
        <charset val="1"/>
      </rPr>
      <t xml:space="preserve">ID</t>
    </r>
  </si>
  <si>
    <t xml:space="preserve">期初验收证据</t>
  </si>
  <si>
    <t xml:space="preserve">期初完成日</t>
  </si>
  <si>
    <t xml:space="preserve">期初验收判定</t>
  </si>
  <si>
    <r>
      <rPr>
        <sz val="11"/>
        <color rgb="FF20334A"/>
        <rFont val="Arial"/>
        <family val="0"/>
        <charset val="1"/>
      </rPr>
      <t xml:space="preserve">AIA </t>
    </r>
    <r>
      <rPr>
        <sz val="11"/>
        <color rgb="FF20334A"/>
        <rFont val="Noto Sans CJK SC"/>
        <family val="2"/>
        <charset val="1"/>
      </rPr>
      <t xml:space="preserve">友邦香港</t>
    </r>
  </si>
  <si>
    <r>
      <rPr>
        <sz val="11"/>
        <color rgb="FF20334A"/>
        <rFont val="Noto Sans CJK SC"/>
        <family val="2"/>
        <charset val="1"/>
      </rPr>
      <t xml:space="preserve">「簡愛‧延續」儲蓄保險計劃</t>
    </r>
    <r>
      <rPr>
        <sz val="11"/>
        <color rgb="FF20334A"/>
        <rFont val="Arial"/>
        <family val="0"/>
        <charset val="1"/>
      </rPr>
      <t xml:space="preserve">5</t>
    </r>
  </si>
  <si>
    <r>
      <rPr>
        <sz val="11"/>
        <color rgb="FF20334A"/>
        <rFont val="Noto Sans CJK SC"/>
        <family val="2"/>
        <charset val="1"/>
      </rPr>
      <t xml:space="preserve">保留准确产品身份、页面</t>
    </r>
    <r>
      <rPr>
        <sz val="11"/>
        <color rgb="FF20334A"/>
        <rFont val="Arial"/>
        <family val="0"/>
        <charset val="1"/>
      </rPr>
      <t xml:space="preserve">/</t>
    </r>
    <r>
      <rPr>
        <sz val="11"/>
        <color rgb="FF20334A"/>
        <rFont val="Noto Sans CJK SC"/>
        <family val="2"/>
        <charset val="1"/>
      </rPr>
      <t xml:space="preserve">附件</t>
    </r>
    <r>
      <rPr>
        <sz val="11"/>
        <color rgb="FF20334A"/>
        <rFont val="Arial"/>
        <family val="0"/>
        <charset val="1"/>
      </rPr>
      <t xml:space="preserve">URL</t>
    </r>
    <r>
      <rPr>
        <sz val="11"/>
        <color rgb="FF20334A"/>
        <rFont val="Noto Sans CJK SC"/>
        <family val="2"/>
        <charset val="1"/>
      </rPr>
      <t xml:space="preserve">、访问时间与结果；主文取得与路线处理完成分开；无正文仍可交付明确缺口，不算产品齐备</t>
    </r>
  </si>
  <si>
    <t xml:space="preserve">已冻结</t>
  </si>
  <si>
    <t xml:space="preserve">按该产品官方页及可见附件逐项检查；有明确同产品销售来源才进入第二层；取得匹配主文即转核验，否则记录缺件与停止原因</t>
  </si>
  <si>
    <t xml:space="preserve">SRC-D1-HK-001</t>
  </si>
  <si>
    <r>
      <rPr>
        <sz val="11"/>
        <color rgb="FF20334A"/>
        <rFont val="Arial"/>
        <family val="0"/>
        <charset val="1"/>
      </rPr>
      <t xml:space="preserve">Manulife </t>
    </r>
    <r>
      <rPr>
        <sz val="11"/>
        <color rgb="FF20334A"/>
        <rFont val="Noto Sans CJK SC"/>
        <family val="2"/>
        <charset val="1"/>
      </rPr>
      <t xml:space="preserve">宏利香港</t>
    </r>
  </si>
  <si>
    <t xml:space="preserve">宏瑞終身即期年金保險計劃</t>
  </si>
  <si>
    <t xml:space="preserve">SRC-D1-HK-002</t>
  </si>
  <si>
    <r>
      <rPr>
        <sz val="11"/>
        <color rgb="FF20334A"/>
        <rFont val="Arial"/>
        <family val="0"/>
        <charset val="1"/>
      </rPr>
      <t xml:space="preserve">Prudential </t>
    </r>
    <r>
      <rPr>
        <sz val="11"/>
        <color rgb="FF20334A"/>
        <rFont val="Noto Sans CJK SC"/>
        <family val="2"/>
        <charset val="1"/>
      </rPr>
      <t xml:space="preserve">保诚香港</t>
    </r>
  </si>
  <si>
    <t xml:space="preserve">Prime Horizon Insurance Plan</t>
  </si>
  <si>
    <t xml:space="preserve">SRC-D1-HK-003</t>
  </si>
  <si>
    <r>
      <rPr>
        <sz val="11"/>
        <color rgb="FF20334A"/>
        <rFont val="Arial"/>
        <family val="0"/>
        <charset val="1"/>
      </rPr>
      <t xml:space="preserve">Sun Life </t>
    </r>
    <r>
      <rPr>
        <sz val="11"/>
        <color rgb="FF20334A"/>
        <rFont val="Noto Sans CJK SC"/>
        <family val="2"/>
        <charset val="1"/>
      </rPr>
      <t xml:space="preserve">永明香港</t>
    </r>
  </si>
  <si>
    <t xml:space="preserve">永譽傳承儲蓄計劃</t>
  </si>
  <si>
    <t xml:space="preserve">SRC-D1-HK-004</t>
  </si>
  <si>
    <r>
      <rPr>
        <sz val="11"/>
        <color rgb="FF20334A"/>
        <rFont val="Arial"/>
        <family val="0"/>
        <charset val="1"/>
      </rPr>
      <t xml:space="preserve">Travel Protector 2024</t>
    </r>
    <r>
      <rPr>
        <sz val="11"/>
        <color rgb="FF20334A"/>
        <rFont val="Noto Sans CJK SC"/>
        <family val="2"/>
        <charset val="1"/>
      </rPr>
      <t xml:space="preserve">基准主文的现行</t>
    </r>
    <r>
      <rPr>
        <sz val="11"/>
        <color rgb="FF20334A"/>
        <rFont val="Arial"/>
        <family val="0"/>
        <charset val="1"/>
      </rPr>
      <t xml:space="preserve">COVID-19</t>
    </r>
    <r>
      <rPr>
        <sz val="11"/>
        <color rgb="FF20334A"/>
        <rFont val="Noto Sans CJK SC"/>
        <family val="2"/>
        <charset val="1"/>
      </rPr>
      <t xml:space="preserve">扩展</t>
    </r>
    <r>
      <rPr>
        <sz val="11"/>
        <color rgb="FF20334A"/>
        <rFont val="Arial"/>
        <family val="0"/>
        <charset val="1"/>
      </rPr>
      <t xml:space="preserve">/</t>
    </r>
    <r>
      <rPr>
        <sz val="11"/>
        <color rgb="FF20334A"/>
        <rFont val="Noto Sans CJK SC"/>
        <family val="2"/>
        <charset val="1"/>
      </rPr>
      <t xml:space="preserve">批单</t>
    </r>
  </si>
  <si>
    <r>
      <rPr>
        <sz val="11"/>
        <color rgb="FF20334A"/>
        <rFont val="Noto Sans CJK SC"/>
        <family val="2"/>
        <charset val="1"/>
      </rPr>
      <t xml:space="preserve">取得准确组件且有采用依据，或交付确定缺件与已查路线；保留已核</t>
    </r>
    <r>
      <rPr>
        <sz val="11"/>
        <color rgb="FF20334A"/>
        <rFont val="Arial"/>
        <family val="0"/>
        <charset val="1"/>
      </rPr>
      <t xml:space="preserve">26</t>
    </r>
    <r>
      <rPr>
        <sz val="11"/>
        <color rgb="FF20334A"/>
        <rFont val="Noto Sans CJK SC"/>
        <family val="2"/>
        <charset val="1"/>
      </rPr>
      <t xml:space="preserve">页主文，不升级整套齐备</t>
    </r>
  </si>
  <si>
    <r>
      <rPr>
        <sz val="11"/>
        <color rgb="FF20334A"/>
        <rFont val="Noto Sans CJK SC"/>
        <family val="2"/>
        <charset val="1"/>
      </rPr>
      <t xml:space="preserve">仅围绕当前官方</t>
    </r>
    <r>
      <rPr>
        <sz val="11"/>
        <color rgb="FF20334A"/>
        <rFont val="Arial"/>
        <family val="0"/>
        <charset val="1"/>
      </rPr>
      <t xml:space="preserve">1026</t>
    </r>
    <r>
      <rPr>
        <sz val="11"/>
        <color rgb="FF20334A"/>
        <rFont val="Noto Sans CJK SC"/>
        <family val="2"/>
        <charset val="1"/>
      </rPr>
      <t xml:space="preserve">宣传册</t>
    </r>
    <r>
      <rPr>
        <sz val="11"/>
        <color rgb="FF20334A"/>
        <rFont val="Arial"/>
        <family val="0"/>
        <charset val="1"/>
      </rPr>
      <t xml:space="preserve">40–48</t>
    </r>
    <r>
      <rPr>
        <sz val="11"/>
        <color rgb="FF20334A"/>
        <rFont val="Noto Sans CJK SC"/>
        <family val="2"/>
        <charset val="1"/>
      </rPr>
      <t xml:space="preserve">项</t>
    </r>
    <r>
      <rPr>
        <sz val="11"/>
        <color rgb="FF20334A"/>
        <rFont val="Arial"/>
        <family val="0"/>
        <charset val="1"/>
      </rPr>
      <t xml:space="preserve">COVID</t>
    </r>
    <r>
      <rPr>
        <sz val="11"/>
        <color rgb="FF20334A"/>
        <rFont val="Noto Sans CJK SC"/>
        <family val="2"/>
        <charset val="1"/>
      </rPr>
      <t xml:space="preserve">保障寻找明确采用的扩展或批单；比对</t>
    </r>
    <r>
      <rPr>
        <sz val="11"/>
        <color rgb="FF20334A"/>
        <rFont val="Arial"/>
        <family val="0"/>
        <charset val="1"/>
      </rPr>
      <t xml:space="preserve">2024</t>
    </r>
    <r>
      <rPr>
        <sz val="11"/>
        <color rgb="FF20334A"/>
        <rFont val="Noto Sans CJK SC"/>
        <family val="2"/>
        <charset val="1"/>
      </rPr>
      <t xml:space="preserve">主文第</t>
    </r>
    <r>
      <rPr>
        <sz val="11"/>
        <color rgb="FF20334A"/>
        <rFont val="Arial"/>
        <family val="0"/>
        <charset val="1"/>
      </rPr>
      <t xml:space="preserve">14</t>
    </r>
    <r>
      <rPr>
        <sz val="11"/>
        <color rgb="FF20334A"/>
        <rFont val="Noto Sans CJK SC"/>
        <family val="2"/>
        <charset val="1"/>
      </rPr>
      <t xml:space="preserve">页</t>
    </r>
    <r>
      <rPr>
        <sz val="11"/>
        <color rgb="FF20334A"/>
        <rFont val="Arial"/>
        <family val="0"/>
        <charset val="1"/>
      </rPr>
      <t xml:space="preserve">COVID</t>
    </r>
    <r>
      <rPr>
        <sz val="11"/>
        <color rgb="FF20334A"/>
        <rFont val="Noto Sans CJK SC"/>
        <family val="2"/>
        <charset val="1"/>
      </rPr>
      <t xml:space="preserve">除外及计划差异</t>
    </r>
  </si>
  <si>
    <t xml:space="preserve">SRC-D1-SG-001</t>
  </si>
  <si>
    <r>
      <rPr>
        <sz val="11"/>
        <color rgb="FF20334A"/>
        <rFont val="Arial"/>
        <family val="0"/>
        <charset val="1"/>
      </rPr>
      <t xml:space="preserve">Home Protector 360 06/20</t>
    </r>
    <r>
      <rPr>
        <sz val="11"/>
        <color rgb="FF20334A"/>
        <rFont val="Noto Sans CJK SC"/>
        <family val="2"/>
        <charset val="1"/>
      </rPr>
      <t xml:space="preserve">版的现行采用与</t>
    </r>
    <r>
      <rPr>
        <sz val="11"/>
        <color rgb="FF20334A"/>
        <rFont val="Arial"/>
        <family val="0"/>
        <charset val="1"/>
      </rPr>
      <t xml:space="preserve">Basic</t>
    </r>
    <r>
      <rPr>
        <sz val="11"/>
        <color rgb="FF20334A"/>
        <rFont val="Noto Sans CJK SC"/>
        <family val="2"/>
        <charset val="1"/>
      </rPr>
      <t xml:space="preserve">隔离</t>
    </r>
  </si>
  <si>
    <r>
      <rPr>
        <sz val="11"/>
        <color rgb="FF20334A"/>
        <rFont val="Noto Sans CJK SC"/>
        <family val="2"/>
        <charset val="1"/>
      </rPr>
      <t xml:space="preserve">提供准确版次采用证据或保持未证；</t>
    </r>
    <r>
      <rPr>
        <sz val="11"/>
        <color rgb="FF20334A"/>
        <rFont val="Arial"/>
        <family val="0"/>
        <charset val="1"/>
      </rPr>
      <t xml:space="preserve">360</t>
    </r>
    <r>
      <rPr>
        <sz val="11"/>
        <color rgb="FF20334A"/>
        <rFont val="Noto Sans CJK SC"/>
        <family val="2"/>
        <charset val="1"/>
      </rPr>
      <t xml:space="preserve">与</t>
    </r>
    <r>
      <rPr>
        <sz val="11"/>
        <color rgb="FF20334A"/>
        <rFont val="Arial"/>
        <family val="0"/>
        <charset val="1"/>
      </rPr>
      <t xml:space="preserve">Basic</t>
    </r>
    <r>
      <rPr>
        <sz val="11"/>
        <color rgb="FF20334A"/>
        <rFont val="Noto Sans CJK SC"/>
        <family val="2"/>
        <charset val="1"/>
      </rPr>
      <t xml:space="preserve">分开；不把宣传册目录</t>
    </r>
    <r>
      <rPr>
        <sz val="11"/>
        <color rgb="FF20334A"/>
        <rFont val="Arial"/>
        <family val="0"/>
        <charset val="1"/>
      </rPr>
      <t xml:space="preserve">2018/09</t>
    </r>
    <r>
      <rPr>
        <sz val="11"/>
        <color rgb="FF20334A"/>
        <rFont val="Noto Sans CJK SC"/>
        <family val="2"/>
        <charset val="1"/>
      </rPr>
      <t xml:space="preserve">当版本</t>
    </r>
  </si>
  <si>
    <r>
      <rPr>
        <sz val="11"/>
        <color rgb="FF20334A"/>
        <rFont val="Noto Sans CJK SC"/>
        <family val="2"/>
        <charset val="1"/>
      </rPr>
      <t xml:space="preserve">核</t>
    </r>
    <r>
      <rPr>
        <sz val="11"/>
        <color rgb="FF20334A"/>
        <rFont val="Arial"/>
        <family val="0"/>
        <charset val="1"/>
      </rPr>
      <t xml:space="preserve">0326</t>
    </r>
    <r>
      <rPr>
        <sz val="11"/>
        <color rgb="FF20334A"/>
        <rFont val="Noto Sans CJK SC"/>
        <family val="2"/>
        <charset val="1"/>
      </rPr>
      <t xml:space="preserve">官方宣传册</t>
    </r>
    <r>
      <rPr>
        <sz val="11"/>
        <color rgb="FF20334A"/>
        <rFont val="Arial"/>
        <family val="0"/>
        <charset val="1"/>
      </rPr>
      <t xml:space="preserve">/</t>
    </r>
    <r>
      <rPr>
        <sz val="11"/>
        <color rgb="FF20334A"/>
        <rFont val="Noto Sans CJK SC"/>
        <family val="2"/>
        <charset val="1"/>
      </rPr>
      <t xml:space="preserve">产品页是否明确采用</t>
    </r>
    <r>
      <rPr>
        <sz val="11"/>
        <color rgb="FF20334A"/>
        <rFont val="Arial"/>
        <family val="0"/>
        <charset val="1"/>
      </rPr>
      <t xml:space="preserve">06/20</t>
    </r>
    <r>
      <rPr>
        <sz val="11"/>
        <color rgb="FF20334A"/>
        <rFont val="Noto Sans CJK SC"/>
        <family val="2"/>
        <charset val="1"/>
      </rPr>
      <t xml:space="preserve">主文或有替代版；</t>
    </r>
    <r>
      <rPr>
        <sz val="11"/>
        <color rgb="FF20334A"/>
        <rFont val="Arial"/>
        <family val="0"/>
        <charset val="1"/>
      </rPr>
      <t xml:space="preserve">Basic</t>
    </r>
    <r>
      <rPr>
        <sz val="11"/>
        <color rgb="FF20334A"/>
        <rFont val="Noto Sans CJK SC"/>
        <family val="2"/>
        <charset val="1"/>
      </rPr>
      <t xml:space="preserve">单列缺口，不把</t>
    </r>
    <r>
      <rPr>
        <sz val="11"/>
        <color rgb="FF20334A"/>
        <rFont val="Arial"/>
        <family val="0"/>
        <charset val="1"/>
      </rPr>
      <t xml:space="preserve">360</t>
    </r>
    <r>
      <rPr>
        <sz val="11"/>
        <color rgb="FF20334A"/>
        <rFont val="Noto Sans CJK SC"/>
        <family val="2"/>
        <charset val="1"/>
      </rPr>
      <t xml:space="preserve">套给</t>
    </r>
    <r>
      <rPr>
        <sz val="11"/>
        <color rgb="FF20334A"/>
        <rFont val="Arial"/>
        <family val="0"/>
        <charset val="1"/>
      </rPr>
      <t xml:space="preserve">Basic</t>
    </r>
  </si>
  <si>
    <t xml:space="preserve">SRC-D1-SG-002</t>
  </si>
  <si>
    <r>
      <rPr>
        <sz val="11"/>
        <color rgb="FF20334A"/>
        <rFont val="Arial"/>
        <family val="0"/>
        <charset val="1"/>
      </rPr>
      <t xml:space="preserve">FOCUS UWWS PR00030 09/25</t>
    </r>
    <r>
      <rPr>
        <sz val="11"/>
        <color rgb="FF20334A"/>
        <rFont val="Noto Sans CJK SC"/>
        <family val="2"/>
        <charset val="1"/>
      </rPr>
      <t xml:space="preserve">页序与完整性</t>
    </r>
  </si>
  <si>
    <r>
      <rPr>
        <sz val="11"/>
        <color rgb="FF20334A"/>
        <rFont val="Noto Sans CJK SC"/>
        <family val="2"/>
        <charset val="1"/>
      </rPr>
      <t xml:space="preserve">逐页页码</t>
    </r>
    <r>
      <rPr>
        <sz val="11"/>
        <color rgb="FF20334A"/>
        <rFont val="Arial"/>
        <family val="0"/>
        <charset val="1"/>
      </rPr>
      <t xml:space="preserve">/</t>
    </r>
    <r>
      <rPr>
        <sz val="11"/>
        <color rgb="FF20334A"/>
        <rFont val="Noto Sans CJK SC"/>
        <family val="2"/>
        <charset val="1"/>
      </rPr>
      <t xml:space="preserve">内容连续性记录及缺页判定依据；未能消除疑点则保留未完整，不升级主文缺口或新增文件</t>
    </r>
  </si>
  <si>
    <r>
      <rPr>
        <sz val="11"/>
        <color rgb="FF20334A"/>
        <rFont val="Noto Sans CJK SC"/>
        <family val="2"/>
        <charset val="1"/>
      </rPr>
      <t xml:space="preserve">仅核现有</t>
    </r>
    <r>
      <rPr>
        <sz val="11"/>
        <color rgb="FF20334A"/>
        <rFont val="Arial"/>
        <family val="0"/>
        <charset val="1"/>
      </rPr>
      <t xml:space="preserve">21</t>
    </r>
    <r>
      <rPr>
        <sz val="11"/>
        <color rgb="FF20334A"/>
        <rFont val="Noto Sans CJK SC"/>
        <family val="2"/>
        <charset val="1"/>
      </rPr>
      <t xml:space="preserve">物理页与正文页脚</t>
    </r>
    <r>
      <rPr>
        <sz val="11"/>
        <color rgb="FF20334A"/>
        <rFont val="Arial"/>
        <family val="0"/>
        <charset val="1"/>
      </rPr>
      <t xml:space="preserve">24</t>
    </r>
    <r>
      <rPr>
        <sz val="11"/>
        <color rgb="FF20334A"/>
        <rFont val="Noto Sans CJK SC"/>
        <family val="2"/>
        <charset val="1"/>
      </rPr>
      <t xml:space="preserve">页标注的关系；对照目录</t>
    </r>
    <r>
      <rPr>
        <sz val="11"/>
        <color rgb="FF20334A"/>
        <rFont val="Arial"/>
        <family val="0"/>
        <charset val="1"/>
      </rPr>
      <t xml:space="preserve">/</t>
    </r>
    <r>
      <rPr>
        <sz val="11"/>
        <color rgb="FF20334A"/>
        <rFont val="Noto Sans CJK SC"/>
        <family val="2"/>
        <charset val="1"/>
      </rPr>
      <t xml:space="preserve">段落</t>
    </r>
    <r>
      <rPr>
        <sz val="11"/>
        <color rgb="FF20334A"/>
        <rFont val="Arial"/>
        <family val="0"/>
        <charset val="1"/>
      </rPr>
      <t xml:space="preserve">/</t>
    </r>
    <r>
      <rPr>
        <sz val="11"/>
        <color rgb="FF20334A"/>
        <rFont val="Noto Sans CJK SC"/>
        <family val="2"/>
        <charset val="1"/>
      </rPr>
      <t xml:space="preserve">末页和官方同版说明，不因物理页差直接断言缺</t>
    </r>
    <r>
      <rPr>
        <sz val="11"/>
        <color rgb="FF20334A"/>
        <rFont val="Arial"/>
        <family val="0"/>
        <charset val="1"/>
      </rPr>
      <t xml:space="preserve">3</t>
    </r>
    <r>
      <rPr>
        <sz val="11"/>
        <color rgb="FF20334A"/>
        <rFont val="Noto Sans CJK SC"/>
        <family val="2"/>
        <charset val="1"/>
      </rPr>
      <t xml:space="preserve">页</t>
    </r>
  </si>
  <si>
    <t xml:space="preserve">SRC-D1-SG-003</t>
  </si>
  <si>
    <t xml:space="preserve">Cancer Plan Master Policy</t>
  </si>
  <si>
    <r>
      <rPr>
        <sz val="11"/>
        <color rgb="FF20334A"/>
        <rFont val="Noto Sans CJK SC"/>
        <family val="2"/>
        <charset val="1"/>
      </rPr>
      <t xml:space="preserve">逐页完成清单</t>
    </r>
    <r>
      <rPr>
        <sz val="11"/>
        <color rgb="FF20334A"/>
        <rFont val="Arial"/>
        <family val="0"/>
        <charset val="1"/>
      </rPr>
      <t xml:space="preserve">+</t>
    </r>
    <r>
      <rPr>
        <sz val="11"/>
        <color rgb="FF20334A"/>
        <rFont val="Noto Sans CJK SC"/>
        <family val="2"/>
        <charset val="1"/>
      </rPr>
      <t xml:space="preserve">角色与主体</t>
    </r>
    <r>
      <rPr>
        <sz val="11"/>
        <color rgb="FF20334A"/>
        <rFont val="Arial"/>
        <family val="0"/>
        <charset val="1"/>
      </rPr>
      <t xml:space="preserve">/</t>
    </r>
    <r>
      <rPr>
        <sz val="11"/>
        <color rgb="FF20334A"/>
        <rFont val="Noto Sans CJK SC"/>
        <family val="2"/>
        <charset val="1"/>
      </rPr>
      <t xml:space="preserve">渠道结论</t>
    </r>
    <r>
      <rPr>
        <sz val="11"/>
        <color rgb="FF20334A"/>
        <rFont val="Arial"/>
        <family val="0"/>
        <charset val="1"/>
      </rPr>
      <t xml:space="preserve">+</t>
    </r>
    <r>
      <rPr>
        <sz val="11"/>
        <color rgb="FF20334A"/>
        <rFont val="Noto Sans CJK SC"/>
        <family val="2"/>
        <charset val="1"/>
      </rPr>
      <t xml:space="preserve">版次或未知标记</t>
    </r>
    <r>
      <rPr>
        <sz val="11"/>
        <color rgb="FF20334A"/>
        <rFont val="Arial"/>
        <family val="0"/>
        <charset val="1"/>
      </rPr>
      <t xml:space="preserve">+</t>
    </r>
    <r>
      <rPr>
        <sz val="11"/>
        <color rgb="FF20334A"/>
        <rFont val="Noto Sans CJK SC"/>
        <family val="2"/>
        <charset val="1"/>
      </rPr>
      <t xml:space="preserve">缺件矩阵；扫描</t>
    </r>
    <r>
      <rPr>
        <sz val="11"/>
        <color rgb="FF20334A"/>
        <rFont val="Arial"/>
        <family val="0"/>
        <charset val="1"/>
      </rPr>
      <t xml:space="preserve">/</t>
    </r>
    <r>
      <rPr>
        <sz val="11"/>
        <color rgb="FF20334A"/>
        <rFont val="Noto Sans CJK SC"/>
        <family val="2"/>
        <charset val="1"/>
      </rPr>
      <t xml:space="preserve">多语言无法可靠判断时维持待审，不因文本提取或</t>
    </r>
    <r>
      <rPr>
        <sz val="11"/>
        <color rgb="FF20334A"/>
        <rFont val="Arial"/>
        <family val="0"/>
        <charset val="1"/>
      </rPr>
      <t xml:space="preserve">Master</t>
    </r>
    <r>
      <rPr>
        <sz val="11"/>
        <color rgb="FF20334A"/>
        <rFont val="Noto Sans CJK SC"/>
        <family val="2"/>
        <charset val="1"/>
      </rPr>
      <t xml:space="preserve">文件名升级</t>
    </r>
  </si>
  <si>
    <r>
      <rPr>
        <sz val="11"/>
        <color rgb="FF20334A"/>
        <rFont val="Noto Sans CJK SC"/>
        <family val="2"/>
        <charset val="1"/>
      </rPr>
      <t xml:space="preserve">校对全部页码及正文可读性；确定法律主体、团体</t>
    </r>
    <r>
      <rPr>
        <sz val="11"/>
        <color rgb="FF20334A"/>
        <rFont val="Arial"/>
        <family val="0"/>
        <charset val="1"/>
      </rPr>
      <t xml:space="preserve">/</t>
    </r>
    <r>
      <rPr>
        <sz val="11"/>
        <color rgb="FF20334A"/>
        <rFont val="Noto Sans CJK SC"/>
        <family val="2"/>
        <charset val="1"/>
      </rPr>
      <t xml:space="preserve">个人与渠道、正文版次及角色；列引用证书</t>
    </r>
    <r>
      <rPr>
        <sz val="11"/>
        <color rgb="FF20334A"/>
        <rFont val="Arial"/>
        <family val="0"/>
        <charset val="1"/>
      </rPr>
      <t xml:space="preserve">/</t>
    </r>
    <r>
      <rPr>
        <sz val="11"/>
        <color rgb="FF20334A"/>
        <rFont val="Noto Sans CJK SC"/>
        <family val="2"/>
        <charset val="1"/>
      </rPr>
      <t xml:space="preserve">附约依赖和疑点页码；按文档记录实测时间</t>
    </r>
  </si>
  <si>
    <t xml:space="preserve">SRC-D1-MY-001</t>
  </si>
  <si>
    <t xml:space="preserve">Biz Shield Master Policy</t>
  </si>
  <si>
    <t xml:space="preserve">SRC-D1-MY-002</t>
  </si>
  <si>
    <t xml:space="preserve">Group Term Takaful (GTT ADB) Master Contract - ILP Protection Campaign</t>
  </si>
  <si>
    <t xml:space="preserve">SRC-D1-MY-003</t>
  </si>
  <si>
    <t xml:space="preserve">Group Term Takaful (GTT) Master Contract - Protection with Purpose roadshow Campaign</t>
  </si>
  <si>
    <t xml:space="preserve">SRC-D1-MY-004</t>
  </si>
  <si>
    <t xml:space="preserve">Mortgage Reducing Term Takaful with Funeral Benefit 2020 Master Contract</t>
  </si>
  <si>
    <t xml:space="preserve">SRC-D1-MY-005</t>
  </si>
  <si>
    <t xml:space="preserve">Group Term Takaful (GTTSLMT0526) - ILP Protection Campaign</t>
  </si>
  <si>
    <t xml:space="preserve">文档核验及依赖关联</t>
  </si>
  <si>
    <r>
      <rPr>
        <sz val="11"/>
        <color rgb="FF20334A"/>
        <rFont val="Noto Sans CJK SC"/>
        <family val="2"/>
        <charset val="1"/>
      </rPr>
      <t xml:space="preserve">全部物理页审读证据与角色</t>
    </r>
    <r>
      <rPr>
        <sz val="11"/>
        <color rgb="FF20334A"/>
        <rFont val="Arial"/>
        <family val="2"/>
        <charset val="1"/>
      </rPr>
      <t xml:space="preserve">/</t>
    </r>
    <r>
      <rPr>
        <sz val="11"/>
        <color rgb="FF20334A"/>
        <rFont val="Noto Sans CJK SC"/>
        <family val="2"/>
        <charset val="1"/>
      </rPr>
      <t xml:space="preserve">缺件结论；如不可靠识别马来文则标待审并说明页码；全文核验与正文完整</t>
    </r>
    <r>
      <rPr>
        <sz val="11"/>
        <color rgb="FF20334A"/>
        <rFont val="Arial"/>
        <family val="2"/>
        <charset val="1"/>
      </rPr>
      <t xml:space="preserve">/</t>
    </r>
    <r>
      <rPr>
        <sz val="11"/>
        <color rgb="FF20334A"/>
        <rFont val="Noto Sans CJK SC"/>
        <family val="2"/>
        <charset val="1"/>
      </rPr>
      <t xml:space="preserve">现行采用</t>
    </r>
    <r>
      <rPr>
        <sz val="11"/>
        <color rgb="FF20334A"/>
        <rFont val="Arial"/>
        <family val="2"/>
        <charset val="1"/>
      </rPr>
      <t xml:space="preserve">/</t>
    </r>
    <r>
      <rPr>
        <sz val="11"/>
        <color rgb="FF20334A"/>
        <rFont val="Noto Sans CJK SC"/>
        <family val="2"/>
        <charset val="1"/>
      </rPr>
      <t xml:space="preserve">整包齐分层。</t>
    </r>
  </si>
  <si>
    <r>
      <rPr>
        <sz val="11"/>
        <color rgb="FF20334A"/>
        <rFont val="Noto Sans CJK SC"/>
        <family val="2"/>
        <charset val="1"/>
      </rPr>
      <t xml:space="preserve">逐页文本与视觉核验、正文页码</t>
    </r>
    <r>
      <rPr>
        <sz val="11"/>
        <color rgb="FF20334A"/>
        <rFont val="Arial"/>
        <family val="2"/>
        <charset val="1"/>
      </rPr>
      <t xml:space="preserve">/</t>
    </r>
    <r>
      <rPr>
        <sz val="11"/>
        <color rgb="FF20334A"/>
        <rFont val="Noto Sans CJK SC"/>
        <family val="2"/>
        <charset val="1"/>
      </rPr>
      <t xml:space="preserve">附表性质、法律主体与角色、版本与渠道；保留逐页证据和未解疑点。仅复用已存原件，不新增集中库下载。</t>
    </r>
  </si>
  <si>
    <t xml:space="preserve">SRC-B2-MY-001</t>
  </si>
  <si>
    <t xml:space="preserve">Credit Protector Plus Master Policy</t>
  </si>
  <si>
    <t xml:space="preserve">SRC-B2-MY-002</t>
  </si>
  <si>
    <t xml:space="preserve">Biz Shield-i Master Contract</t>
  </si>
  <si>
    <t xml:space="preserve">SRC-B2-MY-003</t>
  </si>
  <si>
    <t xml:space="preserve">Sun AutoLife Master Policy</t>
  </si>
  <si>
    <t xml:space="preserve">SRC-B2-MY-004</t>
  </si>
  <si>
    <t xml:space="preserve">Group Term Life - MRTA/MLTA Complimentary GTL Campaign - Plan A (CIMB Bank)</t>
  </si>
  <si>
    <t xml:space="preserve">SRC-B2-MY-005</t>
  </si>
  <si>
    <t xml:space="preserve">富饒萬家儲蓄保險計劃</t>
  </si>
  <si>
    <r>
      <rPr>
        <sz val="11"/>
        <color rgb="FF20334A"/>
        <rFont val="Noto Sans CJK SC"/>
        <family val="2"/>
        <charset val="1"/>
      </rPr>
      <t xml:space="preserve">产品版次及主体核验记录、每个实际访问</t>
    </r>
    <r>
      <rPr>
        <sz val="11"/>
        <color rgb="FF20334A"/>
        <rFont val="Arial"/>
        <family val="2"/>
        <charset val="1"/>
      </rPr>
      <t xml:space="preserve">URL</t>
    </r>
    <r>
      <rPr>
        <sz val="11"/>
        <color rgb="FF20334A"/>
        <rFont val="Noto Sans CJK SC"/>
        <family val="2"/>
        <charset val="1"/>
      </rPr>
      <t xml:space="preserve">及结果、主文取得与否分开；</t>
    </r>
    <r>
      <rPr>
        <sz val="11"/>
        <color rgb="FF20334A"/>
        <rFont val="Arial"/>
        <family val="2"/>
        <charset val="1"/>
      </rPr>
      <t xml:space="preserve">0</t>
    </r>
    <r>
      <rPr>
        <sz val="11"/>
        <color rgb="FF20334A"/>
        <rFont val="Noto Sans CJK SC"/>
        <family val="2"/>
        <charset val="1"/>
      </rPr>
      <t xml:space="preserve">新正文仍可完成有限路线工单，不算产品齐备。</t>
    </r>
  </si>
  <si>
    <r>
      <rPr>
        <sz val="11"/>
        <color rgb="FF20334A"/>
        <rFont val="Noto Sans CJK SC"/>
        <family val="2"/>
        <charset val="1"/>
      </rPr>
      <t xml:space="preserve">仅检查该产品官方页和明确列示附件；用现有</t>
    </r>
    <r>
      <rPr>
        <sz val="11"/>
        <color rgb="FF20334A"/>
        <rFont val="Arial"/>
        <family val="2"/>
        <charset val="1"/>
      </rPr>
      <t xml:space="preserve">SHA</t>
    </r>
    <r>
      <rPr>
        <sz val="11"/>
        <color rgb="FF20334A"/>
        <rFont val="Noto Sans CJK SC"/>
        <family val="2"/>
        <charset val="1"/>
      </rPr>
      <t xml:space="preserve">识别重复，不下载更多宣传册。若无完整正文，记录准确缺件</t>
    </r>
    <r>
      <rPr>
        <sz val="11"/>
        <color rgb="FF20334A"/>
        <rFont val="Arial"/>
        <family val="2"/>
        <charset val="1"/>
      </rPr>
      <t xml:space="preserve">/</t>
    </r>
    <r>
      <rPr>
        <sz val="11"/>
        <color rgb="FF20334A"/>
        <rFont val="Noto Sans CJK SC"/>
        <family val="2"/>
        <charset val="1"/>
      </rPr>
      <t xml:space="preserve">按需索取提示；只有页面明确给出的同产品销售入口才进入第二层。</t>
    </r>
  </si>
  <si>
    <t xml:space="preserve">SRC-B2-HK-001</t>
  </si>
  <si>
    <t xml:space="preserve">富域多元貨幣保險計劃</t>
  </si>
  <si>
    <t xml:space="preserve">SRC-B2-HK-002</t>
  </si>
  <si>
    <t xml:space="preserve">Prime Prestige Savings Insurance Plan</t>
  </si>
  <si>
    <t xml:space="preserve">SRC-B2-HK-003</t>
  </si>
  <si>
    <t xml:space="preserve">Swiss Fortune Universal Life Insurance Plan</t>
  </si>
  <si>
    <t xml:space="preserve">SRC-B2-HK-004</t>
  </si>
  <si>
    <t xml:space="preserve">EASYCare</t>
  </si>
  <si>
    <t xml:space="preserve">文档核验及版本关联</t>
  </si>
  <si>
    <t xml:space="preserve">全部页审读与语言可信度记录；当前来源关系、文件角色、缺件及版本分别记录；若高棉文可靠性不足则维持待审并交明确阻碍。</t>
  </si>
  <si>
    <r>
      <rPr>
        <sz val="11"/>
        <color rgb="FF20334A"/>
        <rFont val="Noto Sans CJK SC"/>
        <family val="2"/>
        <charset val="1"/>
      </rPr>
      <t xml:space="preserve">逐页核对正文、定义、保障、除外、终止及引用附件；核承保主体</t>
    </r>
    <r>
      <rPr>
        <sz val="11"/>
        <color rgb="FF20334A"/>
        <rFont val="Arial"/>
        <family val="2"/>
        <charset val="1"/>
      </rPr>
      <t xml:space="preserve">/</t>
    </r>
    <r>
      <rPr>
        <sz val="11"/>
        <color rgb="FF20334A"/>
        <rFont val="Noto Sans CJK SC"/>
        <family val="2"/>
        <charset val="1"/>
      </rPr>
      <t xml:space="preserve">地区</t>
    </r>
    <r>
      <rPr>
        <sz val="11"/>
        <color rgb="FF20334A"/>
        <rFont val="Arial"/>
        <family val="2"/>
        <charset val="1"/>
      </rPr>
      <t xml:space="preserve">/</t>
    </r>
    <r>
      <rPr>
        <sz val="11"/>
        <color rgb="FF20334A"/>
        <rFont val="Noto Sans CJK SC"/>
        <family val="2"/>
        <charset val="1"/>
      </rPr>
      <t xml:space="preserve">版本；保留高棉文无法可靠判读的页码，不用文本提取成功替代。</t>
    </r>
  </si>
  <si>
    <t xml:space="preserve">SRC-B2-KH-001</t>
  </si>
  <si>
    <t xml:space="preserve">Tune Protect Travel - AirAsia / Comprehensive Travel Insurance Plus Plan</t>
  </si>
  <si>
    <t xml:space="preserve">SRC-B2-KH-002</t>
  </si>
  <si>
    <t xml:space="preserve">Cash Plus Assurance Master Policy</t>
  </si>
  <si>
    <t xml:space="preserve">既有主文候选全文核验</t>
  </si>
  <si>
    <r>
      <rPr>
        <sz val="11"/>
        <color rgb="FF20334A"/>
        <rFont val="Noto Sans CJK SC"/>
        <family val="2"/>
        <charset val="1"/>
      </rPr>
      <t xml:space="preserve">逐页证据、角色及缺件结论齐全；不能可靠判读的语言</t>
    </r>
    <r>
      <rPr>
        <sz val="11"/>
        <color rgb="FF20334A"/>
        <rFont val="Arial"/>
        <family val="2"/>
        <charset val="1"/>
      </rPr>
      <t xml:space="preserve">/</t>
    </r>
    <r>
      <rPr>
        <sz val="11"/>
        <color rgb="FF20334A"/>
        <rFont val="Noto Sans CJK SC"/>
        <family val="2"/>
        <charset val="1"/>
      </rPr>
      <t xml:space="preserve">页面明确留</t>
    </r>
    <r>
      <rPr>
        <sz val="11"/>
        <color rgb="FF20334A"/>
        <rFont val="Arial"/>
        <family val="2"/>
        <charset val="1"/>
      </rPr>
      <t xml:space="preserve">partial</t>
    </r>
    <r>
      <rPr>
        <sz val="11"/>
        <color rgb="FF20334A"/>
        <rFont val="Noto Sans CJK SC"/>
        <family val="2"/>
        <charset val="1"/>
      </rPr>
      <t xml:space="preserve">。</t>
    </r>
    <r>
      <rPr>
        <sz val="11"/>
        <color rgb="FF20334A"/>
        <rFont val="Arial"/>
        <family val="2"/>
        <charset val="1"/>
      </rPr>
      <t xml:space="preserve">full read</t>
    </r>
    <r>
      <rPr>
        <sz val="11"/>
        <color rgb="FF20334A"/>
        <rFont val="Noto Sans CJK SC"/>
        <family val="2"/>
        <charset val="1"/>
      </rPr>
      <t xml:space="preserve">、</t>
    </r>
    <r>
      <rPr>
        <sz val="11"/>
        <color rgb="FF20334A"/>
        <rFont val="Arial"/>
        <family val="2"/>
        <charset val="1"/>
      </rPr>
      <t xml:space="preserve">strict</t>
    </r>
    <r>
      <rPr>
        <sz val="11"/>
        <color rgb="FF20334A"/>
        <rFont val="Noto Sans CJK SC"/>
        <family val="2"/>
        <charset val="1"/>
      </rPr>
      <t xml:space="preserve">、主文完整、现行采用、公开包齐、个人保单齐分别验收，不因全文读完自动升级。</t>
    </r>
  </si>
  <si>
    <r>
      <rPr>
        <sz val="11"/>
        <color rgb="FF20334A"/>
        <rFont val="Noto Sans CJK SC"/>
        <family val="2"/>
        <charset val="1"/>
      </rPr>
      <t xml:space="preserve">仅恢复该</t>
    </r>
    <r>
      <rPr>
        <sz val="11"/>
        <color rgb="FF20334A"/>
        <rFont val="Arial"/>
        <family val="2"/>
        <charset val="1"/>
      </rPr>
      <t xml:space="preserve">SHA</t>
    </r>
    <r>
      <rPr>
        <sz val="11"/>
        <color rgb="FF20334A"/>
        <rFont val="Noto Sans CJK SC"/>
        <family val="2"/>
        <charset val="1"/>
      </rPr>
      <t xml:space="preserve">；逐物理页文本与视觉审读，按语言分段记录；核主体、命名、主文与附表</t>
    </r>
    <r>
      <rPr>
        <sz val="11"/>
        <color rgb="FF20334A"/>
        <rFont val="Arial"/>
        <family val="2"/>
        <charset val="1"/>
      </rPr>
      <t xml:space="preserve">/</t>
    </r>
    <r>
      <rPr>
        <sz val="11"/>
        <color rgb="FF20334A"/>
        <rFont val="Noto Sans CJK SC"/>
        <family val="2"/>
        <charset val="1"/>
      </rPr>
      <t xml:space="preserve">证书</t>
    </r>
    <r>
      <rPr>
        <sz val="11"/>
        <color rgb="FF20334A"/>
        <rFont val="Arial"/>
        <family val="2"/>
        <charset val="1"/>
      </rPr>
      <t xml:space="preserve">/</t>
    </r>
    <r>
      <rPr>
        <sz val="11"/>
        <color rgb="FF20334A"/>
        <rFont val="Noto Sans CJK SC"/>
        <family val="2"/>
        <charset val="1"/>
      </rPr>
      <t xml:space="preserve">批单边界、引用依赖和版本。无明确缺件依赖不得扩展到</t>
    </r>
    <r>
      <rPr>
        <sz val="11"/>
        <color rgb="FF20334A"/>
        <rFont val="Arial"/>
        <family val="2"/>
        <charset val="1"/>
      </rPr>
      <t xml:space="preserve">certificate/CIS</t>
    </r>
    <r>
      <rPr>
        <sz val="11"/>
        <color rgb="FF20334A"/>
        <rFont val="Noto Sans CJK SC"/>
        <family val="2"/>
        <charset val="1"/>
      </rPr>
      <t xml:space="preserve">。</t>
    </r>
  </si>
  <si>
    <t xml:space="preserve">SRC-B3-MY-001</t>
  </si>
  <si>
    <t xml:space="preserve">Sun Dengue Protector Master Policy</t>
  </si>
  <si>
    <t xml:space="preserve">SRC-B3-MY-002</t>
  </si>
  <si>
    <t xml:space="preserve">Group Mortgage Level Term Takaful Master Contract (MLTT)</t>
  </si>
  <si>
    <t xml:space="preserve">SRC-B3-MY-003</t>
  </si>
  <si>
    <t xml:space="preserve">Lestari Care Master Contract</t>
  </si>
  <si>
    <t xml:space="preserve">SRC-B3-MY-004</t>
  </si>
  <si>
    <t xml:space="preserve">Sun Cover-i Master Contract</t>
  </si>
  <si>
    <t xml:space="preserve">SRC-B3-MY-005</t>
  </si>
  <si>
    <t xml:space="preserve">Goal Access Universal Life Plan (Education)</t>
  </si>
  <si>
    <t xml:space="preserve">有限公开产品路线核验</t>
  </si>
  <si>
    <r>
      <rPr>
        <sz val="11"/>
        <color rgb="FF20334A"/>
        <rFont val="Noto Sans CJK SC"/>
        <family val="2"/>
        <charset val="1"/>
      </rPr>
      <t xml:space="preserve">准确产品</t>
    </r>
    <r>
      <rPr>
        <sz val="11"/>
        <color rgb="FF20334A"/>
        <rFont val="Arial"/>
        <family val="2"/>
        <charset val="1"/>
      </rPr>
      <t xml:space="preserve">/</t>
    </r>
    <r>
      <rPr>
        <sz val="11"/>
        <color rgb="FF20334A"/>
        <rFont val="Noto Sans CJK SC"/>
        <family val="2"/>
        <charset val="1"/>
      </rPr>
      <t xml:space="preserve">版次</t>
    </r>
    <r>
      <rPr>
        <sz val="11"/>
        <color rgb="FF20334A"/>
        <rFont val="Arial"/>
        <family val="2"/>
        <charset val="1"/>
      </rPr>
      <t xml:space="preserve">/</t>
    </r>
    <r>
      <rPr>
        <sz val="11"/>
        <color rgb="FF20334A"/>
        <rFont val="Noto Sans CJK SC"/>
        <family val="2"/>
        <charset val="1"/>
      </rPr>
      <t xml:space="preserve">主体、每个实际访问</t>
    </r>
    <r>
      <rPr>
        <sz val="11"/>
        <color rgb="FF20334A"/>
        <rFont val="Arial"/>
        <family val="2"/>
        <charset val="1"/>
      </rPr>
      <t xml:space="preserve">URL</t>
    </r>
    <r>
      <rPr>
        <sz val="11"/>
        <color rgb="FF20334A"/>
        <rFont val="Noto Sans CJK SC"/>
        <family val="2"/>
        <charset val="1"/>
      </rPr>
      <t xml:space="preserve">、</t>
    </r>
    <r>
      <rPr>
        <sz val="11"/>
        <color rgb="FF20334A"/>
        <rFont val="Arial"/>
        <family val="2"/>
        <charset val="1"/>
      </rPr>
      <t xml:space="preserve">HTTP/</t>
    </r>
    <r>
      <rPr>
        <sz val="11"/>
        <color rgb="FF20334A"/>
        <rFont val="Noto Sans CJK SC"/>
        <family val="2"/>
        <charset val="1"/>
      </rPr>
      <t xml:space="preserve">页面结果及可见文件类型留证；</t>
    </r>
    <r>
      <rPr>
        <sz val="11"/>
        <color rgb="FF20334A"/>
        <rFont val="Arial"/>
        <family val="2"/>
        <charset val="1"/>
      </rPr>
      <t xml:space="preserve">0</t>
    </r>
    <r>
      <rPr>
        <sz val="11"/>
        <color rgb="FF20334A"/>
        <rFont val="Noto Sans CJK SC"/>
        <family val="2"/>
        <charset val="1"/>
      </rPr>
      <t xml:space="preserve">主文也可闭该有限路线工单，但不闭产品缺口；取得主文后仅核其身份并另计审读容量。</t>
    </r>
  </si>
  <si>
    <r>
      <rPr>
        <sz val="11"/>
        <color rgb="FF20334A"/>
        <rFont val="Noto Sans CJK SC"/>
        <family val="2"/>
        <charset val="1"/>
      </rPr>
      <t xml:space="preserve">执行时仅检查此产品公开官方页面、正常可见下载区及明确列示的同产品附件；可用正常云端浏览器读取非受限动态页。新文件先</t>
    </r>
    <r>
      <rPr>
        <sz val="11"/>
        <color rgb="FF20334A"/>
        <rFont val="Arial"/>
        <family val="2"/>
        <charset val="1"/>
      </rPr>
      <t xml:space="preserve">SHA</t>
    </r>
    <r>
      <rPr>
        <sz val="11"/>
        <color rgb="FF20334A"/>
        <rFont val="Noto Sans CJK SC"/>
        <family val="2"/>
        <charset val="1"/>
      </rPr>
      <t xml:space="preserve">去重。不要再下宣传册，不批量扫库，不构造</t>
    </r>
    <r>
      <rPr>
        <sz val="11"/>
        <color rgb="FF20334A"/>
        <rFont val="Arial"/>
        <family val="2"/>
        <charset val="1"/>
      </rPr>
      <t xml:space="preserve">PDF</t>
    </r>
    <r>
      <rPr>
        <sz val="11"/>
        <color rgb="FF20334A"/>
        <rFont val="Noto Sans CJK SC"/>
        <family val="2"/>
        <charset val="1"/>
      </rPr>
      <t xml:space="preserve">路径。</t>
    </r>
  </si>
  <si>
    <t xml:space="preserve">SRC-B3-HK-001</t>
  </si>
  <si>
    <r>
      <rPr>
        <sz val="11"/>
        <color rgb="FF20334A"/>
        <rFont val="Noto Sans CJK SC"/>
        <family val="2"/>
        <charset val="1"/>
      </rPr>
      <t xml:space="preserve">「愛與承」人壽保險計劃</t>
    </r>
    <r>
      <rPr>
        <sz val="11"/>
        <color rgb="FF20334A"/>
        <rFont val="Arial"/>
        <family val="2"/>
        <charset val="1"/>
      </rPr>
      <t xml:space="preserve">(</t>
    </r>
    <r>
      <rPr>
        <sz val="11"/>
        <color rgb="FF20334A"/>
        <rFont val="Noto Sans CJK SC"/>
        <family val="2"/>
        <charset val="1"/>
      </rPr>
      <t xml:space="preserve">尊尚</t>
    </r>
    <r>
      <rPr>
        <sz val="11"/>
        <color rgb="FF20334A"/>
        <rFont val="Arial"/>
        <family val="2"/>
        <charset val="1"/>
      </rPr>
      <t xml:space="preserve">)</t>
    </r>
  </si>
  <si>
    <t xml:space="preserve">SRC-B3-HK-002</t>
  </si>
  <si>
    <t xml:space="preserve">Tâm An 360</t>
  </si>
  <si>
    <r>
      <rPr>
        <sz val="11"/>
        <color rgb="FF20334A"/>
        <rFont val="Noto Sans CJK SC"/>
        <family val="2"/>
        <charset val="1"/>
      </rPr>
      <t xml:space="preserve">既有文件身份</t>
    </r>
    <r>
      <rPr>
        <sz val="11"/>
        <color rgb="FF20334A"/>
        <rFont val="Arial"/>
        <family val="2"/>
        <charset val="1"/>
      </rPr>
      <t xml:space="preserve">/</t>
    </r>
    <r>
      <rPr>
        <sz val="11"/>
        <color rgb="FF20334A"/>
        <rFont val="Noto Sans CJK SC"/>
        <family val="2"/>
        <charset val="1"/>
      </rPr>
      <t xml:space="preserve">关系核验（不等于全文审校）</t>
    </r>
  </si>
  <si>
    <r>
      <rPr>
        <sz val="11"/>
        <color rgb="FF20334A"/>
        <rFont val="Noto Sans CJK SC"/>
        <family val="2"/>
        <charset val="1"/>
      </rPr>
      <t xml:space="preserve">每条边有</t>
    </r>
    <r>
      <rPr>
        <sz val="11"/>
        <color rgb="FF20334A"/>
        <rFont val="Arial"/>
        <family val="2"/>
        <charset val="1"/>
      </rPr>
      <t xml:space="preserve">exact SHA</t>
    </r>
    <r>
      <rPr>
        <sz val="11"/>
        <color rgb="FF20334A"/>
        <rFont val="Noto Sans CJK SC"/>
        <family val="2"/>
        <charset val="1"/>
      </rPr>
      <t xml:space="preserve">、官方分组证据和页内身份</t>
    </r>
    <r>
      <rPr>
        <sz val="11"/>
        <color rgb="FF20334A"/>
        <rFont val="Arial"/>
        <family val="2"/>
        <charset val="1"/>
      </rPr>
      <t xml:space="preserve">/</t>
    </r>
    <r>
      <rPr>
        <sz val="11"/>
        <color rgb="FF20334A"/>
        <rFont val="Noto Sans CJK SC"/>
        <family val="2"/>
        <charset val="1"/>
      </rPr>
      <t xml:space="preserve">角色依据；资料关联、版本适用、独立产品身份分层。可否定或继续</t>
    </r>
    <r>
      <rPr>
        <sz val="11"/>
        <color rgb="FF20334A"/>
        <rFont val="Arial"/>
        <family val="2"/>
        <charset val="1"/>
      </rPr>
      <t xml:space="preserve">hold</t>
    </r>
    <r>
      <rPr>
        <sz val="11"/>
        <color rgb="FF20334A"/>
        <rFont val="Noto Sans CJK SC"/>
        <family val="2"/>
        <charset val="1"/>
      </rPr>
      <t xml:space="preserve">；不合并来源标签群，不升级既有</t>
    </r>
    <r>
      <rPr>
        <sz val="11"/>
        <color rgb="FF20334A"/>
        <rFont val="Arial"/>
        <family val="2"/>
        <charset val="1"/>
      </rPr>
      <t xml:space="preserve">content_review/full/strict</t>
    </r>
    <r>
      <rPr>
        <sz val="11"/>
        <color rgb="FF20334A"/>
        <rFont val="Noto Sans CJK SC"/>
        <family val="2"/>
        <charset val="1"/>
      </rPr>
      <t xml:space="preserve">或宣称现售。</t>
    </r>
  </si>
  <si>
    <r>
      <rPr>
        <sz val="11"/>
        <color rgb="FF20334A"/>
        <rFont val="Noto Sans CJK SC"/>
        <family val="2"/>
        <charset val="1"/>
      </rPr>
      <t xml:space="preserve">仅复用已存</t>
    </r>
    <r>
      <rPr>
        <sz val="11"/>
        <color rgb="FF20334A"/>
        <rFont val="Arial"/>
        <family val="2"/>
        <charset val="1"/>
      </rPr>
      <t xml:space="preserve">3</t>
    </r>
    <r>
      <rPr>
        <sz val="11"/>
        <color rgb="FF20334A"/>
        <rFont val="Noto Sans CJK SC"/>
        <family val="2"/>
        <charset val="1"/>
      </rPr>
      <t xml:space="preserve">个</t>
    </r>
    <r>
      <rPr>
        <sz val="11"/>
        <color rgb="FF20334A"/>
        <rFont val="Arial"/>
        <family val="2"/>
        <charset val="1"/>
      </rPr>
      <t xml:space="preserve">SHA</t>
    </r>
    <r>
      <rPr>
        <sz val="11"/>
        <color rgb="FF20334A"/>
        <rFont val="Noto Sans CJK SC"/>
        <family val="2"/>
        <charset val="1"/>
      </rPr>
      <t xml:space="preserve">及已归档</t>
    </r>
    <r>
      <rPr>
        <sz val="11"/>
        <color rgb="FF20334A"/>
        <rFont val="Arial"/>
        <family val="2"/>
        <charset val="1"/>
      </rPr>
      <t xml:space="preserve">10-25</t>
    </r>
    <r>
      <rPr>
        <sz val="11"/>
        <color rgb="FF20334A"/>
        <rFont val="Noto Sans CJK SC"/>
        <family val="2"/>
        <charset val="1"/>
      </rPr>
      <t xml:space="preserve">官方</t>
    </r>
    <r>
      <rPr>
        <sz val="11"/>
        <color rgb="FF20334A"/>
        <rFont val="Arial"/>
        <family val="2"/>
        <charset val="1"/>
      </rPr>
      <t xml:space="preserve">HTML</t>
    </r>
    <r>
      <rPr>
        <sz val="11"/>
        <color rgb="FF20334A"/>
        <rFont val="Noto Sans CJK SC"/>
        <family val="2"/>
        <charset val="1"/>
      </rPr>
      <t xml:space="preserve">；核页内标题、法律主体、版次、产品代码、渠道、主险</t>
    </r>
    <r>
      <rPr>
        <sz val="11"/>
        <color rgb="FF20334A"/>
        <rFont val="Arial"/>
        <family val="2"/>
        <charset val="1"/>
      </rPr>
      <t xml:space="preserve">/</t>
    </r>
    <r>
      <rPr>
        <sz val="11"/>
        <color rgb="FF20334A"/>
        <rFont val="Noto Sans CJK SC"/>
        <family val="2"/>
        <charset val="1"/>
      </rPr>
      <t xml:space="preserve">附约定义与支持件指向；输出逐边接受</t>
    </r>
    <r>
      <rPr>
        <sz val="11"/>
        <color rgb="FF20334A"/>
        <rFont val="Arial"/>
        <family val="2"/>
        <charset val="1"/>
      </rPr>
      <t xml:space="preserve">/</t>
    </r>
    <r>
      <rPr>
        <sz val="11"/>
        <color rgb="FF20334A"/>
        <rFont val="Noto Sans CJK SC"/>
        <family val="2"/>
        <charset val="1"/>
      </rPr>
      <t xml:space="preserve">维持待审及精确页码，不重抓页面。</t>
    </r>
  </si>
  <si>
    <t xml:space="preserve">SRC-B3-VN-001</t>
  </si>
  <si>
    <t xml:space="preserve">Sống Khỏe Mỗi Ngày</t>
  </si>
  <si>
    <t xml:space="preserve">SRC-B3-VN-002</t>
  </si>
  <si>
    <t xml:space="preserve">Traveller’s Insurance</t>
  </si>
  <si>
    <r>
      <rPr>
        <sz val="11"/>
        <color rgb="FF20334A"/>
        <rFont val="Noto Sans CJK SC"/>
        <family val="2"/>
        <charset val="1"/>
      </rPr>
      <t xml:space="preserve">英文部分审读与语言优先条款验证（整份保持</t>
    </r>
    <r>
      <rPr>
        <sz val="11"/>
        <color rgb="FF20334A"/>
        <rFont val="Arial"/>
        <family val="2"/>
        <charset val="1"/>
      </rPr>
      <t xml:space="preserve">partial</t>
    </r>
    <r>
      <rPr>
        <sz val="11"/>
        <color rgb="FF20334A"/>
        <rFont val="Noto Sans CJK SC"/>
        <family val="2"/>
        <charset val="1"/>
      </rPr>
      <t xml:space="preserve">）</t>
    </r>
  </si>
  <si>
    <r>
      <rPr>
        <sz val="11"/>
        <color rgb="FF20334A"/>
        <rFont val="Noto Sans CJK SC"/>
        <family val="2"/>
        <charset val="1"/>
      </rPr>
      <t xml:space="preserve">英文限定逐页证据及语言优先条款找到</t>
    </r>
    <r>
      <rPr>
        <sz val="11"/>
        <color rgb="FF20334A"/>
        <rFont val="Arial"/>
        <family val="2"/>
        <charset val="1"/>
      </rPr>
      <t xml:space="preserve">/</t>
    </r>
    <r>
      <rPr>
        <sz val="11"/>
        <color rgb="FF20334A"/>
        <rFont val="Noto Sans CJK SC"/>
        <family val="2"/>
        <charset val="1"/>
      </rPr>
      <t xml:space="preserve">未找到</t>
    </r>
    <r>
      <rPr>
        <sz val="11"/>
        <color rgb="FF20334A"/>
        <rFont val="Arial"/>
        <family val="2"/>
        <charset val="1"/>
      </rPr>
      <t xml:space="preserve">/</t>
    </r>
    <r>
      <rPr>
        <sz val="11"/>
        <color rgb="FF20334A"/>
        <rFont val="Noto Sans CJK SC"/>
        <family val="2"/>
        <charset val="1"/>
      </rPr>
      <t xml:space="preserve">不能确认的准确结果；整份</t>
    </r>
    <r>
      <rPr>
        <sz val="11"/>
        <color rgb="FF20334A"/>
        <rFont val="Arial"/>
        <family val="2"/>
        <charset val="1"/>
      </rPr>
      <t xml:space="preserve">all_pages_reviewed=false</t>
    </r>
    <r>
      <rPr>
        <sz val="11"/>
        <color rgb="FF20334A"/>
        <rFont val="Noto Sans CJK SC"/>
        <family val="2"/>
        <charset val="1"/>
      </rPr>
      <t xml:space="preserve">、</t>
    </r>
    <r>
      <rPr>
        <sz val="11"/>
        <color rgb="FF20334A"/>
        <rFont val="Arial"/>
        <family val="2"/>
        <charset val="1"/>
      </rPr>
      <t xml:space="preserve">full_content_review_complete=false</t>
    </r>
    <r>
      <rPr>
        <sz val="11"/>
        <color rgb="FF20334A"/>
        <rFont val="Noto Sans CJK SC"/>
        <family val="2"/>
        <charset val="1"/>
      </rPr>
      <t xml:space="preserve">；</t>
    </r>
    <r>
      <rPr>
        <sz val="11"/>
        <color rgb="FF20334A"/>
        <rFont val="Arial"/>
        <family val="2"/>
        <charset val="1"/>
      </rPr>
      <t xml:space="preserve">current_adoption_verified=false</t>
    </r>
    <r>
      <rPr>
        <sz val="11"/>
        <color rgb="FF20334A"/>
        <rFont val="Noto Sans CJK SC"/>
        <family val="2"/>
        <charset val="1"/>
      </rPr>
      <t xml:space="preserve">，除非另有合法证据且</t>
    </r>
    <r>
      <rPr>
        <sz val="11"/>
        <color rgb="FF20334A"/>
        <rFont val="Arial"/>
        <family val="2"/>
        <charset val="1"/>
      </rPr>
      <t xml:space="preserve">root</t>
    </r>
    <r>
      <rPr>
        <sz val="11"/>
        <color rgb="FF20334A"/>
        <rFont val="Noto Sans CJK SC"/>
        <family val="2"/>
        <charset val="1"/>
      </rPr>
      <t xml:space="preserve">单独验收。</t>
    </r>
  </si>
  <si>
    <r>
      <rPr>
        <sz val="11"/>
        <color rgb="FF20334A"/>
        <rFont val="Noto Sans CJK SC"/>
        <family val="2"/>
        <charset val="1"/>
      </rPr>
      <t xml:space="preserve">读既有英文</t>
    </r>
    <r>
      <rPr>
        <sz val="11"/>
        <color rgb="FF20334A"/>
        <rFont val="Arial"/>
        <family val="2"/>
        <charset val="1"/>
      </rPr>
      <t xml:space="preserve">13</t>
    </r>
    <r>
      <rPr>
        <sz val="11"/>
        <color rgb="FF20334A"/>
        <rFont val="Noto Sans CJK SC"/>
        <family val="2"/>
        <charset val="1"/>
      </rPr>
      <t xml:space="preserve">页并视觉核对分界、</t>
    </r>
    <r>
      <rPr>
        <sz val="11"/>
        <color rgb="FF20334A"/>
        <rFont val="Arial"/>
        <family val="2"/>
        <charset val="1"/>
      </rPr>
      <t xml:space="preserve">language precedence/interpretation</t>
    </r>
    <r>
      <rPr>
        <sz val="11"/>
        <color rgb="FF20334A"/>
        <rFont val="Noto Sans CJK SC"/>
        <family val="2"/>
        <charset val="1"/>
      </rPr>
      <t xml:space="preserve">、</t>
    </r>
    <r>
      <rPr>
        <sz val="11"/>
        <color rgb="FF20334A"/>
        <rFont val="Arial"/>
        <family val="2"/>
        <charset val="1"/>
      </rPr>
      <t xml:space="preserve">Europ Assistance Special Conditions</t>
    </r>
    <r>
      <rPr>
        <sz val="11"/>
        <color rgb="FF20334A"/>
        <rFont val="Noto Sans CJK SC"/>
        <family val="2"/>
        <charset val="1"/>
      </rPr>
      <t xml:space="preserve">、定义与引用关系；把未能确定的语言优先</t>
    </r>
    <r>
      <rPr>
        <sz val="11"/>
        <color rgb="FF20334A"/>
        <rFont val="Arial"/>
        <family val="2"/>
        <charset val="1"/>
      </rPr>
      <t xml:space="preserve">/</t>
    </r>
    <r>
      <rPr>
        <sz val="11"/>
        <color rgb="FF20334A"/>
        <rFont val="Noto Sans CJK SC"/>
        <family val="2"/>
        <charset val="1"/>
      </rPr>
      <t xml:space="preserve">对照关系精确列缺，不以机译或英文完整替代高棉全文。</t>
    </r>
  </si>
  <si>
    <t xml:space="preserve">SRC-B3-KH-001</t>
  </si>
  <si>
    <t xml:space="preserve">Group Term Takaful with CI Benefit Master Contract - Private Wealth Privilege Campaign</t>
  </si>
  <si>
    <r>
      <rPr>
        <sz val="11"/>
        <color rgb="FF20334A"/>
        <rFont val="Noto Sans CJK SC"/>
        <family val="2"/>
        <charset val="1"/>
      </rPr>
      <t xml:space="preserve">既有</t>
    </r>
    <r>
      <rPr>
        <sz val="11"/>
        <color rgb="FF20334A"/>
        <rFont val="Arial"/>
        <family val="2"/>
        <charset val="1"/>
      </rPr>
      <t xml:space="preserve">Master</t>
    </r>
    <r>
      <rPr>
        <sz val="11"/>
        <color rgb="FF20334A"/>
        <rFont val="Noto Sans CJK SC"/>
        <family val="2"/>
        <charset val="1"/>
      </rPr>
      <t xml:space="preserve">候选全文核验</t>
    </r>
  </si>
  <si>
    <r>
      <rPr>
        <sz val="11"/>
        <color rgb="FF20334A"/>
        <rFont val="Noto Sans CJK SC"/>
        <family val="2"/>
        <charset val="1"/>
      </rPr>
      <t xml:space="preserve">逐物理页记录正文与普通视觉审读范围、语言可判读性、页码</t>
    </r>
    <r>
      <rPr>
        <sz val="11"/>
        <color rgb="FF20334A"/>
        <rFont val="Arial"/>
        <family val="2"/>
        <charset val="1"/>
      </rPr>
      <t xml:space="preserve">/</t>
    </r>
    <r>
      <rPr>
        <sz val="11"/>
        <color rgb="FF20334A"/>
        <rFont val="Noto Sans CJK SC"/>
        <family val="2"/>
        <charset val="1"/>
      </rPr>
      <t xml:space="preserve">附表</t>
    </r>
    <r>
      <rPr>
        <sz val="11"/>
        <color rgb="FF20334A"/>
        <rFont val="Arial"/>
        <family val="2"/>
        <charset val="1"/>
      </rPr>
      <t xml:space="preserve">/</t>
    </r>
    <r>
      <rPr>
        <sz val="11"/>
        <color rgb="FF20334A"/>
        <rFont val="Noto Sans CJK SC"/>
        <family val="2"/>
        <charset val="1"/>
      </rPr>
      <t xml:space="preserve">批单完整性、主体</t>
    </r>
    <r>
      <rPr>
        <sz val="11"/>
        <color rgb="FF20334A"/>
        <rFont val="Arial"/>
        <family val="2"/>
        <charset val="1"/>
      </rPr>
      <t xml:space="preserve">/</t>
    </r>
    <r>
      <rPr>
        <sz val="11"/>
        <color rgb="FF20334A"/>
        <rFont val="Noto Sans CJK SC"/>
        <family val="2"/>
        <charset val="1"/>
      </rPr>
      <t xml:space="preserve">正文计划名</t>
    </r>
    <r>
      <rPr>
        <sz val="11"/>
        <color rgb="FF20334A"/>
        <rFont val="Arial"/>
        <family val="2"/>
        <charset val="1"/>
      </rPr>
      <t xml:space="preserve">/</t>
    </r>
    <r>
      <rPr>
        <sz val="11"/>
        <color rgb="FF20334A"/>
        <rFont val="Noto Sans CJK SC"/>
        <family val="2"/>
        <charset val="1"/>
      </rPr>
      <t xml:space="preserve">合同号</t>
    </r>
    <r>
      <rPr>
        <sz val="11"/>
        <color rgb="FF20334A"/>
        <rFont val="Arial"/>
        <family val="2"/>
        <charset val="1"/>
      </rPr>
      <t xml:space="preserve">/</t>
    </r>
    <r>
      <rPr>
        <sz val="11"/>
        <color rgb="FF20334A"/>
        <rFont val="Noto Sans CJK SC"/>
        <family val="2"/>
        <charset val="1"/>
      </rPr>
      <t xml:space="preserve">版本与引用依赖；不确定或无法判读页维持</t>
    </r>
    <r>
      <rPr>
        <sz val="11"/>
        <color rgb="FF20334A"/>
        <rFont val="Arial"/>
        <family val="2"/>
        <charset val="1"/>
      </rPr>
      <t xml:space="preserve">partial</t>
    </r>
    <r>
      <rPr>
        <sz val="11"/>
        <color rgb="FF20334A"/>
        <rFont val="Noto Sans CJK SC"/>
        <family val="2"/>
        <charset val="1"/>
      </rPr>
      <t xml:space="preserve">并给精确页号。</t>
    </r>
    <r>
      <rPr>
        <sz val="11"/>
        <color rgb="FF20334A"/>
        <rFont val="Arial"/>
        <family val="2"/>
        <charset val="1"/>
      </rPr>
      <t xml:space="preserve">full</t>
    </r>
    <r>
      <rPr>
        <sz val="11"/>
        <color rgb="FF20334A"/>
        <rFont val="Noto Sans CJK SC"/>
        <family val="2"/>
        <charset val="1"/>
      </rPr>
      <t xml:space="preserve">、</t>
    </r>
    <r>
      <rPr>
        <sz val="11"/>
        <color rgb="FF20334A"/>
        <rFont val="Arial"/>
        <family val="2"/>
        <charset val="1"/>
      </rPr>
      <t xml:space="preserve">primary</t>
    </r>
    <r>
      <rPr>
        <sz val="11"/>
        <color rgb="FF20334A"/>
        <rFont val="Noto Sans CJK SC"/>
        <family val="2"/>
        <charset val="1"/>
      </rPr>
      <t xml:space="preserve">、</t>
    </r>
    <r>
      <rPr>
        <sz val="11"/>
        <color rgb="FF20334A"/>
        <rFont val="Arial"/>
        <family val="2"/>
        <charset val="1"/>
      </rPr>
      <t xml:space="preserve">strict</t>
    </r>
    <r>
      <rPr>
        <sz val="11"/>
        <color rgb="FF20334A"/>
        <rFont val="Noto Sans CJK SC"/>
        <family val="2"/>
        <charset val="1"/>
      </rPr>
      <t xml:space="preserve">、具名采用、现售、公开包与个人保单齐分开验收；</t>
    </r>
    <r>
      <rPr>
        <sz val="11"/>
        <color rgb="FF20334A"/>
        <rFont val="Arial"/>
        <family val="2"/>
        <charset val="1"/>
      </rPr>
      <t xml:space="preserve">full</t>
    </r>
    <r>
      <rPr>
        <sz val="11"/>
        <color rgb="FF20334A"/>
        <rFont val="Noto Sans CJK SC"/>
        <family val="2"/>
        <charset val="1"/>
      </rPr>
      <t xml:space="preserve">不能自动触发其他层。</t>
    </r>
  </si>
  <si>
    <r>
      <rPr>
        <sz val="11"/>
        <color rgb="FF20334A"/>
        <rFont val="Noto Sans CJK SC"/>
        <family val="2"/>
        <charset val="1"/>
      </rPr>
      <t xml:space="preserve">核</t>
    </r>
    <r>
      <rPr>
        <sz val="11"/>
        <color rgb="FF20334A"/>
        <rFont val="Arial"/>
        <family val="2"/>
        <charset val="1"/>
      </rPr>
      <t xml:space="preserve">Group Term Takaful with CI Benefit</t>
    </r>
    <r>
      <rPr>
        <sz val="11"/>
        <color rgb="FF20334A"/>
        <rFont val="Noto Sans CJK SC"/>
        <family val="2"/>
        <charset val="1"/>
      </rPr>
      <t xml:space="preserve">正文主合同、法律主体、合同编号、</t>
    </r>
    <r>
      <rPr>
        <sz val="11"/>
        <color rgb="FF20334A"/>
        <rFont val="Arial"/>
        <family val="2"/>
        <charset val="1"/>
      </rPr>
      <t xml:space="preserve">CI</t>
    </r>
    <r>
      <rPr>
        <sz val="11"/>
        <color rgb="FF20334A"/>
        <rFont val="Noto Sans CJK SC"/>
        <family val="2"/>
        <charset val="1"/>
      </rPr>
      <t xml:space="preserve">部件及</t>
    </r>
    <r>
      <rPr>
        <sz val="11"/>
        <color rgb="FF20334A"/>
        <rFont val="Arial"/>
        <family val="2"/>
        <charset val="1"/>
      </rPr>
      <t xml:space="preserve">Private Wealth Privilege</t>
    </r>
    <r>
      <rPr>
        <sz val="11"/>
        <color rgb="FF20334A"/>
        <rFont val="Noto Sans CJK SC"/>
        <family val="2"/>
        <charset val="1"/>
      </rPr>
      <t xml:space="preserve">目录活动与正文身份的证据层级。不能把活动标签当正文已证或现售。</t>
    </r>
  </si>
  <si>
    <t xml:space="preserve">SRC-B4-MY-001</t>
  </si>
  <si>
    <t xml:space="preserve">Group Term Takaful Master Contract (CIMB Salary Account) - CIMB Bank</t>
  </si>
  <si>
    <r>
      <rPr>
        <sz val="11"/>
        <color rgb="FF20334A"/>
        <rFont val="Noto Sans CJK SC"/>
        <family val="2"/>
        <charset val="1"/>
      </rPr>
      <t xml:space="preserve">核</t>
    </r>
    <r>
      <rPr>
        <sz val="11"/>
        <color rgb="FF20334A"/>
        <rFont val="Arial"/>
        <family val="2"/>
        <charset val="1"/>
      </rPr>
      <t xml:space="preserve">CIMB Salary Account Master</t>
    </r>
    <r>
      <rPr>
        <sz val="11"/>
        <color rgb="FF20334A"/>
        <rFont val="Noto Sans CJK SC"/>
        <family val="2"/>
        <charset val="1"/>
      </rPr>
      <t xml:space="preserve">及引用证书关系；区分银行渠道、合同计划、目录标签与现行采用，不与同名普通</t>
    </r>
    <r>
      <rPr>
        <sz val="11"/>
        <color rgb="FF20334A"/>
        <rFont val="Arial"/>
        <family val="2"/>
        <charset val="1"/>
      </rPr>
      <t xml:space="preserve">GTT</t>
    </r>
    <r>
      <rPr>
        <sz val="11"/>
        <color rgb="FF20334A"/>
        <rFont val="Noto Sans CJK SC"/>
        <family val="2"/>
        <charset val="1"/>
      </rPr>
      <t xml:space="preserve">或</t>
    </r>
    <r>
      <rPr>
        <sz val="11"/>
        <color rgb="FF20334A"/>
        <rFont val="Arial"/>
        <family val="2"/>
        <charset val="1"/>
      </rPr>
      <t xml:space="preserve">CIMB Islamic</t>
    </r>
    <r>
      <rPr>
        <sz val="11"/>
        <color rgb="FF20334A"/>
        <rFont val="Noto Sans CJK SC"/>
        <family val="2"/>
        <charset val="1"/>
      </rPr>
      <t xml:space="preserve">版本合并。</t>
    </r>
  </si>
  <si>
    <t xml:space="preserve">SRC-B4-MY-002</t>
  </si>
  <si>
    <t xml:space="preserve">Group Term Takaful Master Contract - CIMB Bank Berhad</t>
  </si>
  <si>
    <r>
      <rPr>
        <sz val="11"/>
        <color rgb="FF20334A"/>
        <rFont val="Noto Sans CJK SC"/>
        <family val="2"/>
        <charset val="1"/>
      </rPr>
      <t xml:space="preserve">逐页核</t>
    </r>
    <r>
      <rPr>
        <sz val="11"/>
        <color rgb="FF20334A"/>
        <rFont val="Arial"/>
        <family val="2"/>
        <charset val="1"/>
      </rPr>
      <t xml:space="preserve">Group Term Takaful Master Contract - CIMB Bank Berhad</t>
    </r>
    <r>
      <rPr>
        <sz val="11"/>
        <color rgb="FF20334A"/>
        <rFont val="Noto Sans CJK SC"/>
        <family val="2"/>
        <charset val="1"/>
      </rPr>
      <t xml:space="preserve">；记录正文计划名</t>
    </r>
    <r>
      <rPr>
        <sz val="11"/>
        <color rgb="FF20334A"/>
        <rFont val="Arial"/>
        <family val="2"/>
        <charset val="1"/>
      </rPr>
      <t xml:space="preserve">/</t>
    </r>
    <r>
      <rPr>
        <sz val="11"/>
        <color rgb="FF20334A"/>
        <rFont val="Noto Sans CJK SC"/>
        <family val="2"/>
        <charset val="1"/>
      </rPr>
      <t xml:space="preserve">合同号</t>
    </r>
    <r>
      <rPr>
        <sz val="11"/>
        <color rgb="FF20334A"/>
        <rFont val="Arial"/>
        <family val="2"/>
        <charset val="1"/>
      </rPr>
      <t xml:space="preserve">/</t>
    </r>
    <r>
      <rPr>
        <sz val="11"/>
        <color rgb="FF20334A"/>
        <rFont val="Noto Sans CJK SC"/>
        <family val="2"/>
        <charset val="1"/>
      </rPr>
      <t xml:space="preserve">版本，不从同保司同名推同一身份；</t>
    </r>
    <r>
      <rPr>
        <sz val="11"/>
        <color rgb="FF20334A"/>
        <rFont val="Arial"/>
        <family val="2"/>
        <charset val="1"/>
      </rPr>
      <t xml:space="preserve">MY-SUN-033</t>
    </r>
    <r>
      <rPr>
        <sz val="11"/>
        <color rgb="FF20334A"/>
        <rFont val="Noto Sans CJK SC"/>
        <family val="2"/>
        <charset val="1"/>
      </rPr>
      <t xml:space="preserve">的</t>
    </r>
    <r>
      <rPr>
        <sz val="11"/>
        <color rgb="FF20334A"/>
        <rFont val="Arial"/>
        <family val="2"/>
        <charset val="1"/>
      </rPr>
      <t xml:space="preserve">CIMB Islamic</t>
    </r>
    <r>
      <rPr>
        <sz val="11"/>
        <color rgb="FF20334A"/>
        <rFont val="Noto Sans CJK SC"/>
        <family val="2"/>
        <charset val="1"/>
      </rPr>
      <t xml:space="preserve">不同原件不纳入本批。</t>
    </r>
  </si>
  <si>
    <t xml:space="preserve">SRC-B4-MY-003</t>
  </si>
  <si>
    <t xml:space="preserve">Biz Shield Plus-i (Level) Master Contract</t>
  </si>
  <si>
    <r>
      <rPr>
        <sz val="11"/>
        <color rgb="FF20334A"/>
        <rFont val="Noto Sans CJK SC"/>
        <family val="2"/>
        <charset val="1"/>
      </rPr>
      <t xml:space="preserve">核</t>
    </r>
    <r>
      <rPr>
        <sz val="11"/>
        <color rgb="FF20334A"/>
        <rFont val="Arial"/>
        <family val="2"/>
        <charset val="1"/>
      </rPr>
      <t xml:space="preserve">Biz Shield Plus-i (Level)</t>
    </r>
    <r>
      <rPr>
        <sz val="11"/>
        <color rgb="FF20334A"/>
        <rFont val="Noto Sans CJK SC"/>
        <family val="2"/>
        <charset val="1"/>
      </rPr>
      <t xml:space="preserve">正文主合同、固定</t>
    </r>
    <r>
      <rPr>
        <sz val="11"/>
        <color rgb="FF20334A"/>
        <rFont val="Arial"/>
        <family val="2"/>
        <charset val="1"/>
      </rPr>
      <t xml:space="preserve">/</t>
    </r>
    <r>
      <rPr>
        <sz val="11"/>
        <color rgb="FF20334A"/>
        <rFont val="Noto Sans CJK SC"/>
        <family val="2"/>
        <charset val="1"/>
      </rPr>
      <t xml:space="preserve">递减命名边界、版本与批单，保留其与</t>
    </r>
    <r>
      <rPr>
        <sz val="11"/>
        <color rgb="FF20334A"/>
        <rFont val="Arial"/>
        <family val="2"/>
        <charset val="1"/>
      </rPr>
      <t xml:space="preserve">Biz Shield-i/Biz Shield</t>
    </r>
    <r>
      <rPr>
        <sz val="11"/>
        <color rgb="FF20334A"/>
        <rFont val="Noto Sans CJK SC"/>
        <family val="2"/>
        <charset val="1"/>
      </rPr>
      <t xml:space="preserve">及</t>
    </r>
    <r>
      <rPr>
        <sz val="11"/>
        <color rgb="FF20334A"/>
        <rFont val="Arial"/>
        <family val="2"/>
        <charset val="1"/>
      </rPr>
      <t xml:space="preserve">Reducing</t>
    </r>
    <r>
      <rPr>
        <sz val="11"/>
        <color rgb="FF20334A"/>
        <rFont val="Noto Sans CJK SC"/>
        <family val="2"/>
        <charset val="1"/>
      </rPr>
      <t xml:space="preserve">的区别；不得从文件名预设保障。</t>
    </r>
  </si>
  <si>
    <t xml:space="preserve">SRC-B4-MY-004</t>
  </si>
  <si>
    <t xml:space="preserve">Biz Shield Plus-i (Reducing) Master Contract</t>
  </si>
  <si>
    <r>
      <rPr>
        <sz val="11"/>
        <color rgb="FF20334A"/>
        <rFont val="Noto Sans CJK SC"/>
        <family val="2"/>
        <charset val="1"/>
      </rPr>
      <t xml:space="preserve">核</t>
    </r>
    <r>
      <rPr>
        <sz val="11"/>
        <color rgb="FF20334A"/>
        <rFont val="Arial"/>
        <family val="2"/>
        <charset val="1"/>
      </rPr>
      <t xml:space="preserve">Biz Shield Plus-i (Reducing)</t>
    </r>
    <r>
      <rPr>
        <sz val="11"/>
        <color rgb="FF20334A"/>
        <rFont val="Noto Sans CJK SC"/>
        <family val="2"/>
        <charset val="1"/>
      </rPr>
      <t xml:space="preserve">正文主合同、版本与批单。即使与</t>
    </r>
    <r>
      <rPr>
        <sz val="11"/>
        <color rgb="FF20334A"/>
        <rFont val="Arial"/>
        <family val="2"/>
        <charset val="1"/>
      </rPr>
      <t xml:space="preserve">Level</t>
    </r>
    <r>
      <rPr>
        <sz val="11"/>
        <color rgb="FF20334A"/>
        <rFont val="Noto Sans CJK SC"/>
        <family val="2"/>
        <charset val="1"/>
      </rPr>
      <t xml:space="preserve">同主体同计划家族，也按合同号和版本证据登记关系；不同</t>
    </r>
    <r>
      <rPr>
        <sz val="11"/>
        <color rgb="FF20334A"/>
        <rFont val="Arial"/>
        <family val="2"/>
        <charset val="1"/>
      </rPr>
      <t xml:space="preserve">SHA</t>
    </r>
    <r>
      <rPr>
        <sz val="11"/>
        <color rgb="FF20334A"/>
        <rFont val="Noto Sans CJK SC"/>
        <family val="2"/>
        <charset val="1"/>
      </rPr>
      <t xml:space="preserve">不自动等于不同市场产品。</t>
    </r>
  </si>
  <si>
    <t xml:space="preserve">SRC-B4-MY-005</t>
  </si>
  <si>
    <r>
      <rPr>
        <sz val="11"/>
        <color rgb="FF20334A"/>
        <rFont val="Noto Sans CJK SC"/>
        <family val="2"/>
        <charset val="1"/>
      </rPr>
      <t xml:space="preserve">按已审法律主体分列；详见</t>
    </r>
    <r>
      <rPr>
        <sz val="11"/>
        <color rgb="FF20334A"/>
        <rFont val="Arial"/>
        <family val="0"/>
        <charset val="1"/>
      </rPr>
      <t xml:space="preserve">MY</t>
    </r>
    <r>
      <rPr>
        <sz val="11"/>
        <color rgb="FF20334A"/>
        <rFont val="Noto Sans CJK SC"/>
        <family val="2"/>
        <charset val="1"/>
      </rPr>
      <t xml:space="preserve">侧表</t>
    </r>
  </si>
  <si>
    <r>
      <rPr>
        <sz val="11"/>
        <color rgb="FF20334A"/>
        <rFont val="Arial"/>
        <family val="2"/>
        <charset val="1"/>
      </rPr>
      <t xml:space="preserve">Cash Plus Assurance / Credit Protector Plus </t>
    </r>
    <r>
      <rPr>
        <sz val="11"/>
        <color rgb="FF20334A"/>
        <rFont val="Noto Sans CJK SC"/>
        <family val="2"/>
        <charset val="1"/>
      </rPr>
      <t xml:space="preserve">合同方案身份及材料映射</t>
    </r>
  </si>
  <si>
    <r>
      <rPr>
        <sz val="11"/>
        <color rgb="FF20334A"/>
        <rFont val="Noto Sans CJK SC"/>
        <family val="2"/>
        <charset val="1"/>
      </rPr>
      <t xml:space="preserve">已审合同方案身份归一化</t>
    </r>
    <r>
      <rPr>
        <sz val="11"/>
        <color rgb="FF20334A"/>
        <rFont val="Arial"/>
        <family val="2"/>
        <charset val="1"/>
      </rPr>
      <t xml:space="preserve">/</t>
    </r>
    <r>
      <rPr>
        <sz val="11"/>
        <color rgb="FF20334A"/>
        <rFont val="Noto Sans CJK SC"/>
        <family val="2"/>
        <charset val="1"/>
      </rPr>
      <t xml:space="preserve">材料映射工作单</t>
    </r>
  </si>
  <si>
    <r>
      <rPr>
        <sz val="11"/>
        <color rgb="FF20334A"/>
        <rFont val="Noto Sans CJK SC"/>
        <family val="2"/>
        <charset val="1"/>
      </rPr>
      <t xml:space="preserve">交付有限</t>
    </r>
    <r>
      <rPr>
        <sz val="11"/>
        <color rgb="FF20334A"/>
        <rFont val="Arial"/>
        <family val="2"/>
        <charset val="1"/>
      </rPr>
      <t xml:space="preserve">MY</t>
    </r>
    <r>
      <rPr>
        <sz val="11"/>
        <color rgb="FF20334A"/>
        <rFont val="Noto Sans CJK SC"/>
        <family val="2"/>
        <charset val="1"/>
      </rPr>
      <t xml:space="preserve">合同方案母表与材料关联侧表、字段证据、</t>
    </r>
    <r>
      <rPr>
        <sz val="11"/>
        <color rgb="FF20334A"/>
        <rFont val="Arial"/>
        <family val="2"/>
        <charset val="1"/>
      </rPr>
      <t xml:space="preserve">null/</t>
    </r>
    <r>
      <rPr>
        <sz val="11"/>
        <color rgb="FF20334A"/>
        <rFont val="Noto Sans CJK SC"/>
        <family val="2"/>
        <charset val="1"/>
      </rPr>
      <t xml:space="preserve">冲突清单及</t>
    </r>
    <r>
      <rPr>
        <sz val="11"/>
        <color rgb="FF20334A"/>
        <rFont val="Arial"/>
        <family val="2"/>
        <charset val="1"/>
      </rPr>
      <t xml:space="preserve">merge</t>
    </r>
    <r>
      <rPr>
        <sz val="11"/>
        <color rgb="FF20334A"/>
        <rFont val="Noto Sans CJK SC"/>
        <family val="2"/>
        <charset val="1"/>
      </rPr>
      <t xml:space="preserve">验证；不以现售未知阻止可证身份登记。跨主体不同键；目录活动</t>
    </r>
    <r>
      <rPr>
        <sz val="11"/>
        <color rgb="FF20334A"/>
        <rFont val="Arial"/>
        <family val="2"/>
        <charset val="1"/>
      </rPr>
      <t xml:space="preserve">/</t>
    </r>
    <r>
      <rPr>
        <sz val="11"/>
        <color rgb="FF20334A"/>
        <rFont val="Noto Sans CJK SC"/>
        <family val="2"/>
        <charset val="1"/>
      </rPr>
      <t xml:space="preserve">来源配对不是正文或现行采用。已审原件</t>
    </r>
    <r>
      <rPr>
        <sz val="11"/>
        <color rgb="FF20334A"/>
        <rFont val="Arial"/>
        <family val="2"/>
        <charset val="1"/>
      </rPr>
      <t xml:space="preserve">full/primary</t>
    </r>
    <r>
      <rPr>
        <sz val="11"/>
        <color rgb="FF20334A"/>
        <rFont val="Noto Sans CJK SC"/>
        <family val="2"/>
        <charset val="1"/>
      </rPr>
      <t xml:space="preserve">不重计；工作单完成数不是新增全文数、独立产品数或全市场分母。</t>
    </r>
  </si>
  <si>
    <r>
      <rPr>
        <sz val="11"/>
        <color rgb="FF20334A"/>
        <rFont val="Noto Sans CJK SC"/>
        <family val="2"/>
        <charset val="1"/>
      </rPr>
      <t xml:space="preserve">建立限定</t>
    </r>
    <r>
      <rPr>
        <sz val="11"/>
        <color rgb="FF20334A"/>
        <rFont val="Arial"/>
        <family val="2"/>
        <charset val="1"/>
      </rPr>
      <t xml:space="preserve">MY</t>
    </r>
    <r>
      <rPr>
        <sz val="11"/>
        <color rgb="FF20334A"/>
        <rFont val="Noto Sans CJK SC"/>
        <family val="2"/>
        <charset val="1"/>
      </rPr>
      <t xml:space="preserve">合同方案母表侧表，主键由法律主体</t>
    </r>
    <r>
      <rPr>
        <sz val="11"/>
        <color rgb="FF20334A"/>
        <rFont val="Arial"/>
        <family val="2"/>
        <charset val="1"/>
      </rPr>
      <t xml:space="preserve">+</t>
    </r>
    <r>
      <rPr>
        <sz val="11"/>
        <color rgb="FF20334A"/>
        <rFont val="Noto Sans CJK SC"/>
        <family val="2"/>
        <charset val="1"/>
      </rPr>
      <t xml:space="preserve">正文计划名</t>
    </r>
    <r>
      <rPr>
        <sz val="11"/>
        <color rgb="FF20334A"/>
        <rFont val="Arial"/>
        <family val="2"/>
        <charset val="1"/>
      </rPr>
      <t xml:space="preserve">+</t>
    </r>
    <r>
      <rPr>
        <sz val="11"/>
        <color rgb="FF20334A"/>
        <rFont val="Noto Sans CJK SC"/>
        <family val="2"/>
        <charset val="1"/>
      </rPr>
      <t xml:space="preserve">合同号</t>
    </r>
    <r>
      <rPr>
        <sz val="11"/>
        <color rgb="FF20334A"/>
        <rFont val="Arial"/>
        <family val="2"/>
        <charset val="1"/>
      </rPr>
      <t xml:space="preserve">+</t>
    </r>
    <r>
      <rPr>
        <sz val="11"/>
        <color rgb="FF20334A"/>
        <rFont val="Noto Sans CJK SC"/>
        <family val="2"/>
        <charset val="1"/>
      </rPr>
      <t xml:space="preserve">版本</t>
    </r>
    <r>
      <rPr>
        <sz val="11"/>
        <color rgb="FF20334A"/>
        <rFont val="Arial"/>
        <family val="2"/>
        <charset val="1"/>
      </rPr>
      <t xml:space="preserve">/</t>
    </r>
    <r>
      <rPr>
        <sz val="11"/>
        <color rgb="FF20334A"/>
        <rFont val="Noto Sans CJK SC"/>
        <family val="2"/>
        <charset val="1"/>
      </rPr>
      <t xml:space="preserve">批单证据形成；合同方案与材料采用关系分表。每字段给已审结果页号</t>
    </r>
    <r>
      <rPr>
        <sz val="11"/>
        <color rgb="FF20334A"/>
        <rFont val="Arial"/>
        <family val="2"/>
        <charset val="1"/>
      </rPr>
      <t xml:space="preserve">/</t>
    </r>
    <r>
      <rPr>
        <sz val="11"/>
        <color rgb="FF20334A"/>
        <rFont val="Noto Sans CJK SC"/>
        <family val="2"/>
        <charset val="1"/>
      </rPr>
      <t xml:space="preserve">证据指针；分别记合同身份、目录</t>
    </r>
    <r>
      <rPr>
        <sz val="11"/>
        <color rgb="FF20334A"/>
        <rFont val="Arial"/>
        <family val="2"/>
        <charset val="1"/>
      </rPr>
      <t xml:space="preserve">/</t>
    </r>
    <r>
      <rPr>
        <sz val="11"/>
        <color rgb="FF20334A"/>
        <rFont val="Noto Sans CJK SC"/>
        <family val="2"/>
        <charset val="1"/>
      </rPr>
      <t xml:space="preserve">历史采用、当前版本采用、现售、公开包完整和个人保单组件。输出可增量合并但不写</t>
    </r>
    <r>
      <rPr>
        <sz val="11"/>
        <color rgb="FF20334A"/>
        <rFont val="Arial"/>
        <family val="2"/>
        <charset val="1"/>
      </rPr>
      <t xml:space="preserve">Site/Library</t>
    </r>
    <r>
      <rPr>
        <sz val="11"/>
        <color rgb="FF20334A"/>
        <rFont val="Noto Sans CJK SC"/>
        <family val="2"/>
        <charset val="1"/>
      </rPr>
      <t xml:space="preserve">。同为</t>
    </r>
    <r>
      <rPr>
        <sz val="11"/>
        <color rgb="FF20334A"/>
        <rFont val="Arial"/>
        <family val="2"/>
        <charset val="1"/>
      </rPr>
      <t xml:space="preserve">Assurance</t>
    </r>
    <r>
      <rPr>
        <sz val="11"/>
        <color rgb="FF20334A"/>
        <rFont val="Noto Sans CJK SC"/>
        <family val="2"/>
        <charset val="1"/>
      </rPr>
      <t xml:space="preserve">融资</t>
    </r>
    <r>
      <rPr>
        <sz val="11"/>
        <color rgb="FF20334A"/>
        <rFont val="Arial"/>
        <family val="2"/>
        <charset val="1"/>
      </rPr>
      <t xml:space="preserve">/</t>
    </r>
    <r>
      <rPr>
        <sz val="11"/>
        <color rgb="FF20334A"/>
        <rFont val="Noto Sans CJK SC"/>
        <family val="2"/>
        <charset val="1"/>
      </rPr>
      <t xml:space="preserve">信用名称不构成同一计划；</t>
    </r>
    <r>
      <rPr>
        <sz val="11"/>
        <color rgb="FF20334A"/>
        <rFont val="Arial"/>
        <family val="2"/>
        <charset val="1"/>
      </rPr>
      <t xml:space="preserve">Cash Plus</t>
    </r>
    <r>
      <rPr>
        <sz val="11"/>
        <color rgb="FF20334A"/>
        <rFont val="Noto Sans CJK SC"/>
        <family val="2"/>
        <charset val="1"/>
      </rPr>
      <t xml:space="preserve">与</t>
    </r>
    <r>
      <rPr>
        <sz val="11"/>
        <color rgb="FF20334A"/>
        <rFont val="Arial"/>
        <family val="2"/>
        <charset val="1"/>
      </rPr>
      <t xml:space="preserve">CPP</t>
    </r>
    <r>
      <rPr>
        <sz val="11"/>
        <color rgb="FF20334A"/>
        <rFont val="Noto Sans CJK SC"/>
        <family val="2"/>
        <charset val="1"/>
      </rPr>
      <t xml:space="preserve">按已审主体</t>
    </r>
    <r>
      <rPr>
        <sz val="11"/>
        <color rgb="FF20334A"/>
        <rFont val="Arial"/>
        <family val="2"/>
        <charset val="1"/>
      </rPr>
      <t xml:space="preserve">/</t>
    </r>
    <r>
      <rPr>
        <sz val="11"/>
        <color rgb="FF20334A"/>
        <rFont val="Noto Sans CJK SC"/>
        <family val="2"/>
        <charset val="1"/>
      </rPr>
      <t xml:space="preserve">正文计划名</t>
    </r>
    <r>
      <rPr>
        <sz val="11"/>
        <color rgb="FF20334A"/>
        <rFont val="Arial"/>
        <family val="2"/>
        <charset val="1"/>
      </rPr>
      <t xml:space="preserve">/</t>
    </r>
    <r>
      <rPr>
        <sz val="11"/>
        <color rgb="FF20334A"/>
        <rFont val="Noto Sans CJK SC"/>
        <family val="2"/>
        <charset val="1"/>
      </rPr>
      <t xml:space="preserve">合同号</t>
    </r>
    <r>
      <rPr>
        <sz val="11"/>
        <color rgb="FF20334A"/>
        <rFont val="Arial"/>
        <family val="2"/>
        <charset val="1"/>
      </rPr>
      <t xml:space="preserve">/</t>
    </r>
    <r>
      <rPr>
        <sz val="11"/>
        <color rgb="FF20334A"/>
        <rFont val="Noto Sans CJK SC"/>
        <family val="2"/>
        <charset val="1"/>
      </rPr>
      <t xml:space="preserve">版本分别登记。不得把</t>
    </r>
    <r>
      <rPr>
        <sz val="11"/>
        <color rgb="FF20334A"/>
        <rFont val="Arial"/>
        <family val="2"/>
        <charset val="1"/>
      </rPr>
      <t xml:space="preserve">source_pairing/current_sale</t>
    </r>
    <r>
      <rPr>
        <sz val="11"/>
        <color rgb="FF20334A"/>
        <rFont val="Noto Sans CJK SC"/>
        <family val="2"/>
        <charset val="1"/>
      </rPr>
      <t xml:space="preserve">未证当正文合同身份不可登记。</t>
    </r>
  </si>
  <si>
    <t xml:space="preserve">SRC-B4-MY-ID-001</t>
  </si>
  <si>
    <r>
      <rPr>
        <sz val="11"/>
        <color rgb="FF20334A"/>
        <rFont val="Arial"/>
        <family val="2"/>
        <charset val="1"/>
      </rPr>
      <t xml:space="preserve">Biz Shield / Biz Shield-i </t>
    </r>
    <r>
      <rPr>
        <sz val="11"/>
        <color rgb="FF20334A"/>
        <rFont val="Noto Sans CJK SC"/>
        <family val="2"/>
        <charset val="1"/>
      </rPr>
      <t xml:space="preserve">跨主体身份隔离及材料映射</t>
    </r>
  </si>
  <si>
    <r>
      <rPr>
        <sz val="11"/>
        <color rgb="FF20334A"/>
        <rFont val="Noto Sans CJK SC"/>
        <family val="2"/>
        <charset val="1"/>
      </rPr>
      <t xml:space="preserve">建立限定</t>
    </r>
    <r>
      <rPr>
        <sz val="11"/>
        <color rgb="FF20334A"/>
        <rFont val="Arial"/>
        <family val="2"/>
        <charset val="1"/>
      </rPr>
      <t xml:space="preserve">MY</t>
    </r>
    <r>
      <rPr>
        <sz val="11"/>
        <color rgb="FF20334A"/>
        <rFont val="Noto Sans CJK SC"/>
        <family val="2"/>
        <charset val="1"/>
      </rPr>
      <t xml:space="preserve">合同方案母表侧表，主键由法律主体</t>
    </r>
    <r>
      <rPr>
        <sz val="11"/>
        <color rgb="FF20334A"/>
        <rFont val="Arial"/>
        <family val="2"/>
        <charset val="1"/>
      </rPr>
      <t xml:space="preserve">+</t>
    </r>
    <r>
      <rPr>
        <sz val="11"/>
        <color rgb="FF20334A"/>
        <rFont val="Noto Sans CJK SC"/>
        <family val="2"/>
        <charset val="1"/>
      </rPr>
      <t xml:space="preserve">正文计划名</t>
    </r>
    <r>
      <rPr>
        <sz val="11"/>
        <color rgb="FF20334A"/>
        <rFont val="Arial"/>
        <family val="2"/>
        <charset val="1"/>
      </rPr>
      <t xml:space="preserve">+</t>
    </r>
    <r>
      <rPr>
        <sz val="11"/>
        <color rgb="FF20334A"/>
        <rFont val="Noto Sans CJK SC"/>
        <family val="2"/>
        <charset val="1"/>
      </rPr>
      <t xml:space="preserve">合同号</t>
    </r>
    <r>
      <rPr>
        <sz val="11"/>
        <color rgb="FF20334A"/>
        <rFont val="Arial"/>
        <family val="2"/>
        <charset val="1"/>
      </rPr>
      <t xml:space="preserve">+</t>
    </r>
    <r>
      <rPr>
        <sz val="11"/>
        <color rgb="FF20334A"/>
        <rFont val="Noto Sans CJK SC"/>
        <family val="2"/>
        <charset val="1"/>
      </rPr>
      <t xml:space="preserve">版本</t>
    </r>
    <r>
      <rPr>
        <sz val="11"/>
        <color rgb="FF20334A"/>
        <rFont val="Arial"/>
        <family val="2"/>
        <charset val="1"/>
      </rPr>
      <t xml:space="preserve">/</t>
    </r>
    <r>
      <rPr>
        <sz val="11"/>
        <color rgb="FF20334A"/>
        <rFont val="Noto Sans CJK SC"/>
        <family val="2"/>
        <charset val="1"/>
      </rPr>
      <t xml:space="preserve">批单证据形成；合同方案与材料采用关系分表。每字段给已审结果页号</t>
    </r>
    <r>
      <rPr>
        <sz val="11"/>
        <color rgb="FF20334A"/>
        <rFont val="Arial"/>
        <family val="2"/>
        <charset val="1"/>
      </rPr>
      <t xml:space="preserve">/</t>
    </r>
    <r>
      <rPr>
        <sz val="11"/>
        <color rgb="FF20334A"/>
        <rFont val="Noto Sans CJK SC"/>
        <family val="2"/>
        <charset val="1"/>
      </rPr>
      <t xml:space="preserve">证据指针；分别记合同身份、目录</t>
    </r>
    <r>
      <rPr>
        <sz val="11"/>
        <color rgb="FF20334A"/>
        <rFont val="Arial"/>
        <family val="2"/>
        <charset val="1"/>
      </rPr>
      <t xml:space="preserve">/</t>
    </r>
    <r>
      <rPr>
        <sz val="11"/>
        <color rgb="FF20334A"/>
        <rFont val="Noto Sans CJK SC"/>
        <family val="2"/>
        <charset val="1"/>
      </rPr>
      <t xml:space="preserve">历史采用、当前版本采用、现售、公开包完整和个人保单组件。输出可增量合并但不写</t>
    </r>
    <r>
      <rPr>
        <sz val="11"/>
        <color rgb="FF20334A"/>
        <rFont val="Arial"/>
        <family val="2"/>
        <charset val="1"/>
      </rPr>
      <t xml:space="preserve">Site/Library</t>
    </r>
    <r>
      <rPr>
        <sz val="11"/>
        <color rgb="FF20334A"/>
        <rFont val="Noto Sans CJK SC"/>
        <family val="2"/>
        <charset val="1"/>
      </rPr>
      <t xml:space="preserve">。</t>
    </r>
    <r>
      <rPr>
        <sz val="11"/>
        <color rgb="FF20334A"/>
        <rFont val="Arial"/>
        <family val="2"/>
        <charset val="1"/>
      </rPr>
      <t xml:space="preserve">Assurance BIZS0914 </t>
    </r>
    <r>
      <rPr>
        <sz val="11"/>
        <color rgb="FF20334A"/>
        <rFont val="Noto Sans CJK SC"/>
        <family val="2"/>
        <charset val="1"/>
      </rPr>
      <t xml:space="preserve">与</t>
    </r>
    <r>
      <rPr>
        <sz val="11"/>
        <color rgb="FF20334A"/>
        <rFont val="Arial"/>
        <family val="2"/>
        <charset val="1"/>
      </rPr>
      <t xml:space="preserve">Takaful BSI0317</t>
    </r>
    <r>
      <rPr>
        <sz val="11"/>
        <color rgb="FF20334A"/>
        <rFont val="Noto Sans CJK SC"/>
        <family val="2"/>
        <charset val="1"/>
      </rPr>
      <t xml:space="preserve">必须分开；名称相近或共用下载页不得跨主体合并，</t>
    </r>
    <r>
      <rPr>
        <sz val="11"/>
        <color rgb="FF20334A"/>
        <rFont val="Arial"/>
        <family val="2"/>
        <charset val="1"/>
      </rPr>
      <t xml:space="preserve">B4</t>
    </r>
    <r>
      <rPr>
        <sz val="11"/>
        <color rgb="FF20334A"/>
        <rFont val="Noto Sans CJK SC"/>
        <family val="2"/>
        <charset val="1"/>
      </rPr>
      <t xml:space="preserve">新</t>
    </r>
    <r>
      <rPr>
        <sz val="11"/>
        <color rgb="FF20334A"/>
        <rFont val="Arial"/>
        <family val="2"/>
        <charset val="1"/>
      </rPr>
      <t xml:space="preserve">Plus-i</t>
    </r>
    <r>
      <rPr>
        <sz val="11"/>
        <color rgb="FF20334A"/>
        <rFont val="Noto Sans CJK SC"/>
        <family val="2"/>
        <charset val="1"/>
      </rPr>
      <t xml:space="preserve">候选不能未审先并入。</t>
    </r>
  </si>
  <si>
    <t xml:space="preserve">SRC-B4-MY-ID-002</t>
  </si>
  <si>
    <t xml:space="preserve">Polis Standar Asuransi Terorisme dan Sabotase Indonesia (PSATSI)</t>
  </si>
  <si>
    <t xml:space="preserve">既有标准条款全文核验</t>
  </si>
  <si>
    <r>
      <rPr>
        <sz val="11"/>
        <color rgb="FF20334A"/>
        <rFont val="Noto Sans CJK SC"/>
        <family val="2"/>
        <charset val="1"/>
      </rPr>
      <t xml:space="preserve">逐物理页记录正文与普通视觉审读范围、语言可判读性、页码</t>
    </r>
    <r>
      <rPr>
        <sz val="11"/>
        <color rgb="FF20334A"/>
        <rFont val="Arial"/>
        <family val="2"/>
        <charset val="1"/>
      </rPr>
      <t xml:space="preserve">/</t>
    </r>
    <r>
      <rPr>
        <sz val="11"/>
        <color rgb="FF20334A"/>
        <rFont val="Noto Sans CJK SC"/>
        <family val="2"/>
        <charset val="1"/>
      </rPr>
      <t xml:space="preserve">附表</t>
    </r>
    <r>
      <rPr>
        <sz val="11"/>
        <color rgb="FF20334A"/>
        <rFont val="Arial"/>
        <family val="2"/>
        <charset val="1"/>
      </rPr>
      <t xml:space="preserve">/</t>
    </r>
    <r>
      <rPr>
        <sz val="11"/>
        <color rgb="FF20334A"/>
        <rFont val="Noto Sans CJK SC"/>
        <family val="2"/>
        <charset val="1"/>
      </rPr>
      <t xml:space="preserve">批单完整性、主体</t>
    </r>
    <r>
      <rPr>
        <sz val="11"/>
        <color rgb="FF20334A"/>
        <rFont val="Arial"/>
        <family val="2"/>
        <charset val="1"/>
      </rPr>
      <t xml:space="preserve">/</t>
    </r>
    <r>
      <rPr>
        <sz val="11"/>
        <color rgb="FF20334A"/>
        <rFont val="Noto Sans CJK SC"/>
        <family val="2"/>
        <charset val="1"/>
      </rPr>
      <t xml:space="preserve">正文计划名</t>
    </r>
    <r>
      <rPr>
        <sz val="11"/>
        <color rgb="FF20334A"/>
        <rFont val="Arial"/>
        <family val="2"/>
        <charset val="1"/>
      </rPr>
      <t xml:space="preserve">/</t>
    </r>
    <r>
      <rPr>
        <sz val="11"/>
        <color rgb="FF20334A"/>
        <rFont val="Noto Sans CJK SC"/>
        <family val="2"/>
        <charset val="1"/>
      </rPr>
      <t xml:space="preserve">合同号</t>
    </r>
    <r>
      <rPr>
        <sz val="11"/>
        <color rgb="FF20334A"/>
        <rFont val="Arial"/>
        <family val="2"/>
        <charset val="1"/>
      </rPr>
      <t xml:space="preserve">/</t>
    </r>
    <r>
      <rPr>
        <sz val="11"/>
        <color rgb="FF20334A"/>
        <rFont val="Noto Sans CJK SC"/>
        <family val="2"/>
        <charset val="1"/>
      </rPr>
      <t xml:space="preserve">版本与引用依赖；不确定或无法判读页维持</t>
    </r>
    <r>
      <rPr>
        <sz val="11"/>
        <color rgb="FF20334A"/>
        <rFont val="Arial"/>
        <family val="2"/>
        <charset val="1"/>
      </rPr>
      <t xml:space="preserve">partial</t>
    </r>
    <r>
      <rPr>
        <sz val="11"/>
        <color rgb="FF20334A"/>
        <rFont val="Noto Sans CJK SC"/>
        <family val="2"/>
        <charset val="1"/>
      </rPr>
      <t xml:space="preserve">并给精确页号。</t>
    </r>
    <r>
      <rPr>
        <sz val="11"/>
        <color rgb="FF20334A"/>
        <rFont val="Arial"/>
        <family val="2"/>
        <charset val="1"/>
      </rPr>
      <t xml:space="preserve">full</t>
    </r>
    <r>
      <rPr>
        <sz val="11"/>
        <color rgb="FF20334A"/>
        <rFont val="Noto Sans CJK SC"/>
        <family val="2"/>
        <charset val="1"/>
      </rPr>
      <t xml:space="preserve">、</t>
    </r>
    <r>
      <rPr>
        <sz val="11"/>
        <color rgb="FF20334A"/>
        <rFont val="Arial"/>
        <family val="2"/>
        <charset val="1"/>
      </rPr>
      <t xml:space="preserve">primary</t>
    </r>
    <r>
      <rPr>
        <sz val="11"/>
        <color rgb="FF20334A"/>
        <rFont val="Noto Sans CJK SC"/>
        <family val="2"/>
        <charset val="1"/>
      </rPr>
      <t xml:space="preserve">、</t>
    </r>
    <r>
      <rPr>
        <sz val="11"/>
        <color rgb="FF20334A"/>
        <rFont val="Arial"/>
        <family val="2"/>
        <charset val="1"/>
      </rPr>
      <t xml:space="preserve">strict</t>
    </r>
    <r>
      <rPr>
        <sz val="11"/>
        <color rgb="FF20334A"/>
        <rFont val="Noto Sans CJK SC"/>
        <family val="2"/>
        <charset val="1"/>
      </rPr>
      <t xml:space="preserve">、具名采用、现售、公开包与个人保单齐分开验收；</t>
    </r>
    <r>
      <rPr>
        <sz val="11"/>
        <color rgb="FF20334A"/>
        <rFont val="Arial"/>
        <family val="2"/>
        <charset val="1"/>
      </rPr>
      <t xml:space="preserve">full</t>
    </r>
    <r>
      <rPr>
        <sz val="11"/>
        <color rgb="FF20334A"/>
        <rFont val="Noto Sans CJK SC"/>
        <family val="2"/>
        <charset val="1"/>
      </rPr>
      <t xml:space="preserve">不能自动触发其他层。标准条款完整可确认，但具名产品采用未证不得升级为该保险公司具体产品主文或独立产品缺口关闭；印尼文不可靠则</t>
    </r>
    <r>
      <rPr>
        <sz val="11"/>
        <color rgb="FF20334A"/>
        <rFont val="Arial"/>
        <family val="2"/>
        <charset val="1"/>
      </rPr>
      <t xml:space="preserve">partial</t>
    </r>
    <r>
      <rPr>
        <sz val="11"/>
        <color rgb="FF20334A"/>
        <rFont val="Noto Sans CJK SC"/>
        <family val="2"/>
        <charset val="1"/>
      </rPr>
      <t xml:space="preserve">。</t>
    </r>
  </si>
  <si>
    <r>
      <rPr>
        <sz val="11"/>
        <color rgb="FF20334A"/>
        <rFont val="Noto Sans CJK SC"/>
        <family val="2"/>
        <charset val="1"/>
      </rPr>
      <t xml:space="preserve">只核</t>
    </r>
    <r>
      <rPr>
        <sz val="11"/>
        <color rgb="FF20334A"/>
        <rFont val="Arial"/>
        <family val="2"/>
        <charset val="1"/>
      </rPr>
      <t xml:space="preserve">18</t>
    </r>
    <r>
      <rPr>
        <sz val="11"/>
        <color rgb="FF20334A"/>
        <rFont val="Noto Sans CJK SC"/>
        <family val="2"/>
        <charset val="1"/>
      </rPr>
      <t xml:space="preserve">页印尼文</t>
    </r>
    <r>
      <rPr>
        <sz val="11"/>
        <color rgb="FF20334A"/>
        <rFont val="Arial"/>
        <family val="2"/>
        <charset val="1"/>
      </rPr>
      <t xml:space="preserve">/</t>
    </r>
    <r>
      <rPr>
        <sz val="11"/>
        <color rgb="FF20334A"/>
        <rFont val="Noto Sans CJK SC"/>
        <family val="2"/>
        <charset val="1"/>
      </rPr>
      <t xml:space="preserve">英文标准条款、</t>
    </r>
    <r>
      <rPr>
        <sz val="11"/>
        <color rgb="FF20334A"/>
        <rFont val="Arial"/>
        <family val="2"/>
        <charset val="1"/>
      </rPr>
      <t xml:space="preserve">PSATSI-AAUI2021/MAG2021</t>
    </r>
    <r>
      <rPr>
        <sz val="11"/>
        <color rgb="FF20334A"/>
        <rFont val="Noto Sans CJK SC"/>
        <family val="2"/>
        <charset val="1"/>
      </rPr>
      <t xml:space="preserve">编号、翻译优先语及引用附表</t>
    </r>
    <r>
      <rPr>
        <sz val="11"/>
        <color rgb="FF20334A"/>
        <rFont val="Arial"/>
        <family val="2"/>
        <charset val="1"/>
      </rPr>
      <t xml:space="preserve">/</t>
    </r>
    <r>
      <rPr>
        <sz val="11"/>
        <color rgb="FF20334A"/>
        <rFont val="Noto Sans CJK SC"/>
        <family val="2"/>
        <charset val="1"/>
      </rPr>
      <t xml:space="preserve">批单；主体从正文与来源归属分别记，不把官方托管等同具名产品采用。</t>
    </r>
  </si>
  <si>
    <t xml:space="preserve">SRC-B4-ID-001</t>
  </si>
  <si>
    <t xml:space="preserve">Fire &amp; Allied Perils Insurance</t>
  </si>
  <si>
    <t xml:space="preserve">既有通用组件全文核验</t>
  </si>
  <si>
    <r>
      <rPr>
        <sz val="11"/>
        <color rgb="FF20334A"/>
        <rFont val="Noto Sans CJK SC"/>
        <family val="2"/>
        <charset val="1"/>
      </rPr>
      <t xml:space="preserve">逐物理页记录正文与普通视觉审读范围、语言可判读性、页码</t>
    </r>
    <r>
      <rPr>
        <sz val="11"/>
        <color rgb="FF20334A"/>
        <rFont val="Arial"/>
        <family val="2"/>
        <charset val="1"/>
      </rPr>
      <t xml:space="preserve">/</t>
    </r>
    <r>
      <rPr>
        <sz val="11"/>
        <color rgb="FF20334A"/>
        <rFont val="Noto Sans CJK SC"/>
        <family val="2"/>
        <charset val="1"/>
      </rPr>
      <t xml:space="preserve">附表</t>
    </r>
    <r>
      <rPr>
        <sz val="11"/>
        <color rgb="FF20334A"/>
        <rFont val="Arial"/>
        <family val="2"/>
        <charset val="1"/>
      </rPr>
      <t xml:space="preserve">/</t>
    </r>
    <r>
      <rPr>
        <sz val="11"/>
        <color rgb="FF20334A"/>
        <rFont val="Noto Sans CJK SC"/>
        <family val="2"/>
        <charset val="1"/>
      </rPr>
      <t xml:space="preserve">批单完整性、主体</t>
    </r>
    <r>
      <rPr>
        <sz val="11"/>
        <color rgb="FF20334A"/>
        <rFont val="Arial"/>
        <family val="2"/>
        <charset val="1"/>
      </rPr>
      <t xml:space="preserve">/</t>
    </r>
    <r>
      <rPr>
        <sz val="11"/>
        <color rgb="FF20334A"/>
        <rFont val="Noto Sans CJK SC"/>
        <family val="2"/>
        <charset val="1"/>
      </rPr>
      <t xml:space="preserve">正文计划名</t>
    </r>
    <r>
      <rPr>
        <sz val="11"/>
        <color rgb="FF20334A"/>
        <rFont val="Arial"/>
        <family val="2"/>
        <charset val="1"/>
      </rPr>
      <t xml:space="preserve">/</t>
    </r>
    <r>
      <rPr>
        <sz val="11"/>
        <color rgb="FF20334A"/>
        <rFont val="Noto Sans CJK SC"/>
        <family val="2"/>
        <charset val="1"/>
      </rPr>
      <t xml:space="preserve">合同号</t>
    </r>
    <r>
      <rPr>
        <sz val="11"/>
        <color rgb="FF20334A"/>
        <rFont val="Arial"/>
        <family val="2"/>
        <charset val="1"/>
      </rPr>
      <t xml:space="preserve">/</t>
    </r>
    <r>
      <rPr>
        <sz val="11"/>
        <color rgb="FF20334A"/>
        <rFont val="Noto Sans CJK SC"/>
        <family val="2"/>
        <charset val="1"/>
      </rPr>
      <t xml:space="preserve">版本与引用依赖；不确定或无法判读页维持</t>
    </r>
    <r>
      <rPr>
        <sz val="11"/>
        <color rgb="FF20334A"/>
        <rFont val="Arial"/>
        <family val="2"/>
        <charset val="1"/>
      </rPr>
      <t xml:space="preserve">partial</t>
    </r>
    <r>
      <rPr>
        <sz val="11"/>
        <color rgb="FF20334A"/>
        <rFont val="Noto Sans CJK SC"/>
        <family val="2"/>
        <charset val="1"/>
      </rPr>
      <t xml:space="preserve">并给精确页号。</t>
    </r>
    <r>
      <rPr>
        <sz val="11"/>
        <color rgb="FF20334A"/>
        <rFont val="Arial"/>
        <family val="2"/>
        <charset val="1"/>
      </rPr>
      <t xml:space="preserve">full</t>
    </r>
    <r>
      <rPr>
        <sz val="11"/>
        <color rgb="FF20334A"/>
        <rFont val="Noto Sans CJK SC"/>
        <family val="2"/>
        <charset val="1"/>
      </rPr>
      <t xml:space="preserve">、</t>
    </r>
    <r>
      <rPr>
        <sz val="11"/>
        <color rgb="FF20334A"/>
        <rFont val="Arial"/>
        <family val="2"/>
        <charset val="1"/>
      </rPr>
      <t xml:space="preserve">primary</t>
    </r>
    <r>
      <rPr>
        <sz val="11"/>
        <color rgb="FF20334A"/>
        <rFont val="Noto Sans CJK SC"/>
        <family val="2"/>
        <charset val="1"/>
      </rPr>
      <t xml:space="preserve">、</t>
    </r>
    <r>
      <rPr>
        <sz val="11"/>
        <color rgb="FF20334A"/>
        <rFont val="Arial"/>
        <family val="2"/>
        <charset val="1"/>
      </rPr>
      <t xml:space="preserve">strict</t>
    </r>
    <r>
      <rPr>
        <sz val="11"/>
        <color rgb="FF20334A"/>
        <rFont val="Noto Sans CJK SC"/>
        <family val="2"/>
        <charset val="1"/>
      </rPr>
      <t xml:space="preserve">、具名采用、现售、公开包与个人保单齐分开验收；</t>
    </r>
    <r>
      <rPr>
        <sz val="11"/>
        <color rgb="FF20334A"/>
        <rFont val="Arial"/>
        <family val="2"/>
        <charset val="1"/>
      </rPr>
      <t xml:space="preserve">full</t>
    </r>
    <r>
      <rPr>
        <sz val="11"/>
        <color rgb="FF20334A"/>
        <rFont val="Noto Sans CJK SC"/>
        <family val="2"/>
        <charset val="1"/>
      </rPr>
      <t xml:space="preserve">不能自动触发其他层。通用</t>
    </r>
    <r>
      <rPr>
        <sz val="11"/>
        <color rgb="FF20334A"/>
        <rFont val="Arial"/>
        <family val="2"/>
        <charset val="1"/>
      </rPr>
      <t xml:space="preserve">/</t>
    </r>
    <r>
      <rPr>
        <sz val="11"/>
        <color rgb="FF20334A"/>
        <rFont val="Noto Sans CJK SC"/>
        <family val="2"/>
        <charset val="1"/>
      </rPr>
      <t xml:space="preserve">特殊条件不得标为完整火险主文；没有主合同采用证据不自动闭合产品。</t>
    </r>
  </si>
  <si>
    <r>
      <rPr>
        <sz val="11"/>
        <color rgb="FF20334A"/>
        <rFont val="Noto Sans CJK SC"/>
        <family val="2"/>
        <charset val="1"/>
      </rPr>
      <t xml:space="preserve">核</t>
    </r>
    <r>
      <rPr>
        <sz val="11"/>
        <color rgb="FF20334A"/>
        <rFont val="Arial"/>
        <family val="2"/>
        <charset val="1"/>
      </rPr>
      <t xml:space="preserve">2</t>
    </r>
    <r>
      <rPr>
        <sz val="11"/>
        <color rgb="FF20334A"/>
        <rFont val="Noto Sans CJK SC"/>
        <family val="2"/>
        <charset val="1"/>
      </rPr>
      <t xml:space="preserve">页</t>
    </r>
    <r>
      <rPr>
        <sz val="11"/>
        <color rgb="FF20334A"/>
        <rFont val="Arial"/>
        <family val="2"/>
        <charset val="1"/>
      </rPr>
      <t xml:space="preserve">Declaration Policies</t>
    </r>
    <r>
      <rPr>
        <sz val="11"/>
        <color rgb="FF20334A"/>
        <rFont val="Noto Sans CJK SC"/>
        <family val="2"/>
        <charset val="1"/>
      </rPr>
      <t xml:space="preserve">特殊条件、标题</t>
    </r>
    <r>
      <rPr>
        <sz val="11"/>
        <color rgb="FF20334A"/>
        <rFont val="Arial"/>
        <family val="2"/>
        <charset val="1"/>
      </rPr>
      <t xml:space="preserve">/</t>
    </r>
    <r>
      <rPr>
        <sz val="11"/>
        <color rgb="FF20334A"/>
        <rFont val="Noto Sans CJK SC"/>
        <family val="2"/>
        <charset val="1"/>
      </rPr>
      <t xml:space="preserve">页码</t>
    </r>
    <r>
      <rPr>
        <sz val="11"/>
        <color rgb="FF20334A"/>
        <rFont val="Arial"/>
        <family val="2"/>
        <charset val="1"/>
      </rPr>
      <t xml:space="preserve">/</t>
    </r>
    <r>
      <rPr>
        <sz val="11"/>
        <color rgb="FF20334A"/>
        <rFont val="Noto Sans CJK SC"/>
        <family val="2"/>
        <charset val="1"/>
      </rPr>
      <t xml:space="preserve">版本及其依附火险主合同要求；关联只限现有</t>
    </r>
    <r>
      <rPr>
        <sz val="11"/>
        <color rgb="FF20334A"/>
        <rFont val="Arial"/>
        <family val="2"/>
        <charset val="1"/>
      </rPr>
      <t xml:space="preserve">FNI Fire</t>
    </r>
    <r>
      <rPr>
        <sz val="11"/>
        <color rgb="FF20334A"/>
        <rFont val="Noto Sans CJK SC"/>
        <family val="2"/>
        <charset val="1"/>
      </rPr>
      <t xml:space="preserve">来源组。</t>
    </r>
  </si>
  <si>
    <t xml:space="preserve">SRC-B4-MM-001</t>
  </si>
  <si>
    <r>
      <rPr>
        <sz val="11"/>
        <color rgb="FF20334A"/>
        <rFont val="Noto Sans CJK SC"/>
        <family val="2"/>
        <charset val="1"/>
      </rPr>
      <t xml:space="preserve">逐物理页记录正文与普通视觉审读范围、语言可判读性、页码</t>
    </r>
    <r>
      <rPr>
        <sz val="11"/>
        <color rgb="FF20334A"/>
        <rFont val="Arial"/>
        <family val="2"/>
        <charset val="1"/>
      </rPr>
      <t xml:space="preserve">/</t>
    </r>
    <r>
      <rPr>
        <sz val="11"/>
        <color rgb="FF20334A"/>
        <rFont val="Noto Sans CJK SC"/>
        <family val="2"/>
        <charset val="1"/>
      </rPr>
      <t xml:space="preserve">附表</t>
    </r>
    <r>
      <rPr>
        <sz val="11"/>
        <color rgb="FF20334A"/>
        <rFont val="Arial"/>
        <family val="2"/>
        <charset val="1"/>
      </rPr>
      <t xml:space="preserve">/</t>
    </r>
    <r>
      <rPr>
        <sz val="11"/>
        <color rgb="FF20334A"/>
        <rFont val="Noto Sans CJK SC"/>
        <family val="2"/>
        <charset val="1"/>
      </rPr>
      <t xml:space="preserve">批单完整性、主体</t>
    </r>
    <r>
      <rPr>
        <sz val="11"/>
        <color rgb="FF20334A"/>
        <rFont val="Arial"/>
        <family val="2"/>
        <charset val="1"/>
      </rPr>
      <t xml:space="preserve">/</t>
    </r>
    <r>
      <rPr>
        <sz val="11"/>
        <color rgb="FF20334A"/>
        <rFont val="Noto Sans CJK SC"/>
        <family val="2"/>
        <charset val="1"/>
      </rPr>
      <t xml:space="preserve">正文计划名</t>
    </r>
    <r>
      <rPr>
        <sz val="11"/>
        <color rgb="FF20334A"/>
        <rFont val="Arial"/>
        <family val="2"/>
        <charset val="1"/>
      </rPr>
      <t xml:space="preserve">/</t>
    </r>
    <r>
      <rPr>
        <sz val="11"/>
        <color rgb="FF20334A"/>
        <rFont val="Noto Sans CJK SC"/>
        <family val="2"/>
        <charset val="1"/>
      </rPr>
      <t xml:space="preserve">合同号</t>
    </r>
    <r>
      <rPr>
        <sz val="11"/>
        <color rgb="FF20334A"/>
        <rFont val="Arial"/>
        <family val="2"/>
        <charset val="1"/>
      </rPr>
      <t xml:space="preserve">/</t>
    </r>
    <r>
      <rPr>
        <sz val="11"/>
        <color rgb="FF20334A"/>
        <rFont val="Noto Sans CJK SC"/>
        <family val="2"/>
        <charset val="1"/>
      </rPr>
      <t xml:space="preserve">版本与引用依赖；不确定或无法判读页维持</t>
    </r>
    <r>
      <rPr>
        <sz val="11"/>
        <color rgb="FF20334A"/>
        <rFont val="Arial"/>
        <family val="2"/>
        <charset val="1"/>
      </rPr>
      <t xml:space="preserve">partial</t>
    </r>
    <r>
      <rPr>
        <sz val="11"/>
        <color rgb="FF20334A"/>
        <rFont val="Noto Sans CJK SC"/>
        <family val="2"/>
        <charset val="1"/>
      </rPr>
      <t xml:space="preserve">并给精确页号。</t>
    </r>
    <r>
      <rPr>
        <sz val="11"/>
        <color rgb="FF20334A"/>
        <rFont val="Arial"/>
        <family val="2"/>
        <charset val="1"/>
      </rPr>
      <t xml:space="preserve">full</t>
    </r>
    <r>
      <rPr>
        <sz val="11"/>
        <color rgb="FF20334A"/>
        <rFont val="Noto Sans CJK SC"/>
        <family val="2"/>
        <charset val="1"/>
      </rPr>
      <t xml:space="preserve">、</t>
    </r>
    <r>
      <rPr>
        <sz val="11"/>
        <color rgb="FF20334A"/>
        <rFont val="Arial"/>
        <family val="2"/>
        <charset val="1"/>
      </rPr>
      <t xml:space="preserve">primary</t>
    </r>
    <r>
      <rPr>
        <sz val="11"/>
        <color rgb="FF20334A"/>
        <rFont val="Noto Sans CJK SC"/>
        <family val="2"/>
        <charset val="1"/>
      </rPr>
      <t xml:space="preserve">、</t>
    </r>
    <r>
      <rPr>
        <sz val="11"/>
        <color rgb="FF20334A"/>
        <rFont val="Arial"/>
        <family val="2"/>
        <charset val="1"/>
      </rPr>
      <t xml:space="preserve">strict</t>
    </r>
    <r>
      <rPr>
        <sz val="11"/>
        <color rgb="FF20334A"/>
        <rFont val="Noto Sans CJK SC"/>
        <family val="2"/>
        <charset val="1"/>
      </rPr>
      <t xml:space="preserve">、具名采用、现售、公开包与个人保单齐分开验收；</t>
    </r>
    <r>
      <rPr>
        <sz val="11"/>
        <color rgb="FF20334A"/>
        <rFont val="Arial"/>
        <family val="2"/>
        <charset val="1"/>
      </rPr>
      <t xml:space="preserve">full</t>
    </r>
    <r>
      <rPr>
        <sz val="11"/>
        <color rgb="FF20334A"/>
        <rFont val="Noto Sans CJK SC"/>
        <family val="2"/>
        <charset val="1"/>
      </rPr>
      <t xml:space="preserve">不能自动触发其他层。批单集合与主合同采用关系分层；不能因为英文可读或全文审毕升级为完整火险主文。</t>
    </r>
  </si>
  <si>
    <r>
      <rPr>
        <sz val="11"/>
        <color rgb="FF20334A"/>
        <rFont val="Noto Sans CJK SC"/>
        <family val="2"/>
        <charset val="1"/>
      </rPr>
      <t xml:space="preserve">核</t>
    </r>
    <r>
      <rPr>
        <sz val="11"/>
        <color rgb="FF20334A"/>
        <rFont val="Arial"/>
        <family val="2"/>
        <charset val="1"/>
      </rPr>
      <t xml:space="preserve">13</t>
    </r>
    <r>
      <rPr>
        <sz val="11"/>
        <color rgb="FF20334A"/>
        <rFont val="Noto Sans CJK SC"/>
        <family val="2"/>
        <charset val="1"/>
      </rPr>
      <t xml:space="preserve">页</t>
    </r>
    <r>
      <rPr>
        <sz val="11"/>
        <color rgb="FF20334A"/>
        <rFont val="Arial"/>
        <family val="2"/>
        <charset val="1"/>
      </rPr>
      <t xml:space="preserve">Fire Endorsements</t>
    </r>
    <r>
      <rPr>
        <sz val="11"/>
        <color rgb="FF20334A"/>
        <rFont val="Noto Sans CJK SC"/>
        <family val="2"/>
        <charset val="1"/>
      </rPr>
      <t xml:space="preserve">内各条款</t>
    </r>
    <r>
      <rPr>
        <sz val="11"/>
        <color rgb="FF20334A"/>
        <rFont val="Arial"/>
        <family val="2"/>
        <charset val="1"/>
      </rPr>
      <t xml:space="preserve">/</t>
    </r>
    <r>
      <rPr>
        <sz val="11"/>
        <color rgb="FF20334A"/>
        <rFont val="Noto Sans CJK SC"/>
        <family val="2"/>
        <charset val="1"/>
      </rPr>
      <t xml:space="preserve">批单边界及引用；文件名</t>
    </r>
    <r>
      <rPr>
        <sz val="11"/>
        <color rgb="FF20334A"/>
        <rFont val="Arial"/>
        <family val="2"/>
        <charset val="1"/>
      </rPr>
      <t xml:space="preserve">Vr2</t>
    </r>
    <r>
      <rPr>
        <sz val="11"/>
        <color rgb="FF20334A"/>
        <rFont val="Noto Sans CJK SC"/>
        <family val="2"/>
        <charset val="1"/>
      </rPr>
      <t xml:space="preserve">不等法律版次；确认或维持法律版次</t>
    </r>
    <r>
      <rPr>
        <sz val="11"/>
        <color rgb="FF20334A"/>
        <rFont val="Arial"/>
        <family val="2"/>
        <charset val="1"/>
      </rPr>
      <t xml:space="preserve">null</t>
    </r>
    <r>
      <rPr>
        <sz val="11"/>
        <color rgb="FF20334A"/>
        <rFont val="Noto Sans CJK SC"/>
        <family val="2"/>
        <charset val="1"/>
      </rPr>
      <t xml:space="preserve">并列所需主文</t>
    </r>
    <r>
      <rPr>
        <sz val="11"/>
        <color rgb="FF20334A"/>
        <rFont val="Arial"/>
        <family val="2"/>
        <charset val="1"/>
      </rPr>
      <t xml:space="preserve">/</t>
    </r>
    <r>
      <rPr>
        <sz val="11"/>
        <color rgb="FF20334A"/>
        <rFont val="Noto Sans CJK SC"/>
        <family val="2"/>
        <charset val="1"/>
      </rPr>
      <t xml:space="preserve">附表。</t>
    </r>
  </si>
  <si>
    <t xml:space="preserve">SRC-B4-MM-002</t>
  </si>
  <si>
    <t xml:space="preserve">Income Goal Insurance Plan II</t>
  </si>
  <si>
    <t xml:space="preserve">Check exact product official page, visible relevant document links and genuinely independent public intermediary/authorized bank source if useful. Record each route result/status/date and main-wording identity/version evidence. Brochure is not main. Stop denied access, no bypass, login, outreach, purchases or guessed hidden URLs. No repetitive known-negative route; no new brochure bulk collection. Download genuine new main/sample wording privately only with metadata preflight before reading, deduplicate against corpus SHA. Unresolved remains missing.</t>
  </si>
  <si>
    <t xml:space="preserve">核确切产品和已记录公开路线；主文缺失继续保留，不把推广或产品册当作主文。</t>
  </si>
  <si>
    <t xml:space="preserve">SRC-B5-HK-001</t>
  </si>
  <si>
    <t xml:space="preserve">HSBC Luminous Global Insurance Plan</t>
  </si>
  <si>
    <t xml:space="preserve">SRC-B5-HK-002</t>
  </si>
  <si>
    <t xml:space="preserve">Goal Access Universal Life Plan (Protection)</t>
  </si>
  <si>
    <t xml:space="preserve">SRC-B5-HK-003</t>
  </si>
  <si>
    <r>
      <rPr>
        <sz val="11"/>
        <color rgb="FF20334A"/>
        <rFont val="Noto Sans CJK SC"/>
        <family val="2"/>
        <charset val="1"/>
      </rPr>
      <t xml:space="preserve">「愛與承」人壽保險計劃</t>
    </r>
    <r>
      <rPr>
        <sz val="11"/>
        <color rgb="FF20334A"/>
        <rFont val="Arial"/>
        <family val="2"/>
        <charset val="1"/>
      </rPr>
      <t xml:space="preserve">2</t>
    </r>
  </si>
  <si>
    <t xml:space="preserve">SRC-B5-HK-004</t>
  </si>
  <si>
    <r>
      <rPr>
        <sz val="11"/>
        <color rgb="FF20334A"/>
        <rFont val="Noto Sans CJK SC"/>
        <family val="2"/>
        <charset val="1"/>
      </rPr>
      <t xml:space="preserve">「愛與恒」多貨幣人壽保險計劃</t>
    </r>
    <r>
      <rPr>
        <sz val="11"/>
        <color rgb="FF20334A"/>
        <rFont val="Arial"/>
        <family val="2"/>
        <charset val="1"/>
      </rPr>
      <t xml:space="preserve">2</t>
    </r>
  </si>
  <si>
    <t xml:space="preserve">SRC-B5-HK-005</t>
  </si>
  <si>
    <r>
      <rPr>
        <sz val="11"/>
        <color rgb="FF20334A"/>
        <rFont val="Noto Sans CJK SC"/>
        <family val="2"/>
        <charset val="1"/>
      </rPr>
      <t xml:space="preserve">「傳承∙高蓄」人壽保險計劃 </t>
    </r>
    <r>
      <rPr>
        <sz val="11"/>
        <color rgb="FF20334A"/>
        <rFont val="Arial"/>
        <family val="2"/>
        <charset val="1"/>
      </rPr>
      <t xml:space="preserve">- </t>
    </r>
    <r>
      <rPr>
        <sz val="11"/>
        <color rgb="FF20334A"/>
        <rFont val="Noto Sans CJK SC"/>
        <family val="2"/>
        <charset val="1"/>
      </rPr>
      <t xml:space="preserve">恒生銀行</t>
    </r>
  </si>
  <si>
    <t xml:space="preserve">SRC-B5-HK-006</t>
  </si>
  <si>
    <t xml:space="preserve">「傳蓄‧飛恒」人壽保險計劃</t>
  </si>
  <si>
    <t xml:space="preserve">SRC-B5-HK-007</t>
  </si>
  <si>
    <t xml:space="preserve">守躍保險計劃</t>
  </si>
  <si>
    <t xml:space="preserve">SRC-B5-HK-008</t>
  </si>
  <si>
    <t xml:space="preserve">守護未來終身保險計劃</t>
  </si>
  <si>
    <t xml:space="preserve">SRC-B5-HK-009</t>
  </si>
  <si>
    <t xml:space="preserve">寰御安心環球終身保險計劃</t>
  </si>
  <si>
    <t xml:space="preserve">SRC-B5-HK-010</t>
  </si>
  <si>
    <t xml:space="preserve">薪粹傳承環球終身保險計劃</t>
  </si>
  <si>
    <t xml:space="preserve">SRC-B5-HK-011</t>
  </si>
  <si>
    <r>
      <rPr>
        <sz val="11"/>
        <color rgb="FF20334A"/>
        <rFont val="Noto Sans CJK SC"/>
        <family val="2"/>
        <charset val="1"/>
      </rPr>
      <t xml:space="preserve">百年傳承終身保險計劃 </t>
    </r>
    <r>
      <rPr>
        <sz val="11"/>
        <color rgb="FF20334A"/>
        <rFont val="Arial"/>
        <family val="2"/>
        <charset val="1"/>
      </rPr>
      <t xml:space="preserve">II</t>
    </r>
  </si>
  <si>
    <t xml:space="preserve">SRC-B5-HK-012</t>
  </si>
  <si>
    <t xml:space="preserve">AIA Guaranteed Protect Plus (IV)</t>
  </si>
  <si>
    <t xml:space="preserve">Find and verify exact plan/version policy contract via official/public authorized intermediary routes; summary/brochure is not main. Record accessible failure separately from no matching wording. No known-denied paths, auth, WAF bypass, hidden URL guesses, forms/outreach/purchases. Genuine new originals only privately, dedup SHA, permission preflight before content read; no brochure bulk download. Source public-source status not whole-market exhaustive.</t>
  </si>
  <si>
    <t xml:space="preserve">核确切计划／币种／版本的公开路线；保留拒绝或不确定结果，不将摘要、册或服务入口当主文。</t>
  </si>
  <si>
    <t xml:space="preserve">SRC-B6-SG-001</t>
  </si>
  <si>
    <t xml:space="preserve">AIA Retirement Saver (IV)</t>
  </si>
  <si>
    <t xml:space="preserve">SRC-B6-SG-002</t>
  </si>
  <si>
    <t xml:space="preserve">AIA Smart Flexi Growth</t>
  </si>
  <si>
    <t xml:space="preserve">SRC-B6-SG-003</t>
  </si>
  <si>
    <t xml:space="preserve">AIA Smart Flexi Rewards (II)</t>
  </si>
  <si>
    <t xml:space="preserve">SRC-B6-SG-004</t>
  </si>
  <si>
    <t xml:space="preserve">AIA Smart Wealth Builder</t>
  </si>
  <si>
    <t xml:space="preserve">SRC-B6-SG-005</t>
  </si>
  <si>
    <t xml:space="preserve">AIA Smart Wealth Builder (II)</t>
  </si>
  <si>
    <t xml:space="preserve">SRC-B6-SG-006</t>
  </si>
  <si>
    <t xml:space="preserve">GREAT Flexi Advantage</t>
  </si>
  <si>
    <t xml:space="preserve">SRC-B6-SG-007</t>
  </si>
  <si>
    <t xml:space="preserve">GREAT Flexi Cashback</t>
  </si>
  <si>
    <t xml:space="preserve">SRC-B6-SG-008</t>
  </si>
  <si>
    <t xml:space="preserve">GREAT Flexi Goal</t>
  </si>
  <si>
    <t xml:space="preserve">SRC-B6-SG-009</t>
  </si>
  <si>
    <t xml:space="preserve">GREAT Index Income</t>
  </si>
  <si>
    <t xml:space="preserve">SRC-B6-SG-010</t>
  </si>
  <si>
    <t xml:space="preserve">GREAT Invest Advantage</t>
  </si>
  <si>
    <t xml:space="preserve">SRC-B6-SG-011</t>
  </si>
  <si>
    <t xml:space="preserve">GREAT Prime Rewards 3</t>
  </si>
  <si>
    <t xml:space="preserve">SRC-B6-SG-012</t>
  </si>
  <si>
    <t xml:space="preserve">Access Shield Contract (CIMB Bank Berhad)</t>
  </si>
  <si>
    <t xml:space="preserve">确切原件现存全页核验</t>
  </si>
  <si>
    <r>
      <rPr>
        <sz val="11"/>
        <color rgb="FF20334A"/>
        <rFont val="Noto Sans CJK SC"/>
        <family val="2"/>
        <charset val="1"/>
      </rPr>
      <t xml:space="preserve">仅按冻结范围与独立</t>
    </r>
    <r>
      <rPr>
        <sz val="11"/>
        <color rgb="FF20334A"/>
        <rFont val="Arial"/>
        <family val="2"/>
        <charset val="1"/>
      </rPr>
      <t xml:space="preserve">QA</t>
    </r>
    <r>
      <rPr>
        <sz val="11"/>
        <color rgb="FF20334A"/>
        <rFont val="Noto Sans CJK SC"/>
        <family val="2"/>
        <charset val="1"/>
      </rPr>
      <t xml:space="preserve">验收，不自动升级原件、主文、严格或产品闭合。</t>
    </r>
  </si>
  <si>
    <t xml:space="preserve">Metadata permission recheck before content. Review every supplied physical page with ordinary visual checks; establish substantive role, languages, versions, schedule/dependency/adoption boundaries. Never infer main from Contract title or complete marine policy from Institute clauses.</t>
  </si>
  <si>
    <t xml:space="preserve">SRC-B7-MY-001</t>
  </si>
  <si>
    <t xml:space="preserve">Credit Protector Contract (CIMB Bank Berhad)</t>
  </si>
  <si>
    <t xml:space="preserve">SRC-B7-MY-002</t>
  </si>
  <si>
    <t xml:space="preserve">Group Term Takaful Master Contract - CIMB Islamic Bank</t>
  </si>
  <si>
    <t xml:space="preserve">SRC-B7-MY-003</t>
  </si>
  <si>
    <t xml:space="preserve">Overseas Marine Cargo Insurance</t>
  </si>
  <si>
    <t xml:space="preserve">SRC-B7-MM-001</t>
  </si>
  <si>
    <t xml:space="preserve">Inland Marine Cargo Insurance</t>
  </si>
  <si>
    <t xml:space="preserve">SRC-B7-MM-002</t>
  </si>
  <si>
    <t xml:space="preserve">SRC-B7-MM-003</t>
  </si>
  <si>
    <t xml:space="preserve">Marine Hull Insurance</t>
  </si>
  <si>
    <t xml:space="preserve">SRC-B7-MM-004</t>
  </si>
  <si>
    <t xml:space="preserve">SRC-B7-MM-005</t>
  </si>
  <si>
    <t xml:space="preserve">Group Term Takaful (GTT ADB) Master Contract - Versa Lead Generation Campaign</t>
  </si>
  <si>
    <t xml:space="preserve">ordinary_read_only_visual_display_only</t>
  </si>
  <si>
    <t xml:space="preserve">SRC-B8-MY-001</t>
  </si>
  <si>
    <t xml:space="preserve">Long Term House Owner Takaful Contract- Bahagian Pinjaman Perumahan Perbendaharaan Malaysia (BPP)</t>
  </si>
  <si>
    <t xml:space="preserve">SRC-B8-MY-002</t>
  </si>
  <si>
    <t xml:space="preserve">Mortgage Reducing Term Takaful Contract - Bahagian Pinjaman Perumahan Perbendaharaan Malaysia (BPP)</t>
  </si>
  <si>
    <t xml:space="preserve">SRC-B8-MY-003</t>
  </si>
  <si>
    <t xml:space="preserve">Group Term Takaful with CI Benefit Master Contract - Guaranteed CI Cover Campaign</t>
  </si>
  <si>
    <t xml:space="preserve">SRC-B8-MY-004</t>
  </si>
  <si>
    <t xml:space="preserve">Group Term Takaful with CI Benefit Master Contract - CIMB Salary Account Holder Campaign (Self-Enrolment)</t>
  </si>
  <si>
    <t xml:space="preserve">SRC-B8-MY-005</t>
  </si>
  <si>
    <r>
      <rPr>
        <sz val="11"/>
        <color rgb="FF20334A"/>
        <rFont val="Noto Sans CJK SC"/>
        <family val="2"/>
        <charset val="1"/>
      </rPr>
      <t xml:space="preserve">「樂怡人生」保障計劃 </t>
    </r>
    <r>
      <rPr>
        <sz val="11"/>
        <color rgb="FF20334A"/>
        <rFont val="Arial"/>
        <family val="2"/>
        <charset val="1"/>
      </rPr>
      <t xml:space="preserve">/</t>
    </r>
    <r>
      <rPr>
        <sz val="11"/>
        <color rgb="FF20334A"/>
        <rFont val="Noto Sans CJK SC"/>
        <family val="2"/>
        <charset val="1"/>
      </rPr>
      <t xml:space="preserve">「樂怡人生」保障計劃 </t>
    </r>
    <r>
      <rPr>
        <sz val="11"/>
        <color rgb="FF20334A"/>
        <rFont val="Arial"/>
        <family val="2"/>
        <charset val="1"/>
      </rPr>
      <t xml:space="preserve">(</t>
    </r>
    <r>
      <rPr>
        <sz val="11"/>
        <color rgb="FF20334A"/>
        <rFont val="Noto Sans CJK SC"/>
        <family val="2"/>
        <charset val="1"/>
      </rPr>
      <t xml:space="preserve">週年紅利</t>
    </r>
    <r>
      <rPr>
        <sz val="11"/>
        <color rgb="FF20334A"/>
        <rFont val="Arial"/>
        <family val="2"/>
        <charset val="1"/>
      </rPr>
      <t xml:space="preserve">)</t>
    </r>
  </si>
  <si>
    <t xml:space="preserve">限定公开来源路线核验</t>
  </si>
  <si>
    <t xml:space="preserve">exact official product page + public independent intermediary discovery, genuine main candidates only</t>
  </si>
  <si>
    <t xml:space="preserve">SRC-B9-HK-001</t>
  </si>
  <si>
    <r>
      <rPr>
        <sz val="11"/>
        <color rgb="FF20334A"/>
        <rFont val="Noto Sans CJK SC"/>
        <family val="2"/>
        <charset val="1"/>
      </rPr>
      <t xml:space="preserve">愛無憂長享儲蓄保險計劃</t>
    </r>
    <r>
      <rPr>
        <sz val="11"/>
        <color rgb="FF20334A"/>
        <rFont val="Arial"/>
        <family val="2"/>
        <charset val="1"/>
      </rPr>
      <t xml:space="preserve">5</t>
    </r>
  </si>
  <si>
    <t xml:space="preserve">SRC-B9-HK-002</t>
  </si>
  <si>
    <t xml:space="preserve">「活出精彩」入息保險計劃</t>
  </si>
  <si>
    <t xml:space="preserve">SRC-B9-HK-003</t>
  </si>
  <si>
    <r>
      <rPr>
        <sz val="11"/>
        <color rgb="FF20334A"/>
        <rFont val="Noto Sans CJK SC"/>
        <family val="2"/>
        <charset val="1"/>
      </rPr>
      <t xml:space="preserve">「諾享」儲蓄保險計劃</t>
    </r>
    <r>
      <rPr>
        <sz val="11"/>
        <color rgb="FF20334A"/>
        <rFont val="Arial"/>
        <family val="2"/>
        <charset val="1"/>
      </rPr>
      <t xml:space="preserve">2</t>
    </r>
  </si>
  <si>
    <t xml:space="preserve">SRC-B9-HK-004</t>
  </si>
  <si>
    <r>
      <rPr>
        <sz val="11"/>
        <color rgb="FF20334A"/>
        <rFont val="Noto Sans CJK SC"/>
        <family val="2"/>
        <charset val="1"/>
      </rPr>
      <t xml:space="preserve">「裕滿人生」保險計劃</t>
    </r>
    <r>
      <rPr>
        <sz val="11"/>
        <color rgb="FF20334A"/>
        <rFont val="Arial"/>
        <family val="2"/>
        <charset val="1"/>
      </rPr>
      <t xml:space="preserve">2</t>
    </r>
  </si>
  <si>
    <t xml:space="preserve">SRC-B9-HK-005</t>
  </si>
  <si>
    <t xml:space="preserve">「年金寶」入息計劃</t>
  </si>
  <si>
    <t xml:space="preserve">SRC-B9-HK-006</t>
  </si>
  <si>
    <t xml:space="preserve">優悅年金保險計劃</t>
  </si>
  <si>
    <t xml:space="preserve">SRC-B9-HK-007</t>
  </si>
  <si>
    <t xml:space="preserve">財摯宏耀保險計劃</t>
  </si>
  <si>
    <t xml:space="preserve">SRC-B9-HK-008</t>
  </si>
  <si>
    <r>
      <rPr>
        <sz val="11"/>
        <color rgb="FF20334A"/>
        <rFont val="Noto Sans CJK SC"/>
        <family val="2"/>
        <charset val="1"/>
      </rPr>
      <t xml:space="preserve">豐收樂享保險計劃（整付保費，</t>
    </r>
    <r>
      <rPr>
        <sz val="11"/>
        <color rgb="FF20334A"/>
        <rFont val="Arial"/>
        <family val="2"/>
        <charset val="1"/>
      </rPr>
      <t xml:space="preserve">3</t>
    </r>
    <r>
      <rPr>
        <sz val="11"/>
        <color rgb="FF20334A"/>
        <rFont val="Noto Sans CJK SC"/>
        <family val="2"/>
        <charset val="1"/>
      </rPr>
      <t xml:space="preserve">年期滿）</t>
    </r>
  </si>
  <si>
    <t xml:space="preserve">SRC-B9-HK-009</t>
  </si>
  <si>
    <t xml:space="preserve">世紀傳承保障計劃</t>
  </si>
  <si>
    <t xml:space="preserve">SRC-B9-HK-010</t>
  </si>
  <si>
    <t xml:space="preserve">富足自主年金計劃</t>
  </si>
  <si>
    <t xml:space="preserve">SRC-B9-HK-011</t>
  </si>
  <si>
    <t xml:space="preserve">靈活自在年金計劃</t>
  </si>
  <si>
    <t xml:space="preserve">SRC-B9-HK-012</t>
  </si>
  <si>
    <r>
      <rPr>
        <sz val="11"/>
        <color rgb="FF20334A"/>
        <rFont val="Arial"/>
        <family val="0"/>
        <charset val="1"/>
      </rPr>
      <t xml:space="preserve">Manulife</t>
    </r>
    <r>
      <rPr>
        <sz val="11"/>
        <color rgb="FF20334A"/>
        <rFont val="Noto Sans CJK SC"/>
        <family val="2"/>
        <charset val="1"/>
      </rPr>
      <t xml:space="preserve">／</t>
    </r>
    <r>
      <rPr>
        <sz val="11"/>
        <color rgb="FF20334A"/>
        <rFont val="Arial"/>
        <family val="0"/>
        <charset val="1"/>
      </rPr>
      <t xml:space="preserve">DBS</t>
    </r>
    <r>
      <rPr>
        <sz val="11"/>
        <color rgb="FF20334A"/>
        <rFont val="Noto Sans CJK SC"/>
        <family val="2"/>
        <charset val="1"/>
      </rPr>
      <t xml:space="preserve">来源变体</t>
    </r>
  </si>
  <si>
    <t xml:space="preserve">Harvest Saver — DBS 2-year premium / 3-year maturity source variant</t>
  </si>
  <si>
    <t xml:space="preserve">未归一化变体线索核验</t>
  </si>
  <si>
    <t xml:space="preserve">限定已记录公开路线；记录停止原因，不猜路径或绕过限制。</t>
  </si>
  <si>
    <t xml:space="preserve">SRC-B10-HK-001</t>
  </si>
  <si>
    <t xml:space="preserve">Group Term Takaful (GTTPW0726) – Private Wealth Privilege Campaign</t>
  </si>
  <si>
    <t xml:space="preserve">Verify actual certificate/CIS/contract role, exact issuer/code/version and whether it is contract component or information-only. Crosslink only if exact accepted evidence supports counterpart, never from filename/source label alone. No new original count; no personal-policy completeness/current adoption assumed. Short notes and metadata only in outputs; original PDFs/images/text not redistributed.</t>
  </si>
  <si>
    <t xml:space="preserve">normal_read_only_visual_display; no text extraction/OCR/printing/unlocking</t>
  </si>
  <si>
    <t xml:space="preserve">SRC-B11-MY-001</t>
  </si>
  <si>
    <t xml:space="preserve">Group Term Takaful with CI Benefit (GTTSLMT1125) - Guaranteed CI Cover Campaign</t>
  </si>
  <si>
    <t xml:space="preserve">SRC-B11-MY-002</t>
  </si>
  <si>
    <t xml:space="preserve">Group Term Takaful - CIMB Bank (CIMB Salary Account)</t>
  </si>
  <si>
    <t xml:space="preserve">SRC-B11-MY-003</t>
  </si>
  <si>
    <t xml:space="preserve">Group Term Takaful (CIMB Islamic Bank)</t>
  </si>
  <si>
    <t xml:space="preserve">SRC-B11-MY-004</t>
  </si>
  <si>
    <t xml:space="preserve">Home Direct Takaful Contract</t>
  </si>
  <si>
    <t xml:space="preserve">Determine actual retail certificate/contract vs CIS/summary role from all supplied content; do not assume all Certificate-section files are information statements or all Contract filenames are main.</t>
  </si>
  <si>
    <t xml:space="preserve">Recheck metadata. If copy allowed, ordinary text reading and visual checks permitted privately; otherwise normal read-only visual display only. No OCR, printing, unlocking, permission changes or actual-access-denial bypass. No fulltext/renders in deliverables.</t>
  </si>
  <si>
    <t xml:space="preserve">SRC-B12-MY-001</t>
  </si>
  <si>
    <t xml:space="preserve">Travel Direct Takaful Contract</t>
  </si>
  <si>
    <t xml:space="preserve">SRC-B12-MY-002</t>
  </si>
  <si>
    <t xml:space="preserve">PA Direct Takaful Contract</t>
  </si>
  <si>
    <t xml:space="preserve">SRC-B12-MY-003</t>
  </si>
  <si>
    <t xml:space="preserve">Takaful HealthPro Contract</t>
  </si>
  <si>
    <t xml:space="preserve">SRC-B12-MY-004</t>
  </si>
  <si>
    <t xml:space="preserve">Takaful Prime Pro Contract</t>
  </si>
  <si>
    <t xml:space="preserve">SRC-B12-MY-005</t>
  </si>
  <si>
    <t xml:space="preserve">homesafe</t>
  </si>
  <si>
    <t xml:space="preserve">Read official public landing evidence and actual public links only; no contact/form submission, login, endpoint guessing, changing access channel, query tricks or bypass.</t>
  </si>
  <si>
    <t xml:space="preserve">SRC-B13-HK-001</t>
  </si>
  <si>
    <t xml:space="preserve">Private Motor Car Insurance</t>
  </si>
  <si>
    <t xml:space="preserve">SRC-B13-HK-002</t>
  </si>
  <si>
    <t xml:space="preserve">Trinity TripCover</t>
  </si>
  <si>
    <t xml:space="preserve">SRC-B13-HK-003</t>
  </si>
  <si>
    <t xml:space="preserve">365 Ready Life</t>
  </si>
  <si>
    <t xml:space="preserve">SRC-B13-PH-004</t>
  </si>
  <si>
    <t xml:space="preserve">Trinity Private Motor Car policy wording control</t>
  </si>
  <si>
    <t xml:space="preserve">限定只读标签探测</t>
  </si>
  <si>
    <t xml:space="preserve">SRC-B14-HK-001</t>
  </si>
  <si>
    <t xml:space="preserve">Trinity TripCover policy wording control</t>
  </si>
  <si>
    <t xml:space="preserve">SRC-B14-HK-002</t>
  </si>
  <si>
    <t xml:space="preserve">地区码</t>
  </si>
  <si>
    <t xml:space="preserve">基线状态</t>
  </si>
  <si>
    <t xml:space="preserve">正式文件</t>
  </si>
  <si>
    <t xml:space="preserve">范围家族数</t>
  </si>
  <si>
    <t xml:space="preserve">已识别主合同</t>
  </si>
  <si>
    <t xml:space="preserve">待补主合同</t>
  </si>
  <si>
    <t xml:space="preserve">本批重点</t>
  </si>
  <si>
    <t xml:space="preserve">最近检查</t>
  </si>
  <si>
    <t xml:space="preserve">来源索引</t>
  </si>
  <si>
    <t xml:space="preserve">统计说明</t>
  </si>
  <si>
    <t xml:space="preserve">HK</t>
  </si>
  <si>
    <t xml:space="preserve">已有文件，继续核验</t>
  </si>
  <si>
    <t xml:space="preserve">先核未逐项检查缺口；分开未检查、未取得、受限和待授权。</t>
  </si>
  <si>
    <r>
      <rPr>
        <sz val="11"/>
        <color rgb="FF20334A"/>
        <rFont val="Noto Sans CJK SC"/>
        <family val="2"/>
        <charset val="1"/>
      </rPr>
      <t xml:space="preserve">香港：</t>
    </r>
    <r>
      <rPr>
        <sz val="11"/>
        <color rgb="FF20334A"/>
        <rFont val="Arial"/>
        <family val="0"/>
        <charset val="1"/>
      </rPr>
      <t xml:space="preserve">52 </t>
    </r>
    <r>
      <rPr>
        <sz val="11"/>
        <color rgb="FF20334A"/>
        <rFont val="Noto Sans CJK SC"/>
        <family val="2"/>
        <charset val="1"/>
      </rPr>
      <t xml:space="preserve">条来源</t>
    </r>
  </si>
  <si>
    <r>
      <rPr>
        <sz val="11"/>
        <color rgb="FF20334A"/>
        <rFont val="Noto Sans CJK SC"/>
        <family val="2"/>
        <charset val="1"/>
      </rPr>
      <t xml:space="preserve">仅限定储蓄</t>
    </r>
    <r>
      <rPr>
        <sz val="11"/>
        <color rgb="FF20334A"/>
        <rFont val="Arial"/>
        <family val="0"/>
        <charset val="1"/>
      </rPr>
      <t xml:space="preserve">203</t>
    </r>
    <r>
      <rPr>
        <sz val="11"/>
        <color rgb="FF20334A"/>
        <rFont val="Noto Sans CJK SC"/>
        <family val="2"/>
        <charset val="1"/>
      </rPr>
      <t xml:space="preserve">族；不是全市场在售或独立产品分母。。储蓄限定</t>
    </r>
    <r>
      <rPr>
        <sz val="11"/>
        <color rgb="FF20334A"/>
        <rFont val="Arial"/>
        <family val="0"/>
        <charset val="1"/>
      </rPr>
      <t xml:space="preserve">203</t>
    </r>
    <r>
      <rPr>
        <sz val="11"/>
        <color rgb="FF20334A"/>
        <rFont val="Noto Sans CJK SC"/>
        <family val="2"/>
        <charset val="1"/>
      </rPr>
      <t xml:space="preserve">族中</t>
    </r>
    <r>
      <rPr>
        <sz val="11"/>
        <color rgb="FF20334A"/>
        <rFont val="Arial"/>
        <family val="0"/>
        <charset val="1"/>
      </rPr>
      <t xml:space="preserve">167</t>
    </r>
    <r>
      <rPr>
        <sz val="11"/>
        <color rgb="FF20334A"/>
        <rFont val="Noto Sans CJK SC"/>
        <family val="2"/>
        <charset val="1"/>
      </rPr>
      <t xml:space="preserve">缺主文；上一轮</t>
    </r>
    <r>
      <rPr>
        <sz val="11"/>
        <color rgb="FF20334A"/>
        <rFont val="Arial"/>
        <family val="0"/>
        <charset val="1"/>
      </rPr>
      <t xml:space="preserve">55</t>
    </r>
    <r>
      <rPr>
        <sz val="11"/>
        <color rgb="FF20334A"/>
        <rFont val="Noto Sans CJK SC"/>
        <family val="2"/>
        <charset val="1"/>
      </rPr>
      <t xml:space="preserve">族仅逐查</t>
    </r>
    <r>
      <rPr>
        <sz val="11"/>
        <color rgb="FF20334A"/>
        <rFont val="Arial"/>
        <family val="0"/>
        <charset val="1"/>
      </rPr>
      <t xml:space="preserve">16</t>
    </r>
    <r>
      <rPr>
        <sz val="11"/>
        <color rgb="FF20334A"/>
        <rFont val="Noto Sans CJK SC"/>
        <family val="2"/>
        <charset val="1"/>
      </rPr>
      <t xml:space="preserve">族，另</t>
    </r>
    <r>
      <rPr>
        <sz val="11"/>
        <color rgb="FF20334A"/>
        <rFont val="Arial"/>
        <family val="0"/>
        <charset val="1"/>
      </rPr>
      <t xml:space="preserve">112</t>
    </r>
    <r>
      <rPr>
        <sz val="11"/>
        <color rgb="FF20334A"/>
        <rFont val="Noto Sans CJK SC"/>
        <family val="2"/>
        <charset val="1"/>
      </rPr>
      <t xml:space="preserve">族仅逐查</t>
    </r>
    <r>
      <rPr>
        <sz val="11"/>
        <color rgb="FF20334A"/>
        <rFont val="Arial"/>
        <family val="0"/>
        <charset val="1"/>
      </rPr>
      <t xml:space="preserve">15</t>
    </r>
    <r>
      <rPr>
        <sz val="11"/>
        <color rgb="FF20334A"/>
        <rFont val="Noto Sans CJK SC"/>
        <family val="2"/>
        <charset val="1"/>
      </rPr>
      <t xml:space="preserve">族及</t>
    </r>
    <r>
      <rPr>
        <sz val="11"/>
        <color rgb="FF20334A"/>
        <rFont val="Arial"/>
        <family val="0"/>
        <charset val="1"/>
      </rPr>
      <t xml:space="preserve">7</t>
    </r>
    <r>
      <rPr>
        <sz val="11"/>
        <color rgb="FF20334A"/>
        <rFont val="Noto Sans CJK SC"/>
        <family val="2"/>
        <charset val="1"/>
      </rPr>
      <t xml:space="preserve">家公司代表路线，未逐项全查。</t>
    </r>
  </si>
  <si>
    <t xml:space="preserve">SG</t>
  </si>
  <si>
    <r>
      <rPr>
        <sz val="11"/>
        <color rgb="FF20334A"/>
        <rFont val="Noto Sans CJK SC"/>
        <family val="2"/>
        <charset val="1"/>
      </rPr>
      <t xml:space="preserve">先核确切版本和组件依赖；</t>
    </r>
    <r>
      <rPr>
        <sz val="11"/>
        <color rgb="FF20334A"/>
        <rFont val="Arial"/>
        <family val="0"/>
        <charset val="1"/>
      </rPr>
      <t xml:space="preserve">144</t>
    </r>
    <r>
      <rPr>
        <sz val="11"/>
        <color rgb="FF20334A"/>
        <rFont val="Noto Sans CJK SC"/>
        <family val="2"/>
        <charset val="1"/>
      </rPr>
      <t xml:space="preserve">窄口径与</t>
    </r>
    <r>
      <rPr>
        <sz val="11"/>
        <color rgb="FF20334A"/>
        <rFont val="Arial"/>
        <family val="0"/>
        <charset val="1"/>
      </rPr>
      <t xml:space="preserve">294</t>
    </r>
    <r>
      <rPr>
        <sz val="11"/>
        <color rgb="FF20334A"/>
        <rFont val="Noto Sans CJK SC"/>
        <family val="2"/>
        <charset val="1"/>
      </rPr>
      <t xml:space="preserve">族投影分开。</t>
    </r>
  </si>
  <si>
    <r>
      <rPr>
        <sz val="11"/>
        <color rgb="FF20334A"/>
        <rFont val="Noto Sans CJK SC"/>
        <family val="2"/>
        <charset val="1"/>
      </rPr>
      <t xml:space="preserve">新加坡：</t>
    </r>
    <r>
      <rPr>
        <sz val="11"/>
        <color rgb="FF20334A"/>
        <rFont val="Arial"/>
        <family val="0"/>
        <charset val="1"/>
      </rPr>
      <t xml:space="preserve">25 </t>
    </r>
    <r>
      <rPr>
        <sz val="11"/>
        <color rgb="FF20334A"/>
        <rFont val="Noto Sans CJK SC"/>
        <family val="2"/>
        <charset val="1"/>
      </rPr>
      <t xml:space="preserve">条来源</t>
    </r>
  </si>
  <si>
    <r>
      <rPr>
        <sz val="11"/>
        <color rgb="FF20334A"/>
        <rFont val="Noto Sans CJK SC"/>
        <family val="2"/>
        <charset val="1"/>
      </rPr>
      <t xml:space="preserve">仅历史窄范围</t>
    </r>
    <r>
      <rPr>
        <sz val="11"/>
        <color rgb="FF20334A"/>
        <rFont val="Arial"/>
        <family val="0"/>
        <charset val="1"/>
      </rPr>
      <t xml:space="preserve">144</t>
    </r>
    <r>
      <rPr>
        <sz val="11"/>
        <color rgb="FF20334A"/>
        <rFont val="Noto Sans CJK SC"/>
        <family val="2"/>
        <charset val="1"/>
      </rPr>
      <t xml:space="preserve">族；不得与</t>
    </r>
    <r>
      <rPr>
        <sz val="11"/>
        <color rgb="FF20334A"/>
        <rFont val="Arial"/>
        <family val="0"/>
        <charset val="1"/>
      </rPr>
      <t xml:space="preserve">294</t>
    </r>
    <r>
      <rPr>
        <sz val="11"/>
        <color rgb="FF20334A"/>
        <rFont val="Noto Sans CJK SC"/>
        <family val="2"/>
        <charset val="1"/>
      </rPr>
      <t xml:space="preserve">族归一化投影或全市场分母混用。。窄口径</t>
    </r>
    <r>
      <rPr>
        <sz val="11"/>
        <color rgb="FF20334A"/>
        <rFont val="Arial"/>
        <family val="0"/>
        <charset val="1"/>
      </rPr>
      <t xml:space="preserve">144</t>
    </r>
    <r>
      <rPr>
        <sz val="11"/>
        <color rgb="FF20334A"/>
        <rFont val="Noto Sans CJK SC"/>
        <family val="2"/>
        <charset val="1"/>
      </rPr>
      <t xml:space="preserve">族中</t>
    </r>
    <r>
      <rPr>
        <sz val="11"/>
        <color rgb="FF20334A"/>
        <rFont val="Arial"/>
        <family val="0"/>
        <charset val="1"/>
      </rPr>
      <t xml:space="preserve">29</t>
    </r>
    <r>
      <rPr>
        <sz val="11"/>
        <color rgb="FF20334A"/>
        <rFont val="Noto Sans CJK SC"/>
        <family val="2"/>
        <charset val="1"/>
      </rPr>
      <t xml:space="preserve">缺主文；</t>
    </r>
    <r>
      <rPr>
        <sz val="11"/>
        <color rgb="FF20334A"/>
        <rFont val="Arial"/>
        <family val="0"/>
        <charset val="1"/>
      </rPr>
      <t xml:space="preserve">Travel Protector</t>
    </r>
    <r>
      <rPr>
        <sz val="11"/>
        <color rgb="FF20334A"/>
        <rFont val="Noto Sans CJK SC"/>
        <family val="2"/>
        <charset val="1"/>
      </rPr>
      <t xml:space="preserve">仍缺适用组件，</t>
    </r>
    <r>
      <rPr>
        <sz val="11"/>
        <color rgb="FF20334A"/>
        <rFont val="Arial"/>
        <family val="0"/>
        <charset val="1"/>
      </rPr>
      <t xml:space="preserve">Home360</t>
    </r>
    <r>
      <rPr>
        <sz val="11"/>
        <color rgb="FF20334A"/>
        <rFont val="Noto Sans CJK SC"/>
        <family val="2"/>
        <charset val="1"/>
      </rPr>
      <t xml:space="preserve">为</t>
    </r>
    <r>
      <rPr>
        <sz val="11"/>
        <color rgb="FF20334A"/>
        <rFont val="Arial"/>
        <family val="0"/>
        <charset val="1"/>
      </rPr>
      <t xml:space="preserve">2020</t>
    </r>
    <r>
      <rPr>
        <sz val="11"/>
        <color rgb="FF20334A"/>
        <rFont val="Noto Sans CJK SC"/>
        <family val="2"/>
        <charset val="1"/>
      </rPr>
      <t xml:space="preserve">版，现行适用未证，不得套用于</t>
    </r>
    <r>
      <rPr>
        <sz val="11"/>
        <color rgb="FF20334A"/>
        <rFont val="Arial"/>
        <family val="0"/>
        <charset val="1"/>
      </rPr>
      <t xml:space="preserve">Basic</t>
    </r>
    <r>
      <rPr>
        <sz val="11"/>
        <color rgb="FF20334A"/>
        <rFont val="Noto Sans CJK SC"/>
        <family val="2"/>
        <charset val="1"/>
      </rPr>
      <t xml:space="preserve">。</t>
    </r>
  </si>
  <si>
    <t xml:space="preserve">MY</t>
  </si>
  <si>
    <r>
      <rPr>
        <sz val="11"/>
        <color rgb="FF20334A"/>
        <rFont val="Noto Sans CJK SC"/>
        <family val="2"/>
        <charset val="1"/>
      </rPr>
      <t xml:space="preserve">暂停泛扩下载，先验收已取得</t>
    </r>
    <r>
      <rPr>
        <sz val="11"/>
        <color rgb="FF20334A"/>
        <rFont val="Arial"/>
        <family val="0"/>
        <charset val="1"/>
      </rPr>
      <t xml:space="preserve">Master</t>
    </r>
    <r>
      <rPr>
        <sz val="11"/>
        <color rgb="FF20334A"/>
        <rFont val="Noto Sans CJK SC"/>
        <family val="2"/>
        <charset val="1"/>
      </rPr>
      <t xml:space="preserve">候选。</t>
    </r>
  </si>
  <si>
    <r>
      <rPr>
        <sz val="11"/>
        <color rgb="FF20334A"/>
        <rFont val="Noto Sans CJK SC"/>
        <family val="2"/>
        <charset val="1"/>
      </rPr>
      <t xml:space="preserve">马来西亚：</t>
    </r>
    <r>
      <rPr>
        <sz val="11"/>
        <color rgb="FF20334A"/>
        <rFont val="Arial"/>
        <family val="0"/>
        <charset val="1"/>
      </rPr>
      <t xml:space="preserve">7 </t>
    </r>
    <r>
      <rPr>
        <sz val="11"/>
        <color rgb="FF20334A"/>
        <rFont val="Noto Sans CJK SC"/>
        <family val="2"/>
        <charset val="1"/>
      </rPr>
      <t xml:space="preserve">条来源</t>
    </r>
  </si>
  <si>
    <r>
      <rPr>
        <sz val="11"/>
        <color rgb="FF20334A"/>
        <rFont val="Noto Sans CJK SC"/>
        <family val="2"/>
        <charset val="1"/>
      </rPr>
      <t xml:space="preserve">全市场独立产品分母未知；文件数不能作产品数或覆盖率。。</t>
    </r>
    <r>
      <rPr>
        <sz val="11"/>
        <color rgb="FF20334A"/>
        <rFont val="Arial"/>
        <family val="0"/>
        <charset val="1"/>
      </rPr>
      <t xml:space="preserve">Sun Life</t>
    </r>
    <r>
      <rPr>
        <sz val="11"/>
        <color rgb="FF20334A"/>
        <rFont val="Noto Sans CJK SC"/>
        <family val="2"/>
        <charset val="1"/>
      </rPr>
      <t xml:space="preserve">本轮</t>
    </r>
    <r>
      <rPr>
        <sz val="11"/>
        <color rgb="FF20334A"/>
        <rFont val="Arial"/>
        <family val="0"/>
        <charset val="1"/>
      </rPr>
      <t xml:space="preserve">124</t>
    </r>
    <r>
      <rPr>
        <sz val="11"/>
        <color rgb="FF20334A"/>
        <rFont val="Noto Sans CJK SC"/>
        <family val="2"/>
        <charset val="1"/>
      </rPr>
      <t xml:space="preserve">份候选含</t>
    </r>
    <r>
      <rPr>
        <sz val="11"/>
        <color rgb="FF20334A"/>
        <rFont val="Arial"/>
        <family val="0"/>
        <charset val="1"/>
      </rPr>
      <t xml:space="preserve">103</t>
    </r>
    <r>
      <rPr>
        <sz val="11"/>
        <color rgb="FF20334A"/>
        <rFont val="Noto Sans CJK SC"/>
        <family val="2"/>
        <charset val="1"/>
      </rPr>
      <t xml:space="preserve">份</t>
    </r>
    <r>
      <rPr>
        <sz val="11"/>
        <color rgb="FF20334A"/>
        <rFont val="Arial"/>
        <family val="0"/>
        <charset val="1"/>
      </rPr>
      <t xml:space="preserve">Master</t>
    </r>
    <r>
      <rPr>
        <sz val="11"/>
        <color rgb="FF20334A"/>
        <rFont val="Noto Sans CJK SC"/>
        <family val="2"/>
        <charset val="1"/>
      </rPr>
      <t xml:space="preserve">及</t>
    </r>
    <r>
      <rPr>
        <sz val="11"/>
        <color rgb="FF20334A"/>
        <rFont val="Arial"/>
        <family val="0"/>
        <charset val="1"/>
      </rPr>
      <t xml:space="preserve">21</t>
    </r>
    <r>
      <rPr>
        <sz val="11"/>
        <color rgb="FF20334A"/>
        <rFont val="Noto Sans CJK SC"/>
        <family val="2"/>
        <charset val="1"/>
      </rPr>
      <t xml:space="preserve">份</t>
    </r>
    <r>
      <rPr>
        <sz val="11"/>
        <color rgb="FF20334A"/>
        <rFont val="Arial"/>
        <family val="0"/>
        <charset val="1"/>
      </rPr>
      <t xml:space="preserve">certificate</t>
    </r>
    <r>
      <rPr>
        <sz val="11"/>
        <color rgb="FF20334A"/>
        <rFont val="Noto Sans CJK SC"/>
        <family val="2"/>
        <charset val="1"/>
      </rPr>
      <t xml:space="preserve">，均待全文；法律主体、团体</t>
    </r>
    <r>
      <rPr>
        <sz val="11"/>
        <color rgb="FF20334A"/>
        <rFont val="Arial"/>
        <family val="0"/>
        <charset val="1"/>
      </rPr>
      <t xml:space="preserve">/</t>
    </r>
    <r>
      <rPr>
        <sz val="11"/>
        <color rgb="FF20334A"/>
        <rFont val="Noto Sans CJK SC"/>
        <family val="2"/>
        <charset val="1"/>
      </rPr>
      <t xml:space="preserve">个人和银行渠道不能混。</t>
    </r>
  </si>
  <si>
    <t xml:space="preserve">VN</t>
  </si>
  <si>
    <r>
      <rPr>
        <sz val="11"/>
        <color rgb="FF20334A"/>
        <rFont val="Noto Sans CJK SC"/>
        <family val="2"/>
        <charset val="1"/>
      </rPr>
      <t xml:space="preserve">校正身份和关系，</t>
    </r>
    <r>
      <rPr>
        <sz val="11"/>
        <color rgb="FF20334A"/>
        <rFont val="Arial"/>
        <family val="0"/>
        <charset val="1"/>
      </rPr>
      <t xml:space="preserve">BHV Appendix 01</t>
    </r>
    <r>
      <rPr>
        <sz val="11"/>
        <color rgb="FF20334A"/>
        <rFont val="Noto Sans CJK SC"/>
        <family val="2"/>
        <charset val="1"/>
      </rPr>
      <t xml:space="preserve">等具体缺件单列。</t>
    </r>
  </si>
  <si>
    <r>
      <rPr>
        <sz val="11"/>
        <color rgb="FF20334A"/>
        <rFont val="Noto Sans CJK SC"/>
        <family val="2"/>
        <charset val="1"/>
      </rPr>
      <t xml:space="preserve">越南：</t>
    </r>
    <r>
      <rPr>
        <sz val="11"/>
        <color rgb="FF20334A"/>
        <rFont val="Arial"/>
        <family val="0"/>
        <charset val="1"/>
      </rPr>
      <t xml:space="preserve">24 </t>
    </r>
    <r>
      <rPr>
        <sz val="11"/>
        <color rgb="FF20334A"/>
        <rFont val="Noto Sans CJK SC"/>
        <family val="2"/>
        <charset val="1"/>
      </rPr>
      <t xml:space="preserve">条来源</t>
    </r>
  </si>
  <si>
    <r>
      <rPr>
        <sz val="11"/>
        <color rgb="FF20334A"/>
        <rFont val="Noto Sans CJK SC"/>
        <family val="2"/>
        <charset val="1"/>
      </rPr>
      <t xml:space="preserve">全市场独立产品分母未知；文件数不能作产品数或覆盖率。。</t>
    </r>
    <r>
      <rPr>
        <sz val="11"/>
        <color rgb="FF20334A"/>
        <rFont val="Arial"/>
        <family val="0"/>
        <charset val="1"/>
      </rPr>
      <t xml:space="preserve">24</t>
    </r>
    <r>
      <rPr>
        <sz val="11"/>
        <color rgb="FF20334A"/>
        <rFont val="Noto Sans CJK SC"/>
        <family val="2"/>
        <charset val="1"/>
      </rPr>
      <t xml:space="preserve">条关系修复涉及</t>
    </r>
    <r>
      <rPr>
        <sz val="11"/>
        <color rgb="FF20334A"/>
        <rFont val="Arial"/>
        <family val="0"/>
        <charset val="1"/>
      </rPr>
      <t xml:space="preserve">23</t>
    </r>
    <r>
      <rPr>
        <sz val="11"/>
        <color rgb="FF20334A"/>
        <rFont val="Noto Sans CJK SC"/>
        <family val="2"/>
        <charset val="1"/>
      </rPr>
      <t xml:space="preserve">个来源组；</t>
    </r>
    <r>
      <rPr>
        <sz val="11"/>
        <color rgb="FF20334A"/>
        <rFont val="Arial"/>
        <family val="0"/>
        <charset val="1"/>
      </rPr>
      <t xml:space="preserve">21</t>
    </r>
    <r>
      <rPr>
        <sz val="11"/>
        <color rgb="FF20334A"/>
        <rFont val="Noto Sans CJK SC"/>
        <family val="2"/>
        <charset val="1"/>
      </rPr>
      <t xml:space="preserve">项多变体关系待审，部分所谓缺主文项实为附约。</t>
    </r>
  </si>
  <si>
    <t xml:space="preserve">ID</t>
  </si>
  <si>
    <r>
      <rPr>
        <sz val="11"/>
        <color rgb="FF20334A"/>
        <rFont val="Noto Sans CJK SC"/>
        <family val="2"/>
        <charset val="1"/>
      </rPr>
      <t xml:space="preserve">核验</t>
    </r>
    <r>
      <rPr>
        <sz val="11"/>
        <color rgb="FF20334A"/>
        <rFont val="Arial"/>
        <family val="0"/>
        <charset val="1"/>
      </rPr>
      <t xml:space="preserve">PSATSI</t>
    </r>
    <r>
      <rPr>
        <sz val="11"/>
        <color rgb="FF20334A"/>
        <rFont val="Noto Sans CJK SC"/>
        <family val="2"/>
        <charset val="1"/>
      </rPr>
      <t xml:space="preserve">并找具名产品采用证据；受限件不破解。</t>
    </r>
  </si>
  <si>
    <r>
      <rPr>
        <sz val="11"/>
        <color rgb="FF20334A"/>
        <rFont val="Noto Sans CJK SC"/>
        <family val="2"/>
        <charset val="1"/>
      </rPr>
      <t xml:space="preserve">印度尼西亚：</t>
    </r>
    <r>
      <rPr>
        <sz val="11"/>
        <color rgb="FF20334A"/>
        <rFont val="Arial"/>
        <family val="0"/>
        <charset val="1"/>
      </rPr>
      <t xml:space="preserve">1 </t>
    </r>
    <r>
      <rPr>
        <sz val="11"/>
        <color rgb="FF20334A"/>
        <rFont val="Noto Sans CJK SC"/>
        <family val="2"/>
        <charset val="1"/>
      </rPr>
      <t xml:space="preserve">条来源</t>
    </r>
  </si>
  <si>
    <r>
      <rPr>
        <sz val="11"/>
        <color rgb="FF20334A"/>
        <rFont val="Noto Sans CJK SC"/>
        <family val="2"/>
        <charset val="1"/>
      </rPr>
      <t xml:space="preserve">全市场独立产品分母未知；文件数不能作产品数或覆盖率。。</t>
    </r>
    <r>
      <rPr>
        <sz val="11"/>
        <color rgb="FF20334A"/>
        <rFont val="Arial"/>
        <family val="0"/>
        <charset val="1"/>
      </rPr>
      <t xml:space="preserve">MAG PSAPBI</t>
    </r>
    <r>
      <rPr>
        <sz val="11"/>
        <color rgb="FF20334A"/>
        <rFont val="Noto Sans CJK SC"/>
        <family val="2"/>
        <charset val="1"/>
      </rPr>
      <t xml:space="preserve">已全文但为标准支持件，不能当具名产品主文；</t>
    </r>
    <r>
      <rPr>
        <sz val="11"/>
        <color rgb="FF20334A"/>
        <rFont val="Arial"/>
        <family val="0"/>
        <charset val="1"/>
      </rPr>
      <t xml:space="preserve">PSATSI</t>
    </r>
    <r>
      <rPr>
        <sz val="11"/>
        <color rgb="FF20334A"/>
        <rFont val="Noto Sans CJK SC"/>
        <family val="2"/>
        <charset val="1"/>
      </rPr>
      <t xml:space="preserve">待核，另有密码受限文件。</t>
    </r>
  </si>
  <si>
    <t xml:space="preserve">TH</t>
  </si>
  <si>
    <t xml:space="preserve">泰国</t>
  </si>
  <si>
    <t xml:space="preserve">清理角色、双语及版本关系；不将重复文件计新增。</t>
  </si>
  <si>
    <r>
      <rPr>
        <sz val="11"/>
        <color rgb="FF20334A"/>
        <rFont val="Noto Sans CJK SC"/>
        <family val="2"/>
        <charset val="1"/>
      </rPr>
      <t xml:space="preserve">泰国：</t>
    </r>
    <r>
      <rPr>
        <sz val="11"/>
        <color rgb="FF20334A"/>
        <rFont val="Arial"/>
        <family val="0"/>
        <charset val="1"/>
      </rPr>
      <t xml:space="preserve">3 </t>
    </r>
    <r>
      <rPr>
        <sz val="11"/>
        <color rgb="FF20334A"/>
        <rFont val="Noto Sans CJK SC"/>
        <family val="2"/>
        <charset val="1"/>
      </rPr>
      <t xml:space="preserve">条来源</t>
    </r>
  </si>
  <si>
    <r>
      <rPr>
        <sz val="11"/>
        <color rgb="FF20334A"/>
        <rFont val="Noto Sans CJK SC"/>
        <family val="2"/>
        <charset val="1"/>
      </rPr>
      <t xml:space="preserve">全市场独立产品分母未知；文件数不能作产品数或覆盖率。。</t>
    </r>
    <r>
      <rPr>
        <sz val="11"/>
        <color rgb="FF20334A"/>
        <rFont val="Arial"/>
        <family val="0"/>
        <charset val="1"/>
      </rPr>
      <t xml:space="preserve">Roojai</t>
    </r>
    <r>
      <rPr>
        <sz val="11"/>
        <color rgb="FF20334A"/>
        <rFont val="Noto Sans CJK SC"/>
        <family val="2"/>
        <charset val="1"/>
      </rPr>
      <t xml:space="preserve">新入口多为既有文件；主文、摘要、附加条款及服务协议混杂，部分</t>
    </r>
    <r>
      <rPr>
        <sz val="11"/>
        <color rgb="FF20334A"/>
        <rFont val="Arial"/>
        <family val="0"/>
        <charset val="1"/>
      </rPr>
      <t xml:space="preserve">PDF 403</t>
    </r>
    <r>
      <rPr>
        <sz val="11"/>
        <color rgb="FF20334A"/>
        <rFont val="Noto Sans CJK SC"/>
        <family val="2"/>
        <charset val="1"/>
      </rPr>
      <t xml:space="preserve">。</t>
    </r>
  </si>
  <si>
    <t xml:space="preserve">PH</t>
  </si>
  <si>
    <r>
      <rPr>
        <sz val="11"/>
        <color rgb="FF20334A"/>
        <rFont val="Noto Sans CJK SC"/>
        <family val="2"/>
        <charset val="1"/>
      </rPr>
      <t xml:space="preserve">交付疑点页码与必要缺件；历史及不完整页不升</t>
    </r>
    <r>
      <rPr>
        <sz val="11"/>
        <color rgb="FF20334A"/>
        <rFont val="Arial"/>
        <family val="0"/>
        <charset val="1"/>
      </rPr>
      <t xml:space="preserve">strict</t>
    </r>
    <r>
      <rPr>
        <sz val="11"/>
        <color rgb="FF20334A"/>
        <rFont val="Noto Sans CJK SC"/>
        <family val="2"/>
        <charset val="1"/>
      </rPr>
      <t xml:space="preserve">。</t>
    </r>
  </si>
  <si>
    <r>
      <rPr>
        <sz val="11"/>
        <color rgb="FF20334A"/>
        <rFont val="Noto Sans CJK SC"/>
        <family val="2"/>
        <charset val="1"/>
      </rPr>
      <t xml:space="preserve">菲律宾：</t>
    </r>
    <r>
      <rPr>
        <sz val="11"/>
        <color rgb="FF20334A"/>
        <rFont val="Arial"/>
        <family val="0"/>
        <charset val="1"/>
      </rPr>
      <t xml:space="preserve">3 </t>
    </r>
    <r>
      <rPr>
        <sz val="11"/>
        <color rgb="FF20334A"/>
        <rFont val="Noto Sans CJK SC"/>
        <family val="2"/>
        <charset val="1"/>
      </rPr>
      <t xml:space="preserve">条来源</t>
    </r>
  </si>
  <si>
    <r>
      <rPr>
        <sz val="11"/>
        <color rgb="FF20334A"/>
        <rFont val="Noto Sans CJK SC"/>
        <family val="2"/>
        <charset val="1"/>
      </rPr>
      <t xml:space="preserve">全市场独立产品分母未知；文件数不能作产品数或覆盖率。。</t>
    </r>
    <r>
      <rPr>
        <sz val="11"/>
        <color rgb="FF20334A"/>
        <rFont val="Arial"/>
        <family val="0"/>
        <charset val="1"/>
      </rPr>
      <t xml:space="preserve">FWD KanGuard</t>
    </r>
    <r>
      <rPr>
        <sz val="11"/>
        <color rgb="FF20334A"/>
        <rFont val="Noto Sans CJK SC"/>
        <family val="2"/>
        <charset val="1"/>
      </rPr>
      <t xml:space="preserve">与</t>
    </r>
    <r>
      <rPr>
        <sz val="11"/>
        <color rgb="FF20334A"/>
        <rFont val="Arial"/>
        <family val="0"/>
        <charset val="1"/>
      </rPr>
      <t xml:space="preserve">KanMend</t>
    </r>
    <r>
      <rPr>
        <sz val="11"/>
        <color rgb="FF20334A"/>
        <rFont val="Noto Sans CJK SC"/>
        <family val="2"/>
        <charset val="1"/>
      </rPr>
      <t xml:space="preserve">两份现官网样本文已全文，但给付对象或定义有疑点，资料包未齐。</t>
    </r>
  </si>
  <si>
    <t xml:space="preserve">KH</t>
  </si>
  <si>
    <r>
      <rPr>
        <sz val="11"/>
        <color rgb="FF20334A"/>
        <rFont val="Noto Sans CJK SC"/>
        <family val="2"/>
        <charset val="1"/>
      </rPr>
      <t xml:space="preserve">先审</t>
    </r>
    <r>
      <rPr>
        <sz val="11"/>
        <color rgb="FF20334A"/>
        <rFont val="Arial"/>
        <family val="0"/>
        <charset val="1"/>
      </rPr>
      <t xml:space="preserve">3</t>
    </r>
    <r>
      <rPr>
        <sz val="11"/>
        <color rgb="FF20334A"/>
        <rFont val="Noto Sans CJK SC"/>
        <family val="2"/>
        <charset val="1"/>
      </rPr>
      <t xml:space="preserve">份现公开候选及高棉文内容，分别保留历史</t>
    </r>
    <r>
      <rPr>
        <sz val="11"/>
        <color rgb="FF20334A"/>
        <rFont val="Arial"/>
        <family val="0"/>
        <charset val="1"/>
      </rPr>
      <t xml:space="preserve">/</t>
    </r>
    <r>
      <rPr>
        <sz val="11"/>
        <color rgb="FF20334A"/>
        <rFont val="Noto Sans CJK SC"/>
        <family val="2"/>
        <charset val="1"/>
      </rPr>
      <t xml:space="preserve">采用待核。</t>
    </r>
  </si>
  <si>
    <r>
      <rPr>
        <sz val="11"/>
        <color rgb="FF20334A"/>
        <rFont val="Noto Sans CJK SC"/>
        <family val="2"/>
        <charset val="1"/>
      </rPr>
      <t xml:space="preserve">柬埔寨：</t>
    </r>
    <r>
      <rPr>
        <sz val="11"/>
        <color rgb="FF20334A"/>
        <rFont val="Arial"/>
        <family val="0"/>
        <charset val="1"/>
      </rPr>
      <t xml:space="preserve">13 </t>
    </r>
    <r>
      <rPr>
        <sz val="11"/>
        <color rgb="FF20334A"/>
        <rFont val="Noto Sans CJK SC"/>
        <family val="2"/>
        <charset val="1"/>
      </rPr>
      <t xml:space="preserve">条来源</t>
    </r>
  </si>
  <si>
    <r>
      <rPr>
        <sz val="11"/>
        <color rgb="FF20334A"/>
        <rFont val="Noto Sans CJK SC"/>
        <family val="2"/>
        <charset val="1"/>
      </rPr>
      <t xml:space="preserve">全市场独立产品分母未知；文件数不能作产品数或覆盖率。。本轮</t>
    </r>
    <r>
      <rPr>
        <sz val="11"/>
        <color rgb="FF20334A"/>
        <rFont val="Arial"/>
        <family val="0"/>
        <charset val="1"/>
      </rPr>
      <t xml:space="preserve">6</t>
    </r>
    <r>
      <rPr>
        <sz val="11"/>
        <color rgb="FF20334A"/>
        <rFont val="Noto Sans CJK SC"/>
        <family val="2"/>
        <charset val="1"/>
      </rPr>
      <t xml:space="preserve">份正文候选待核；</t>
    </r>
    <r>
      <rPr>
        <sz val="11"/>
        <color rgb="FF20334A"/>
        <rFont val="Arial"/>
        <family val="0"/>
        <charset val="1"/>
      </rPr>
      <t xml:space="preserve">3</t>
    </r>
    <r>
      <rPr>
        <sz val="11"/>
        <color rgb="FF20334A"/>
        <rFont val="Noto Sans CJK SC"/>
        <family val="2"/>
        <charset val="1"/>
      </rPr>
      <t xml:space="preserve">份有现公开直链、</t>
    </r>
    <r>
      <rPr>
        <sz val="11"/>
        <color rgb="FF20334A"/>
        <rFont val="Arial"/>
        <family val="0"/>
        <charset val="1"/>
      </rPr>
      <t xml:space="preserve">1</t>
    </r>
    <r>
      <rPr>
        <sz val="11"/>
        <color rgb="FF20334A"/>
        <rFont val="Noto Sans CJK SC"/>
        <family val="2"/>
        <charset val="1"/>
      </rPr>
      <t xml:space="preserve">份历史、</t>
    </r>
    <r>
      <rPr>
        <sz val="11"/>
        <color rgb="FF20334A"/>
        <rFont val="Arial"/>
        <family val="0"/>
        <charset val="1"/>
      </rPr>
      <t xml:space="preserve">2</t>
    </r>
    <r>
      <rPr>
        <sz val="11"/>
        <color rgb="FF20334A"/>
        <rFont val="Noto Sans CJK SC"/>
        <family val="2"/>
        <charset val="1"/>
      </rPr>
      <t xml:space="preserve">份官方托管但现行采用未证。</t>
    </r>
  </si>
  <si>
    <t xml:space="preserve">BN</t>
  </si>
  <si>
    <t xml:space="preserve">文莱</t>
  </si>
  <si>
    <t xml:space="preserve">核对身份与关联，区分复用与新增文件。</t>
  </si>
  <si>
    <r>
      <rPr>
        <sz val="11"/>
        <color rgb="FF20334A"/>
        <rFont val="Noto Sans CJK SC"/>
        <family val="2"/>
        <charset val="1"/>
      </rPr>
      <t xml:space="preserve">文莱：</t>
    </r>
    <r>
      <rPr>
        <sz val="11"/>
        <color rgb="FF20334A"/>
        <rFont val="Arial"/>
        <family val="0"/>
        <charset val="1"/>
      </rPr>
      <t xml:space="preserve">4 </t>
    </r>
    <r>
      <rPr>
        <sz val="11"/>
        <color rgb="FF20334A"/>
        <rFont val="Noto Sans CJK SC"/>
        <family val="2"/>
        <charset val="1"/>
      </rPr>
      <t xml:space="preserve">条来源</t>
    </r>
  </si>
  <si>
    <r>
      <rPr>
        <sz val="11"/>
        <color rgb="FF20334A"/>
        <rFont val="Noto Sans CJK SC"/>
        <family val="2"/>
        <charset val="1"/>
      </rPr>
      <t xml:space="preserve">全市场独立产品分母未知；文件数不能作产品数或覆盖率。。</t>
    </r>
    <r>
      <rPr>
        <sz val="11"/>
        <color rgb="FF20334A"/>
        <rFont val="Arial"/>
        <family val="0"/>
        <charset val="1"/>
      </rPr>
      <t xml:space="preserve">TAIB</t>
    </r>
    <r>
      <rPr>
        <sz val="11"/>
        <color rgb="FF20334A"/>
        <rFont val="Noto Sans CJK SC"/>
        <family val="2"/>
        <charset val="1"/>
      </rPr>
      <t xml:space="preserve">同页</t>
    </r>
    <r>
      <rPr>
        <sz val="11"/>
        <color rgb="FF20334A"/>
        <rFont val="Arial"/>
        <family val="0"/>
        <charset val="1"/>
      </rPr>
      <t xml:space="preserve">4</t>
    </r>
    <r>
      <rPr>
        <sz val="11"/>
        <color rgb="FF20334A"/>
        <rFont val="Noto Sans CJK SC"/>
        <family val="2"/>
        <charset val="1"/>
      </rPr>
      <t xml:space="preserve">条关系修复复用既有原件；</t>
    </r>
    <r>
      <rPr>
        <sz val="11"/>
        <color rgb="FF20334A"/>
        <rFont val="Arial"/>
        <family val="0"/>
        <charset val="1"/>
      </rPr>
      <t xml:space="preserve">National EPP</t>
    </r>
    <r>
      <rPr>
        <sz val="11"/>
        <color rgb="FF20334A"/>
        <rFont val="Noto Sans CJK SC"/>
        <family val="2"/>
        <charset val="1"/>
      </rPr>
      <t xml:space="preserve">仅见投保书及产品说明。</t>
    </r>
  </si>
  <si>
    <t xml:space="preserve">LA</t>
  </si>
  <si>
    <t xml:space="preserve">老挝</t>
  </si>
  <si>
    <t xml:space="preserve">建立共享条款适用矩阵和附录依赖，不用共用文件合并产品。</t>
  </si>
  <si>
    <r>
      <rPr>
        <sz val="11"/>
        <color rgb="FF20334A"/>
        <rFont val="Noto Sans CJK SC"/>
        <family val="2"/>
        <charset val="1"/>
      </rPr>
      <t xml:space="preserve">老挝：</t>
    </r>
    <r>
      <rPr>
        <sz val="11"/>
        <color rgb="FF20334A"/>
        <rFont val="Arial"/>
        <family val="0"/>
        <charset val="1"/>
      </rPr>
      <t xml:space="preserve">2 </t>
    </r>
    <r>
      <rPr>
        <sz val="11"/>
        <color rgb="FF20334A"/>
        <rFont val="Noto Sans CJK SC"/>
        <family val="2"/>
        <charset val="1"/>
      </rPr>
      <t xml:space="preserve">条来源</t>
    </r>
  </si>
  <si>
    <r>
      <rPr>
        <sz val="11"/>
        <color rgb="FF20334A"/>
        <rFont val="Noto Sans CJK SC"/>
        <family val="2"/>
        <charset val="1"/>
      </rPr>
      <t xml:space="preserve">全市场独立产品分母未知；文件数不能作产品数或覆盖率。。</t>
    </r>
    <r>
      <rPr>
        <sz val="11"/>
        <color rgb="FF20334A"/>
        <rFont val="Arial"/>
        <family val="0"/>
        <charset val="1"/>
      </rPr>
      <t xml:space="preserve">AGL</t>
    </r>
    <r>
      <rPr>
        <sz val="11"/>
        <color rgb="FF20334A"/>
        <rFont val="Noto Sans CJK SC"/>
        <family val="2"/>
        <charset val="1"/>
      </rPr>
      <t xml:space="preserve">库主文及附录多为既有文件；多产品共用空白附录，部分入口验证码。</t>
    </r>
  </si>
  <si>
    <t xml:space="preserve">MM</t>
  </si>
  <si>
    <t xml:space="preserve">审组件依赖及法律版本；遇验证挑战停止该入口。</t>
  </si>
  <si>
    <r>
      <rPr>
        <sz val="11"/>
        <color rgb="FF20334A"/>
        <rFont val="Noto Sans CJK SC"/>
        <family val="2"/>
        <charset val="1"/>
      </rPr>
      <t xml:space="preserve">缅甸：</t>
    </r>
    <r>
      <rPr>
        <sz val="11"/>
        <color rgb="FF20334A"/>
        <rFont val="Arial"/>
        <family val="0"/>
        <charset val="1"/>
      </rPr>
      <t xml:space="preserve">9 </t>
    </r>
    <r>
      <rPr>
        <sz val="11"/>
        <color rgb="FF20334A"/>
        <rFont val="Noto Sans CJK SC"/>
        <family val="2"/>
        <charset val="1"/>
      </rPr>
      <t xml:space="preserve">条来源</t>
    </r>
  </si>
  <si>
    <r>
      <rPr>
        <sz val="11"/>
        <color rgb="FF20334A"/>
        <rFont val="Noto Sans CJK SC"/>
        <family val="2"/>
        <charset val="1"/>
      </rPr>
      <t xml:space="preserve">全市场独立产品分母未知；文件数不能作产品数或覆盖率。。</t>
    </r>
    <r>
      <rPr>
        <sz val="11"/>
        <color rgb="FF20334A"/>
        <rFont val="Arial"/>
        <family val="0"/>
        <charset val="1"/>
      </rPr>
      <t xml:space="preserve">FNI</t>
    </r>
    <r>
      <rPr>
        <sz val="11"/>
        <color rgb="FF20334A"/>
        <rFont val="Noto Sans CJK SC"/>
        <family val="2"/>
        <charset val="1"/>
      </rPr>
      <t xml:space="preserve">本轮</t>
    </r>
    <r>
      <rPr>
        <sz val="11"/>
        <color rgb="FF20334A"/>
        <rFont val="Arial"/>
        <family val="0"/>
        <charset val="1"/>
      </rPr>
      <t xml:space="preserve">7</t>
    </r>
    <r>
      <rPr>
        <sz val="11"/>
        <color rgb="FF20334A"/>
        <rFont val="Noto Sans CJK SC"/>
        <family val="2"/>
        <charset val="1"/>
      </rPr>
      <t xml:space="preserve">份仅支持</t>
    </r>
    <r>
      <rPr>
        <sz val="11"/>
        <color rgb="FF20334A"/>
        <rFont val="Arial"/>
        <family val="0"/>
        <charset val="1"/>
      </rPr>
      <t xml:space="preserve">/</t>
    </r>
    <r>
      <rPr>
        <sz val="11"/>
        <color rgb="FF20334A"/>
        <rFont val="Noto Sans CJK SC"/>
        <family val="2"/>
        <charset val="1"/>
      </rPr>
      <t xml:space="preserve">附加组件且待核；名称含</t>
    </r>
    <r>
      <rPr>
        <sz val="11"/>
        <color rgb="FF20334A"/>
        <rFont val="Arial"/>
        <family val="0"/>
        <charset val="1"/>
      </rPr>
      <t xml:space="preserve">TC</t>
    </r>
    <r>
      <rPr>
        <sz val="11"/>
        <color rgb="FF20334A"/>
        <rFont val="Noto Sans CJK SC"/>
        <family val="2"/>
        <charset val="1"/>
      </rPr>
      <t xml:space="preserve">亦可能只是</t>
    </r>
    <r>
      <rPr>
        <sz val="11"/>
        <color rgb="FF20334A"/>
        <rFont val="Arial"/>
        <family val="0"/>
        <charset val="1"/>
      </rPr>
      <t xml:space="preserve">brief</t>
    </r>
    <r>
      <rPr>
        <sz val="11"/>
        <color rgb="FF20334A"/>
        <rFont val="Noto Sans CJK SC"/>
        <family val="2"/>
        <charset val="1"/>
      </rPr>
      <t xml:space="preserve">或</t>
    </r>
    <r>
      <rPr>
        <sz val="11"/>
        <color rgb="FF20334A"/>
        <rFont val="Arial"/>
        <family val="0"/>
        <charset val="1"/>
      </rPr>
      <t xml:space="preserve">summary</t>
    </r>
    <r>
      <rPr>
        <sz val="11"/>
        <color rgb="FF20334A"/>
        <rFont val="Noto Sans CJK SC"/>
        <family val="2"/>
        <charset val="1"/>
      </rPr>
      <t xml:space="preserve">。</t>
    </r>
  </si>
  <si>
    <t xml:space="preserve">TL</t>
  </si>
  <si>
    <t xml:space="preserve">东帝汶</t>
  </si>
  <si>
    <t xml:space="preserve">正式库尚无文件</t>
  </si>
  <si>
    <t xml:space="preserve">建立本地主体及目录，保留缺口；不以印尼或跨境产品冒充本地覆盖。</t>
  </si>
  <si>
    <r>
      <rPr>
        <sz val="11"/>
        <color rgb="FF20334A"/>
        <rFont val="Noto Sans CJK SC"/>
        <family val="2"/>
        <charset val="1"/>
      </rPr>
      <t xml:space="preserve">东帝汶：</t>
    </r>
    <r>
      <rPr>
        <sz val="11"/>
        <color rgb="FF20334A"/>
        <rFont val="Arial"/>
        <family val="0"/>
        <charset val="1"/>
      </rPr>
      <t xml:space="preserve">3 </t>
    </r>
    <r>
      <rPr>
        <sz val="11"/>
        <color rgb="FF20334A"/>
        <rFont val="Noto Sans CJK SC"/>
        <family val="2"/>
        <charset val="1"/>
      </rPr>
      <t xml:space="preserve">条来源</t>
    </r>
  </si>
  <si>
    <r>
      <rPr>
        <sz val="11"/>
        <color rgb="FF20334A"/>
        <rFont val="Noto Sans CJK SC"/>
        <family val="2"/>
        <charset val="1"/>
      </rPr>
      <t xml:space="preserve">正式库尚无东帝汶本地原件；</t>
    </r>
    <r>
      <rPr>
        <sz val="11"/>
        <color rgb="FF20334A"/>
        <rFont val="Arial"/>
        <family val="0"/>
        <charset val="1"/>
      </rPr>
      <t xml:space="preserve">0</t>
    </r>
    <r>
      <rPr>
        <sz val="11"/>
        <color rgb="FF20334A"/>
        <rFont val="Noto Sans CJK SC"/>
        <family val="2"/>
        <charset val="1"/>
      </rPr>
      <t xml:space="preserve">文件不等于当地无产品，市场产品分母仍未知。。本地正式原件</t>
    </r>
    <r>
      <rPr>
        <sz val="11"/>
        <color rgb="FF20334A"/>
        <rFont val="Arial"/>
        <family val="0"/>
        <charset val="1"/>
      </rPr>
      <t xml:space="preserve">0</t>
    </r>
    <r>
      <rPr>
        <sz val="11"/>
        <color rgb="FF20334A"/>
        <rFont val="Noto Sans CJK SC"/>
        <family val="2"/>
        <charset val="1"/>
      </rPr>
      <t xml:space="preserve">；可见一般险主体及目录线索，但寿险当前牌照与本地入口未证。</t>
    </r>
  </si>
  <si>
    <t xml:space="preserve">保司／机构</t>
  </si>
  <si>
    <t xml:space="preserve">来源类型</t>
  </si>
  <si>
    <t xml:space="preserve">来源名称</t>
  </si>
  <si>
    <t xml:space="preserve">版本／范围</t>
  </si>
  <si>
    <t xml:space="preserve">核验状态</t>
  </si>
  <si>
    <t xml:space="preserve">来源入口</t>
  </si>
  <si>
    <t xml:space="preserve">文件链接</t>
  </si>
  <si>
    <t xml:space="preserve">证据边界</t>
  </si>
  <si>
    <t xml:space="preserve">SRC-HK-6c2c38706b</t>
  </si>
  <si>
    <t xml:space="preserve">本地银行销售渠道</t>
  </si>
  <si>
    <t xml:space="preserve">www.dahsing.com</t>
  </si>
  <si>
    <t xml:space="preserve">dahsing-sunjoy</t>
  </si>
  <si>
    <t xml:space="preserve">页面可访问；所查可见链接未取得匹配主文</t>
  </si>
  <si>
    <r>
      <rPr>
        <sz val="11"/>
        <color rgb="FF20334A"/>
        <rFont val="Noto Sans CJK SC"/>
        <family val="2"/>
        <charset val="1"/>
      </rPr>
      <t xml:space="preserve">历史本轮记录日期；非今日重访。仅沿冻结的产品</t>
    </r>
    <r>
      <rPr>
        <sz val="11"/>
        <color rgb="FF20334A"/>
        <rFont val="Arial"/>
        <family val="0"/>
        <charset val="1"/>
      </rPr>
      <t xml:space="preserve">/</t>
    </r>
    <r>
      <rPr>
        <sz val="11"/>
        <color rgb="FF20334A"/>
        <rFont val="Noto Sans CJK SC"/>
        <family val="2"/>
        <charset val="1"/>
      </rPr>
      <t xml:space="preserve">版本处理明确缺件；不重跑已结案路线。</t>
    </r>
  </si>
  <si>
    <r>
      <rPr>
        <sz val="11"/>
        <color rgb="FF20334A"/>
        <rFont val="Arial"/>
        <family val="2"/>
        <charset val="1"/>
      </rPr>
      <t xml:space="preserve">D1</t>
    </r>
    <r>
      <rPr>
        <sz val="11"/>
        <color rgb="FF20334A"/>
        <rFont val="Noto Sans CJK SC"/>
        <family val="2"/>
        <charset val="1"/>
      </rPr>
      <t xml:space="preserve">及历史</t>
    </r>
  </si>
  <si>
    <t xml:space="preserve">SRC-HK-4750d4b12c</t>
  </si>
  <si>
    <t xml:space="preserve">www.dbs.com.hk</t>
  </si>
  <si>
    <t xml:space="preserve">dbs-savings</t>
  </si>
  <si>
    <r>
      <rPr>
        <sz val="11"/>
        <color rgb="FF20334A"/>
        <rFont val="Noto Sans CJK SC"/>
        <family val="2"/>
        <charset val="1"/>
      </rPr>
      <t xml:space="preserve">访问失败：</t>
    </r>
    <r>
      <rPr>
        <sz val="11"/>
        <color rgb="FF20334A"/>
        <rFont val="Arial"/>
        <family val="0"/>
        <charset val="1"/>
      </rPr>
      <t xml:space="preserve">HTTP Error 403: Forbidden</t>
    </r>
  </si>
  <si>
    <r>
      <rPr>
        <sz val="11"/>
        <color rgb="FF20334A"/>
        <rFont val="Noto Sans CJK SC"/>
        <family val="2"/>
        <charset val="1"/>
      </rPr>
      <t xml:space="preserve">历史本轮记录日期；非今日重访。停止该受限入口；仅新授权</t>
    </r>
    <r>
      <rPr>
        <sz val="11"/>
        <color rgb="FF20334A"/>
        <rFont val="Arial"/>
        <family val="0"/>
        <charset val="1"/>
      </rPr>
      <t xml:space="preserve">/</t>
    </r>
    <r>
      <rPr>
        <sz val="11"/>
        <color rgb="FF20334A"/>
        <rFont val="Noto Sans CJK SC"/>
        <family val="2"/>
        <charset val="1"/>
      </rPr>
      <t xml:space="preserve">新官方入口或版本变化后复查。</t>
    </r>
  </si>
  <si>
    <t xml:space="preserve">SRC-HK-e87ae103e8</t>
  </si>
  <si>
    <t xml:space="preserve">www.sc.com</t>
  </si>
  <si>
    <t xml:space="preserve">sc-insurance</t>
  </si>
  <si>
    <t xml:space="preserve">SRC-HK-5e1c5fa6df</t>
  </si>
  <si>
    <t xml:space="preserve">sc-savings</t>
  </si>
  <si>
    <t xml:space="preserve">SRC-HK-af614e1616</t>
  </si>
  <si>
    <r>
      <rPr>
        <sz val="11"/>
        <color rgb="FF20334A"/>
        <rFont val="Arial"/>
        <family val="0"/>
        <charset val="1"/>
      </rPr>
      <t xml:space="preserve">AIA</t>
    </r>
    <r>
      <rPr>
        <sz val="11"/>
        <color rgb="FF20334A"/>
        <rFont val="Noto Sans CJK SC"/>
        <family val="2"/>
        <charset val="1"/>
      </rPr>
      <t xml:space="preserve">（东亚银行销售渠道）</t>
    </r>
  </si>
  <si>
    <t xml:space="preserve">www.hkbea.com</t>
  </si>
  <si>
    <t xml:space="preserve">bank-aia-deferred-annuity-plan-2</t>
  </si>
  <si>
    <t xml:space="preserve">页面可访问；所查可见链接未取得匹配主文；页面提示可按需索取</t>
  </si>
  <si>
    <t xml:space="preserve">SRC-HK-0f749b75df</t>
  </si>
  <si>
    <t xml:space="preserve">bea-aia</t>
  </si>
  <si>
    <t xml:space="preserve">SRC-HK-4658d34b2c</t>
  </si>
  <si>
    <t xml:space="preserve">bank-global-power-multi-currency-plan-3</t>
  </si>
  <si>
    <t xml:space="preserve">SRC-HK-cec52af9e6</t>
  </si>
  <si>
    <t xml:space="preserve">bank-globalflexi-savings</t>
  </si>
  <si>
    <t xml:space="preserve">SRC-HK-e073e2aece</t>
  </si>
  <si>
    <t xml:space="preserve">bank-prosper-life-insurance-plan</t>
  </si>
  <si>
    <t xml:space="preserve">SRC-HK-f2ead39462</t>
  </si>
  <si>
    <t xml:space="preserve">bank-wealth-flexi-savings</t>
  </si>
  <si>
    <t xml:space="preserve">SRC-HK-a4099bf446</t>
  </si>
  <si>
    <t xml:space="preserve">AXA</t>
  </si>
  <si>
    <t xml:space="preserve">保险公司官方</t>
  </si>
  <si>
    <t xml:space="preserve">www.axa.com.hk</t>
  </si>
  <si>
    <t xml:space="preserve">「賞精彩」延期年金計劃</t>
  </si>
  <si>
    <r>
      <rPr>
        <sz val="11"/>
        <color rgb="FF20334A"/>
        <rFont val="Noto Sans CJK SC"/>
        <family val="2"/>
        <charset val="1"/>
      </rPr>
      <t xml:space="preserve">可见公开页面未取得新增匹配主文；宣传册</t>
    </r>
    <r>
      <rPr>
        <sz val="11"/>
        <color rgb="FF20334A"/>
        <rFont val="Arial"/>
        <family val="0"/>
        <charset val="1"/>
      </rPr>
      <t xml:space="preserve">/</t>
    </r>
    <r>
      <rPr>
        <sz val="11"/>
        <color rgb="FF20334A"/>
        <rFont val="Noto Sans CJK SC"/>
        <family val="2"/>
        <charset val="1"/>
      </rPr>
      <t xml:space="preserve">优惠</t>
    </r>
    <r>
      <rPr>
        <sz val="11"/>
        <color rgb="FF20334A"/>
        <rFont val="Arial"/>
        <family val="0"/>
        <charset val="1"/>
      </rPr>
      <t xml:space="preserve">/</t>
    </r>
    <r>
      <rPr>
        <sz val="11"/>
        <color rgb="FF20334A"/>
        <rFont val="Noto Sans CJK SC"/>
        <family val="2"/>
        <charset val="1"/>
      </rPr>
      <t xml:space="preserve">支持件不等于主合同</t>
    </r>
  </si>
  <si>
    <r>
      <rPr>
        <sz val="11"/>
        <color rgb="FF20334A"/>
        <rFont val="Noto Sans CJK SC"/>
        <family val="2"/>
        <charset val="1"/>
      </rPr>
      <t xml:space="preserve">历史逐请求检查时间。仅沿冻结的产品</t>
    </r>
    <r>
      <rPr>
        <sz val="11"/>
        <color rgb="FF20334A"/>
        <rFont val="Arial"/>
        <family val="0"/>
        <charset val="1"/>
      </rPr>
      <t xml:space="preserve">/</t>
    </r>
    <r>
      <rPr>
        <sz val="11"/>
        <color rgb="FF20334A"/>
        <rFont val="Noto Sans CJK SC"/>
        <family val="2"/>
        <charset val="1"/>
      </rPr>
      <t xml:space="preserve">版本处理明确缺件；不重跑已结案路线。</t>
    </r>
  </si>
  <si>
    <t xml:space="preserve">SRC-HK-35bf5afc81</t>
  </si>
  <si>
    <t xml:space="preserve">www.boclife.com.hk</t>
  </si>
  <si>
    <t xml:space="preserve">中銀人壽延期年金計劃（終身）</t>
  </si>
  <si>
    <t xml:space="preserve">SRC-HK-13a41ae0a6</t>
  </si>
  <si>
    <t xml:space="preserve">鑄富世代環球終身保險計劃</t>
  </si>
  <si>
    <t xml:space="preserve">SRC-HK-5bad78e05e</t>
  </si>
  <si>
    <t xml:space="preserve">薪火傳承環球終身保險計劃</t>
  </si>
  <si>
    <t xml:space="preserve">SRC-HK-c7c3c03592</t>
  </si>
  <si>
    <t xml:space="preserve">月悅出息終身享保險計劃</t>
  </si>
  <si>
    <t xml:space="preserve">SRC-HK-99bdea2859</t>
  </si>
  <si>
    <t xml:space="preserve">目標三年保險計劃</t>
  </si>
  <si>
    <t xml:space="preserve">SRC-HK-4910d0077b</t>
  </si>
  <si>
    <t xml:space="preserve">精選目標五年保險計劃</t>
  </si>
  <si>
    <t xml:space="preserve">SRC-HK-605320de19</t>
  </si>
  <si>
    <t xml:space="preserve">CTF Life</t>
  </si>
  <si>
    <t xml:space="preserve">www.ctflife.com.hk</t>
  </si>
  <si>
    <t xml:space="preserve">「盛悅」萬用保險保障計劃</t>
  </si>
  <si>
    <t xml:space="preserve">返回验证挑战，未取得真正产品页面；已停止该入口</t>
  </si>
  <si>
    <r>
      <rPr>
        <sz val="11"/>
        <color rgb="FF20334A"/>
        <rFont val="Noto Sans CJK SC"/>
        <family val="2"/>
        <charset val="1"/>
      </rPr>
      <t xml:space="preserve">历史逐请求检查时间。停止该受限入口；仅新授权</t>
    </r>
    <r>
      <rPr>
        <sz val="11"/>
        <color rgb="FF20334A"/>
        <rFont val="Arial"/>
        <family val="0"/>
        <charset val="1"/>
      </rPr>
      <t xml:space="preserve">/</t>
    </r>
    <r>
      <rPr>
        <sz val="11"/>
        <color rgb="FF20334A"/>
        <rFont val="Noto Sans CJK SC"/>
        <family val="2"/>
        <charset val="1"/>
      </rPr>
      <t xml:space="preserve">新官方入口或版本变化后复查。</t>
    </r>
  </si>
  <si>
    <t xml:space="preserve">SRC-HK-ba187b4d0d</t>
  </si>
  <si>
    <r>
      <rPr>
        <sz val="11"/>
        <color rgb="FF20334A"/>
        <rFont val="Noto Sans CJK SC"/>
        <family val="2"/>
        <charset val="1"/>
      </rPr>
      <t xml:space="preserve">「匠心 • 傳承」儲蓄保險計劃 </t>
    </r>
    <r>
      <rPr>
        <sz val="11"/>
        <color rgb="FF20334A"/>
        <rFont val="Arial"/>
        <family val="0"/>
        <charset val="1"/>
      </rPr>
      <t xml:space="preserve">2 (</t>
    </r>
    <r>
      <rPr>
        <sz val="11"/>
        <color rgb="FF20334A"/>
        <rFont val="Noto Sans CJK SC"/>
        <family val="2"/>
        <charset val="1"/>
      </rPr>
      <t xml:space="preserve">優越版</t>
    </r>
    <r>
      <rPr>
        <sz val="11"/>
        <color rgb="FF20334A"/>
        <rFont val="Arial"/>
        <family val="0"/>
        <charset val="1"/>
      </rPr>
      <t xml:space="preserve">)</t>
    </r>
  </si>
  <si>
    <t xml:space="preserve">SRC-HK-a29b5bed4b</t>
  </si>
  <si>
    <r>
      <rPr>
        <sz val="11"/>
        <color rgb="FF20334A"/>
        <rFont val="Noto Sans CJK SC"/>
        <family val="2"/>
        <charset val="1"/>
      </rPr>
      <t xml:space="preserve">「飛揚．</t>
    </r>
    <r>
      <rPr>
        <sz val="11"/>
        <color rgb="FF20334A"/>
        <rFont val="Arial"/>
        <family val="0"/>
        <charset val="1"/>
      </rPr>
      <t xml:space="preserve">88</t>
    </r>
    <r>
      <rPr>
        <sz val="11"/>
        <color rgb="FF20334A"/>
        <rFont val="Noto Sans CJK SC"/>
        <family val="2"/>
        <charset val="1"/>
      </rPr>
      <t xml:space="preserve">」儲蓄保險計劃</t>
    </r>
  </si>
  <si>
    <t xml:space="preserve">SRC-HK-266e3e3809</t>
  </si>
  <si>
    <t xml:space="preserve">China Life (Overseas)</t>
  </si>
  <si>
    <t xml:space="preserve">chinalife.com.hk</t>
  </si>
  <si>
    <t xml:space="preserve">Grand Horizon Savings Insurance Plan (Exclusive to Broker Channel)</t>
  </si>
  <si>
    <t xml:space="preserve">SRC-HK-68cd7e8e87</t>
  </si>
  <si>
    <t xml:space="preserve">China Pacific Life Insurance (H.K.) Company Limited</t>
  </si>
  <si>
    <t xml:space="preserve">www.cpiclifehk.com.hk</t>
  </si>
  <si>
    <r>
      <rPr>
        <sz val="11"/>
        <color rgb="FF20334A"/>
        <rFont val="Noto Sans CJK SC"/>
        <family val="2"/>
        <charset val="1"/>
      </rPr>
      <t xml:space="preserve">世代悅享儲蓄保險計劃</t>
    </r>
    <r>
      <rPr>
        <sz val="11"/>
        <color rgb="FF20334A"/>
        <rFont val="Arial"/>
        <family val="0"/>
        <charset val="1"/>
      </rPr>
      <t xml:space="preserve">3</t>
    </r>
  </si>
  <si>
    <t xml:space="preserve">SRC-HK-094918c851</t>
  </si>
  <si>
    <t xml:space="preserve">Chubb Life</t>
  </si>
  <si>
    <t xml:space="preserve">www.chubb.com</t>
  </si>
  <si>
    <t xml:space="preserve">Chubb Future Achiever Savings Plan II</t>
  </si>
  <si>
    <t xml:space="preserve">SRC-HK-ca03c232c3</t>
  </si>
  <si>
    <t xml:space="preserve">www.fubonlife.com.hk</t>
  </si>
  <si>
    <t xml:space="preserve">盈玥保險計劃</t>
  </si>
  <si>
    <t xml:space="preserve">SRC-HK-155493430c</t>
  </si>
  <si>
    <t xml:space="preserve">www.hsbc.com.hk</t>
  </si>
  <si>
    <t xml:space="preserve">HSBC EarlyIncome Deferred Annuity Plan</t>
  </si>
  <si>
    <t xml:space="preserve">SRC-HK-e31a49cdc7</t>
  </si>
  <si>
    <t xml:space="preserve">HSBC Flourish Income Annuity Plan</t>
  </si>
  <si>
    <t xml:space="preserve">SRC-HK-1f15ddfad2</t>
  </si>
  <si>
    <t xml:space="preserve">HSBC Income Goal Deferred Annuity Plan</t>
  </si>
  <si>
    <t xml:space="preserve">SRC-HK-12fb188f79</t>
  </si>
  <si>
    <t xml:space="preserve">www.hangseng.com</t>
  </si>
  <si>
    <r>
      <rPr>
        <sz val="11"/>
        <color rgb="FF20334A"/>
        <rFont val="Noto Sans CJK SC"/>
        <family val="2"/>
        <charset val="1"/>
      </rPr>
      <t xml:space="preserve">「晉盛」延期年金人壽保險計劃 </t>
    </r>
    <r>
      <rPr>
        <sz val="11"/>
        <color rgb="FF20334A"/>
        <rFont val="Arial"/>
        <family val="0"/>
        <charset val="1"/>
      </rPr>
      <t xml:space="preserve">- </t>
    </r>
    <r>
      <rPr>
        <sz val="11"/>
        <color rgb="FF20334A"/>
        <rFont val="Noto Sans CJK SC"/>
        <family val="2"/>
        <charset val="1"/>
      </rPr>
      <t xml:space="preserve">恒生銀行</t>
    </r>
  </si>
  <si>
    <t xml:space="preserve">SRC-HK-eef3efa20f</t>
  </si>
  <si>
    <t xml:space="preserve">「聚息通」人壽保險計劃</t>
  </si>
  <si>
    <t xml:space="preserve">SRC-HK-128249f83d</t>
  </si>
  <si>
    <t xml:space="preserve">www.hklife.com.hk</t>
  </si>
  <si>
    <t xml:space="preserve">Wealth Global Multi-Currency Insurance Plan</t>
  </si>
  <si>
    <t xml:space="preserve">SRC-HK-204b85559d</t>
  </si>
  <si>
    <t xml:space="preserve">www.yflife.com</t>
  </si>
  <si>
    <t xml:space="preserve">萬通多元教育儲蓄計劃</t>
  </si>
  <si>
    <t xml:space="preserve">SRC-HK-d9f168be97</t>
  </si>
  <si>
    <t xml:space="preserve">life.zurich.com.hk</t>
  </si>
  <si>
    <t xml:space="preserve">Swiss Prime Savings Insurance Plan</t>
  </si>
  <si>
    <t xml:space="preserve">SRC-HK-90272692ff</t>
  </si>
  <si>
    <t xml:space="preserve">www.aia.com.hk</t>
  </si>
  <si>
    <r>
      <rPr>
        <sz val="11"/>
        <color rgb="FF20334A"/>
        <rFont val="Arial"/>
        <family val="0"/>
        <charset val="1"/>
      </rPr>
      <t xml:space="preserve">AIA</t>
    </r>
    <r>
      <rPr>
        <sz val="11"/>
        <color rgb="FF20334A"/>
        <rFont val="Noto Sans CJK SC"/>
        <family val="2"/>
        <charset val="1"/>
      </rPr>
      <t xml:space="preserve">延期年金計劃</t>
    </r>
    <r>
      <rPr>
        <sz val="11"/>
        <color rgb="FF20334A"/>
        <rFont val="Arial"/>
        <family val="0"/>
        <charset val="1"/>
      </rPr>
      <t xml:space="preserve">2</t>
    </r>
  </si>
  <si>
    <t xml:space="preserve">SRC-HK-4d6dc4e758</t>
  </si>
  <si>
    <t xml:space="preserve">GlobalFlexi Savings Insurance Plan</t>
  </si>
  <si>
    <t xml:space="preserve">SRC-HK-fc65524559</t>
  </si>
  <si>
    <t xml:space="preserve">Global Power Multi-Currency Savings Insurance Plan 3</t>
  </si>
  <si>
    <t xml:space="preserve">SRC-HK-5184343d26</t>
  </si>
  <si>
    <t xml:space="preserve">「活然人生」保險計劃</t>
  </si>
  <si>
    <t xml:space="preserve">SRC-HK-6da6f21312</t>
  </si>
  <si>
    <t xml:space="preserve">Wealth Flexi Savings Insurance Plan</t>
  </si>
  <si>
    <t xml:space="preserve">SRC-HK-550167b5ea</t>
  </si>
  <si>
    <t xml:space="preserve">www.manulife.com.hk</t>
  </si>
  <si>
    <t xml:space="preserve">宏浚傳承保障計劃</t>
  </si>
  <si>
    <t xml:space="preserve">SRC-HK-5eb777bde3</t>
  </si>
  <si>
    <t xml:space="preserve">宏摯家傳承保險計劃</t>
  </si>
  <si>
    <t xml:space="preserve">SRC-HK-83c3ff9cdb</t>
  </si>
  <si>
    <t xml:space="preserve">宏摯傳承保障計劃</t>
  </si>
  <si>
    <t xml:space="preserve">SRC-HK-4842f454f5</t>
  </si>
  <si>
    <r>
      <rPr>
        <sz val="11"/>
        <color rgb="FF20334A"/>
        <rFont val="Noto Sans CJK SC"/>
        <family val="2"/>
        <charset val="1"/>
      </rPr>
      <t xml:space="preserve">赤霞珠終身壽險計劃</t>
    </r>
    <r>
      <rPr>
        <sz val="11"/>
        <color rgb="FF20334A"/>
        <rFont val="Arial"/>
        <family val="0"/>
        <charset val="1"/>
      </rPr>
      <t xml:space="preserve">2</t>
    </r>
  </si>
  <si>
    <t xml:space="preserve">SRC-HK-d8344edb4f</t>
  </si>
  <si>
    <t xml:space="preserve">宏利環球貨幣保障計劃</t>
  </si>
  <si>
    <t xml:space="preserve">SRC-HK-9f5a4b5ba5</t>
  </si>
  <si>
    <t xml:space="preserve">www.prudential.com.hk</t>
  </si>
  <si>
    <t xml:space="preserve">Prudential Enlight Savings Insurance Series</t>
  </si>
  <si>
    <t xml:space="preserve">SRC-HK-0bf75c5362</t>
  </si>
  <si>
    <t xml:space="preserve">Prudential Entrust Multi-Currency Insurance Plan</t>
  </si>
  <si>
    <t xml:space="preserve">SRC-HK-cc05afdfef</t>
  </si>
  <si>
    <t xml:space="preserve">www.sunlife.com.hk</t>
  </si>
  <si>
    <t xml:space="preserve">享悅即享年金保險</t>
  </si>
  <si>
    <t xml:space="preserve">SRC-HK-1e181737cc</t>
  </si>
  <si>
    <r>
      <rPr>
        <sz val="11"/>
        <color rgb="FF20334A"/>
        <rFont val="Noto Sans CJK SC"/>
        <family val="2"/>
        <charset val="1"/>
      </rPr>
      <t xml:space="preserve">永越多元貨幣保險計劃 </t>
    </r>
    <r>
      <rPr>
        <sz val="11"/>
        <color rgb="FF20334A"/>
        <rFont val="Arial"/>
        <family val="0"/>
        <charset val="1"/>
      </rPr>
      <t xml:space="preserve">II</t>
    </r>
  </si>
  <si>
    <t xml:space="preserve">SRC-HK-6d54b75caf</t>
  </si>
  <si>
    <r>
      <rPr>
        <sz val="11"/>
        <color rgb="FF20334A"/>
        <rFont val="Noto Sans CJK SC"/>
        <family val="2"/>
        <charset val="1"/>
      </rPr>
      <t xml:space="preserve">萬年青•星河傳承保險計劃 </t>
    </r>
    <r>
      <rPr>
        <sz val="11"/>
        <color rgb="FF20334A"/>
        <rFont val="Arial"/>
        <family val="0"/>
        <charset val="1"/>
      </rPr>
      <t xml:space="preserve">II</t>
    </r>
  </si>
  <si>
    <t xml:space="preserve">SRC-HK-dc73a6570f</t>
  </si>
  <si>
    <r>
      <rPr>
        <sz val="11"/>
        <color rgb="FF20334A"/>
        <rFont val="Noto Sans CJK SC"/>
        <family val="2"/>
        <charset val="1"/>
      </rPr>
      <t xml:space="preserve">萬年青•星河尊享保險計劃 </t>
    </r>
    <r>
      <rPr>
        <sz val="11"/>
        <color rgb="FF20334A"/>
        <rFont val="Arial"/>
        <family val="0"/>
        <charset val="1"/>
      </rPr>
      <t xml:space="preserve">II</t>
    </r>
  </si>
  <si>
    <t xml:space="preserve">SRC-SG-f6db3e1371</t>
  </si>
  <si>
    <t xml:space="preserve">公开中介页面（身份待核）</t>
  </si>
  <si>
    <t xml:space="preserve">shentonbrokers.com</t>
  </si>
  <si>
    <t xml:space="preserve">Great Travel Insurance</t>
  </si>
  <si>
    <r>
      <rPr>
        <sz val="11"/>
        <color rgb="FF20334A"/>
        <rFont val="Noto Sans CJK SC"/>
        <family val="2"/>
        <charset val="1"/>
      </rPr>
      <t xml:space="preserve">未取得可核匹配主文；官方页面</t>
    </r>
    <r>
      <rPr>
        <sz val="11"/>
        <color rgb="FF20334A"/>
        <rFont val="Arial"/>
        <family val="0"/>
        <charset val="1"/>
      </rPr>
      <t xml:space="preserve">403</t>
    </r>
    <r>
      <rPr>
        <sz val="11"/>
        <color rgb="FF20334A"/>
        <rFont val="Noto Sans CJK SC"/>
        <family val="2"/>
        <charset val="1"/>
      </rPr>
      <t xml:space="preserve">，路线已停止</t>
    </r>
  </si>
  <si>
    <t xml:space="preserve">SRC-SG-5a57c8312b</t>
  </si>
  <si>
    <t xml:space="preserve">有限主文补缺路线</t>
  </si>
  <si>
    <r>
      <rPr>
        <sz val="11"/>
        <color rgb="FF20334A"/>
        <rFont val="Noto Sans CJK SC"/>
        <family val="2"/>
        <charset val="1"/>
      </rPr>
      <t xml:space="preserve">访问失败：</t>
    </r>
    <r>
      <rPr>
        <sz val="11"/>
        <color rgb="FF20334A"/>
        <rFont val="Arial"/>
        <family val="0"/>
        <charset val="1"/>
      </rPr>
      <t xml:space="preserve">HTTP 403 Forbidden</t>
    </r>
  </si>
  <si>
    <t xml:space="preserve">SRC-SG-c3fb773669</t>
  </si>
  <si>
    <t xml:space="preserve">www.greatamericaninsurancegroup.com</t>
  </si>
  <si>
    <t xml:space="preserve">SRC-SG-4d613c3c8a</t>
  </si>
  <si>
    <t xml:space="preserve">Allied World Assurance Company Ltd, Singapore Branch</t>
  </si>
  <si>
    <t xml:space="preserve">alliedworldinsurance.com</t>
  </si>
  <si>
    <t xml:space="preserve">Personal Accident Protector</t>
  </si>
  <si>
    <t xml:space="preserve">所查官网及公开路线未找到可核同产品主文</t>
  </si>
  <si>
    <t xml:space="preserve">SRC-SG-85f318924b</t>
  </si>
  <si>
    <t xml:space="preserve">Home Protector</t>
  </si>
  <si>
    <r>
      <rPr>
        <sz val="11"/>
        <color rgb="FF20334A"/>
        <rFont val="Arial"/>
        <family val="0"/>
        <charset val="1"/>
      </rPr>
      <t xml:space="preserve">Home360</t>
    </r>
    <r>
      <rPr>
        <sz val="11"/>
        <color rgb="FF20334A"/>
        <rFont val="Noto Sans CJK SC"/>
        <family val="2"/>
        <charset val="1"/>
      </rPr>
      <t xml:space="preserve">完整</t>
    </r>
    <r>
      <rPr>
        <sz val="11"/>
        <color rgb="FF20334A"/>
        <rFont val="Arial"/>
        <family val="0"/>
        <charset val="1"/>
      </rPr>
      <t xml:space="preserve">2020</t>
    </r>
    <r>
      <rPr>
        <sz val="11"/>
        <color rgb="FF20334A"/>
        <rFont val="Noto Sans CJK SC"/>
        <family val="2"/>
        <charset val="1"/>
      </rPr>
      <t xml:space="preserve">版已取得；现行版采用待证，</t>
    </r>
    <r>
      <rPr>
        <sz val="11"/>
        <color rgb="FF20334A"/>
        <rFont val="Arial"/>
        <family val="0"/>
        <charset val="1"/>
      </rPr>
      <t xml:space="preserve">Basic</t>
    </r>
    <r>
      <rPr>
        <sz val="11"/>
        <color rgb="FF20334A"/>
        <rFont val="Noto Sans CJK SC"/>
        <family val="2"/>
        <charset val="1"/>
      </rPr>
      <t xml:space="preserve">未取得</t>
    </r>
  </si>
  <si>
    <t xml:space="preserve">SRC-SG-67f6f8fab2</t>
  </si>
  <si>
    <t xml:space="preserve">SRC-SG-b6fe20dfa2</t>
  </si>
  <si>
    <t xml:space="preserve">Travel Protector</t>
  </si>
  <si>
    <r>
      <rPr>
        <sz val="11"/>
        <color rgb="FF20334A"/>
        <rFont val="Noto Sans CJK SC"/>
        <family val="2"/>
        <charset val="1"/>
      </rPr>
      <t xml:space="preserve">主文已取得且有现页关联；</t>
    </r>
    <r>
      <rPr>
        <sz val="11"/>
        <color rgb="FF20334A"/>
        <rFont val="Arial"/>
        <family val="0"/>
        <charset val="1"/>
      </rPr>
      <t xml:space="preserve">COVID</t>
    </r>
    <r>
      <rPr>
        <sz val="11"/>
        <color rgb="FF20334A"/>
        <rFont val="Noto Sans CJK SC"/>
        <family val="2"/>
        <charset val="1"/>
      </rPr>
      <t xml:space="preserve">批单仍缺，资料包未齐</t>
    </r>
  </si>
  <si>
    <t xml:space="preserve">SRC-SG-65d2ccc730</t>
  </si>
  <si>
    <t xml:space="preserve">Friends Provident International Limited</t>
  </si>
  <si>
    <t xml:space="preserve">advisers.fpinternational.sg</t>
  </si>
  <si>
    <t xml:space="preserve">Global Portfolio</t>
  </si>
  <si>
    <t xml:space="preserve">公开文件库仅发现支持资料，未取得匹配主文</t>
  </si>
  <si>
    <t xml:space="preserve">SRC-SG-b73e371867</t>
  </si>
  <si>
    <t xml:space="preserve">Global Wealth Advance</t>
  </si>
  <si>
    <t xml:space="preserve">SRC-SG-f9b1031956</t>
  </si>
  <si>
    <t xml:space="preserve">Global Wealth Manager</t>
  </si>
  <si>
    <t xml:space="preserve">SRC-SG-a48ca92a82</t>
  </si>
  <si>
    <t xml:space="preserve">www.fpinternational.sg</t>
  </si>
  <si>
    <t xml:space="preserve">SRC-SG-7ef6fec27d</t>
  </si>
  <si>
    <t xml:space="preserve">SRC-SG-2a30025b4e</t>
  </si>
  <si>
    <t xml:space="preserve">SRC-SG-fd0a2b802c</t>
  </si>
  <si>
    <t xml:space="preserve">Great American Insurance Company, Singapore Branch</t>
  </si>
  <si>
    <t xml:space="preserve">GREAT Renovation Protect</t>
  </si>
  <si>
    <t xml:space="preserve">SRC-SG-f0899a46f7</t>
  </si>
  <si>
    <t xml:space="preserve">Great Home Insurance</t>
  </si>
  <si>
    <t xml:space="preserve">SRC-SG-3abd6fcbc8</t>
  </si>
  <si>
    <t xml:space="preserve">Great Personal Accident Insurance</t>
  </si>
  <si>
    <t xml:space="preserve">SRC-SG-597c7c37be</t>
  </si>
  <si>
    <t xml:space="preserve">Great Pleasure Craft Insurance</t>
  </si>
  <si>
    <t xml:space="preserve">SRC-SG-0bb000b8d2</t>
  </si>
  <si>
    <t xml:space="preserve">SRC-SG-edd4368a9b</t>
  </si>
  <si>
    <t xml:space="preserve">Motor Private Car Insurance</t>
  </si>
  <si>
    <t xml:space="preserve">SRC-SG-6a2d568c59</t>
  </si>
  <si>
    <t xml:space="preserve">Income Insurance Limited</t>
  </si>
  <si>
    <t xml:space="preserve">www.income.com.sg</t>
  </si>
  <si>
    <t xml:space="preserve">OCBC Protect Classic</t>
  </si>
  <si>
    <t xml:space="preserve">仅关键特性说明，不是主合同</t>
  </si>
  <si>
    <t xml:space="preserve">SRC-SG-104e4df064</t>
  </si>
  <si>
    <t xml:space="preserve">OCBC Protect Prime</t>
  </si>
  <si>
    <t xml:space="preserve">SRC-SG-f3b52cb43e</t>
  </si>
  <si>
    <t xml:space="preserve">Utmost Worldwide Limited, Singapore Branch</t>
  </si>
  <si>
    <t xml:space="preserve">www.utmostgroup.com</t>
  </si>
  <si>
    <t xml:space="preserve">FOCUS</t>
  </si>
  <si>
    <t xml:space="preserve">重复既有原件，无新增；页码完整性待核</t>
  </si>
  <si>
    <t xml:space="preserve">SRC-MY-7faf501921</t>
  </si>
  <si>
    <t xml:space="preserve">www.sunlifemalaysia.com</t>
  </si>
  <si>
    <r>
      <rPr>
        <sz val="11"/>
        <color rgb="FF20334A"/>
        <rFont val="Arial"/>
        <family val="0"/>
        <charset val="1"/>
      </rPr>
      <t xml:space="preserve">Access Shield Contract (CIMB Bank Berhad)</t>
    </r>
    <r>
      <rPr>
        <sz val="11"/>
        <color rgb="FF20334A"/>
        <rFont val="Noto Sans CJK SC"/>
        <family val="2"/>
        <charset val="1"/>
      </rPr>
      <t xml:space="preserve">；</t>
    </r>
    <r>
      <rPr>
        <sz val="11"/>
        <color rgb="FF20334A"/>
        <rFont val="Arial"/>
        <family val="0"/>
        <charset val="1"/>
      </rPr>
      <t xml:space="preserve">Biz Shield Master Policy</t>
    </r>
    <r>
      <rPr>
        <sz val="11"/>
        <color rgb="FF20334A"/>
        <rFont val="Noto Sans CJK SC"/>
        <family val="2"/>
        <charset val="1"/>
      </rPr>
      <t xml:space="preserve">；</t>
    </r>
    <r>
      <rPr>
        <sz val="11"/>
        <color rgb="FF20334A"/>
        <rFont val="Arial"/>
        <family val="0"/>
        <charset val="1"/>
      </rPr>
      <t xml:space="preserve">Biz Shield Plus (Level) Master Policy </t>
    </r>
    <r>
      <rPr>
        <sz val="11"/>
        <color rgb="FF20334A"/>
        <rFont val="Noto Sans CJK SC"/>
        <family val="2"/>
        <charset val="1"/>
      </rPr>
      <t xml:space="preserve">等（同来源库）</t>
    </r>
  </si>
  <si>
    <r>
      <rPr>
        <sz val="11"/>
        <color rgb="FF20334A"/>
        <rFont val="Noto Sans CJK SC"/>
        <family val="2"/>
        <charset val="1"/>
      </rPr>
      <t xml:space="preserve">本轮取得</t>
    </r>
    <r>
      <rPr>
        <sz val="11"/>
        <color rgb="FF20334A"/>
        <rFont val="Arial"/>
        <family val="0"/>
        <charset val="1"/>
      </rPr>
      <t xml:space="preserve">25</t>
    </r>
    <r>
      <rPr>
        <sz val="11"/>
        <color rgb="FF20334A"/>
        <rFont val="Noto Sans CJK SC"/>
        <family val="2"/>
        <charset val="1"/>
      </rPr>
      <t xml:space="preserve">份正式新增文件，其中</t>
    </r>
    <r>
      <rPr>
        <sz val="11"/>
        <color rgb="FF20334A"/>
        <rFont val="Arial"/>
        <family val="0"/>
        <charset val="1"/>
      </rPr>
      <t xml:space="preserve">0</t>
    </r>
    <r>
      <rPr>
        <sz val="11"/>
        <color rgb="FF20334A"/>
        <rFont val="Noto Sans CJK SC"/>
        <family val="2"/>
        <charset val="1"/>
      </rPr>
      <t xml:space="preserve">份已全文、</t>
    </r>
    <r>
      <rPr>
        <sz val="11"/>
        <color rgb="FF20334A"/>
        <rFont val="Arial"/>
        <family val="0"/>
        <charset val="1"/>
      </rPr>
      <t xml:space="preserve">25</t>
    </r>
    <r>
      <rPr>
        <sz val="11"/>
        <color rgb="FF20334A"/>
        <rFont val="Noto Sans CJK SC"/>
        <family val="2"/>
        <charset val="1"/>
      </rPr>
      <t xml:space="preserve">份待全文；文件取得不等于现行主文或资料包齐备</t>
    </r>
  </si>
  <si>
    <t xml:space="preserve">SRC-MY-47c18661b3</t>
  </si>
  <si>
    <r>
      <rPr>
        <sz val="11"/>
        <color rgb="FF20334A"/>
        <rFont val="Arial"/>
        <family val="0"/>
        <charset val="1"/>
      </rPr>
      <t xml:space="preserve">Credit Protector Plus-i Master Contract</t>
    </r>
    <r>
      <rPr>
        <sz val="11"/>
        <color rgb="FF20334A"/>
        <rFont val="Noto Sans CJK SC"/>
        <family val="2"/>
        <charset val="1"/>
      </rPr>
      <t xml:space="preserve">；</t>
    </r>
    <r>
      <rPr>
        <sz val="11"/>
        <color rgb="FF20334A"/>
        <rFont val="Arial"/>
        <family val="0"/>
        <charset val="1"/>
      </rPr>
      <t xml:space="preserve">Group Term Takaful with CI Benefit Master Contract - Private Wealth Privilege Campaign</t>
    </r>
    <r>
      <rPr>
        <sz val="11"/>
        <color rgb="FF20334A"/>
        <rFont val="Noto Sans CJK SC"/>
        <family val="2"/>
        <charset val="1"/>
      </rPr>
      <t xml:space="preserve">；</t>
    </r>
    <r>
      <rPr>
        <sz val="11"/>
        <color rgb="FF20334A"/>
        <rFont val="Arial"/>
        <family val="0"/>
        <charset val="1"/>
      </rPr>
      <t xml:space="preserve">Group Term Takaful with CI Benefit Master Contract - Guaranteed CI Cover Campaign </t>
    </r>
    <r>
      <rPr>
        <sz val="11"/>
        <color rgb="FF20334A"/>
        <rFont val="Noto Sans CJK SC"/>
        <family val="2"/>
        <charset val="1"/>
      </rPr>
      <t xml:space="preserve">等（同来源库）</t>
    </r>
  </si>
  <si>
    <r>
      <rPr>
        <sz val="11"/>
        <color rgb="FF20334A"/>
        <rFont val="Noto Sans CJK SC"/>
        <family val="2"/>
        <charset val="1"/>
      </rPr>
      <t xml:space="preserve">本轮取得</t>
    </r>
    <r>
      <rPr>
        <sz val="11"/>
        <color rgb="FF20334A"/>
        <rFont val="Arial"/>
        <family val="0"/>
        <charset val="1"/>
      </rPr>
      <t xml:space="preserve">99</t>
    </r>
    <r>
      <rPr>
        <sz val="11"/>
        <color rgb="FF20334A"/>
        <rFont val="Noto Sans CJK SC"/>
        <family val="2"/>
        <charset val="1"/>
      </rPr>
      <t xml:space="preserve">份正式新增文件，其中</t>
    </r>
    <r>
      <rPr>
        <sz val="11"/>
        <color rgb="FF20334A"/>
        <rFont val="Arial"/>
        <family val="0"/>
        <charset val="1"/>
      </rPr>
      <t xml:space="preserve">0</t>
    </r>
    <r>
      <rPr>
        <sz val="11"/>
        <color rgb="FF20334A"/>
        <rFont val="Noto Sans CJK SC"/>
        <family val="2"/>
        <charset val="1"/>
      </rPr>
      <t xml:space="preserve">份已全文、</t>
    </r>
    <r>
      <rPr>
        <sz val="11"/>
        <color rgb="FF20334A"/>
        <rFont val="Arial"/>
        <family val="0"/>
        <charset val="1"/>
      </rPr>
      <t xml:space="preserve">99</t>
    </r>
    <r>
      <rPr>
        <sz val="11"/>
        <color rgb="FF20334A"/>
        <rFont val="Noto Sans CJK SC"/>
        <family val="2"/>
        <charset val="1"/>
      </rPr>
      <t xml:space="preserve">份待全文；文件取得不等于现行主文或资料包齐备</t>
    </r>
  </si>
  <si>
    <t xml:space="preserve">SRC-VN-1428350c8d</t>
  </si>
  <si>
    <t xml:space="preserve">plgic-production.s3.ap-southeast-1.amazonaws.com</t>
  </si>
  <si>
    <t xml:space="preserve">官方产品目录</t>
  </si>
  <si>
    <r>
      <rPr>
        <sz val="11"/>
        <color rgb="FF20334A"/>
        <rFont val="Noto Sans CJK SC"/>
        <family val="2"/>
        <charset val="1"/>
      </rPr>
      <t xml:space="preserve">访问失败：</t>
    </r>
    <r>
      <rPr>
        <sz val="11"/>
        <color rgb="FF20334A"/>
        <rFont val="Arial"/>
        <family val="0"/>
        <charset val="1"/>
      </rPr>
      <t xml:space="preserve">403 Forbidden</t>
    </r>
  </si>
  <si>
    <t xml:space="preserve">SRC-VN-404ccf157c</t>
  </si>
  <si>
    <t xml:space="preserve">AAA Insurance</t>
  </si>
  <si>
    <t xml:space="preserve">www.aaa.com.vn</t>
  </si>
  <si>
    <t xml:space="preserve">Apartment Benefits Summary</t>
  </si>
  <si>
    <r>
      <rPr>
        <sz val="11"/>
        <color rgb="FF20334A"/>
        <rFont val="Noto Sans CJK SC"/>
        <family val="2"/>
        <charset val="1"/>
      </rPr>
      <t xml:space="preserve">官方页关联既有材料；仅关系修复，身份</t>
    </r>
    <r>
      <rPr>
        <sz val="11"/>
        <color rgb="FF20334A"/>
        <rFont val="Arial"/>
        <family val="0"/>
        <charset val="1"/>
      </rPr>
      <t xml:space="preserve">/</t>
    </r>
    <r>
      <rPr>
        <sz val="11"/>
        <color rgb="FF20334A"/>
        <rFont val="Noto Sans CJK SC"/>
        <family val="2"/>
        <charset val="1"/>
      </rPr>
      <t xml:space="preserve">变体及在售未证</t>
    </r>
  </si>
  <si>
    <r>
      <rPr>
        <sz val="11"/>
        <color rgb="FF20334A"/>
        <rFont val="Noto Sans CJK SC"/>
        <family val="2"/>
        <charset val="1"/>
      </rPr>
      <t xml:space="preserve">历史本轮采集时间。仅沿冻结的产品</t>
    </r>
    <r>
      <rPr>
        <sz val="11"/>
        <color rgb="FF20334A"/>
        <rFont val="Arial"/>
        <family val="0"/>
        <charset val="1"/>
      </rPr>
      <t xml:space="preserve">/</t>
    </r>
    <r>
      <rPr>
        <sz val="11"/>
        <color rgb="FF20334A"/>
        <rFont val="Noto Sans CJK SC"/>
        <family val="2"/>
        <charset val="1"/>
      </rPr>
      <t xml:space="preserve">版本处理明确缺件；不重跑已结案路线。</t>
    </r>
  </si>
  <si>
    <t xml:space="preserve">SRC-VN-2f96beb45a</t>
  </si>
  <si>
    <t xml:space="preserve">Healthcare Benefits Summary</t>
  </si>
  <si>
    <t xml:space="preserve">SRC-VN-bd14f78fce</t>
  </si>
  <si>
    <t xml:space="preserve">Bao Long Insurance Corporation</t>
  </si>
  <si>
    <t xml:space="preserve">baolonginsurance.com.vn</t>
  </si>
  <si>
    <t xml:space="preserve">International travel benefit schedule</t>
  </si>
  <si>
    <t xml:space="preserve">SRC-VN-93f49efe38</t>
  </si>
  <si>
    <t xml:space="preserve">Công ty TNHH Bảo hiểm nhân thọ Prudential Việt Nam</t>
  </si>
  <si>
    <t xml:space="preserve">www.prudential.com.vn</t>
  </si>
  <si>
    <t xml:space="preserve">Biểu phí bảo hiểm cơ sở – Bảo hiểm hỗn hợp với quyền lợi học vấn tăng dần</t>
  </si>
  <si>
    <t xml:space="preserve">SRC-VN-203ddabe97</t>
  </si>
  <si>
    <t xml:space="preserve">Biểu phí bảo hiểm cơ sở – Bảo hiểm nhân thọ tử kỳ với số tiền bảo hiểm giảm dần dành cho người đi vay</t>
  </si>
  <si>
    <t xml:space="preserve">SRC-VN-425cb5ea4f</t>
  </si>
  <si>
    <t xml:space="preserve">Bảng tỷ lệ phí bảo hiểm cơ bản và các bảng tỷ lệ phí rủi ro – PRU-ĐẦU TƯ VỮNG TIẾN</t>
  </si>
  <si>
    <t xml:space="preserve">SRC-VN-d5178fff94</t>
  </si>
  <si>
    <t xml:space="preserve">Bảng tỷ lệ phí bảo hiểm cơ bản và các bảng tỷ lệ phí rủi ro – PRUBảo Vệ Tối Đa 2.0</t>
  </si>
  <si>
    <t xml:space="preserve">SRC-VN-87150ac483</t>
  </si>
  <si>
    <t xml:space="preserve">Bảng tỷ lệ phí bảo hiểm hàng năm – PHÚ-TOÀN GIA HƯNG THỊNH</t>
  </si>
  <si>
    <t xml:space="preserve">SRC-VN-006032e472</t>
  </si>
  <si>
    <t xml:space="preserve">Bảng tỷ lệ phí bảo hiểm hàng năm – PHÚ-TÂM AN</t>
  </si>
  <si>
    <t xml:space="preserve">SRC-VN-cb42aa884c</t>
  </si>
  <si>
    <t xml:space="preserve">Bảng tỷ lệ phí bảo hiểm – Bảo hiểm nhân thọ hỗn hợp, sản phẩm có quyền lợi học vấn đảm bảo (PHÚ-AN GIA THÀNH TÀI)</t>
  </si>
  <si>
    <t xml:space="preserve">SRC-VN-131cdff2d1</t>
  </si>
  <si>
    <t xml:space="preserve">Bảng tỷ lệ phí bảo hiểm – Bảo hiểm tai nạn cá nhân tăng cường (PRU-NĂNG ĐỘNG official catalog link)</t>
  </si>
  <si>
    <t xml:space="preserve">SRC-VN-3f17da0d14</t>
  </si>
  <si>
    <t xml:space="preserve">Bảng tỷ lệ phí bảo hiểm – Sản phẩm bảo hiểm nhân thọ trọn đời (PHÚ-TRƯỜNG AN)</t>
  </si>
  <si>
    <t xml:space="preserve">SRC-VN-da09becf06</t>
  </si>
  <si>
    <t xml:space="preserve">Bảng tỷ lệ phí bảo hiểm – Sản phẩm bảo hiểm tử kỳ PRUYên Tâm Vui Khỏe</t>
  </si>
  <si>
    <t xml:space="preserve">SRC-VN-493c0b7158</t>
  </si>
  <si>
    <t xml:space="preserve">Bảng tỷ lệ phí bảo hiểm – Sản phẩm có quyền lợi tiền mặt trả định kỳ mỗi hai năm (PHÚ-AN GIA TÍCH LŨY ĐỊNH KỲ)</t>
  </si>
  <si>
    <t xml:space="preserve">SRC-VN-def7af999e</t>
  </si>
  <si>
    <t xml:space="preserve">Danh sách gói quyền lợi bảo hiểm của sản phẩm PRU-NĂNG ĐỘNG</t>
  </si>
  <si>
    <t xml:space="preserve">SRC-VN-655db3e880</t>
  </si>
  <si>
    <t xml:space="preserve">Danh sách nghề nghiệp không được tham gia sản phẩm PRU-BẢO VỆ 24/7 / PRU-Guard 24/7</t>
  </si>
  <si>
    <t xml:space="preserve">SRC-VN-a21c7bd44e</t>
  </si>
  <si>
    <t xml:space="preserve">PRU-NHIỆT ĐỚI – Tài liệu giới thiệu sản phẩm và biểu phí</t>
  </si>
  <si>
    <t xml:space="preserve">SRC-VN-d2d65e3eda</t>
  </si>
  <si>
    <t xml:space="preserve">PRU-VUI SỐNG – Tài liệu giới thiệu sản phẩm và biểu phí</t>
  </si>
  <si>
    <t xml:space="preserve">SRC-VN-8be57c8c72</t>
  </si>
  <si>
    <t xml:space="preserve">www.manulife.com.vn</t>
  </si>
  <si>
    <t xml:space="preserve">Lưu ý khi tham gia sản phẩm Kiến Tạo Thịnh Vượng</t>
  </si>
  <si>
    <t xml:space="preserve">SRC-VN-4625637f1e</t>
  </si>
  <si>
    <t xml:space="preserve">Lưu ý khi tham gia sản phẩm Tâm An 360</t>
  </si>
  <si>
    <t xml:space="preserve">SRC-VN-0e2027dbc1</t>
  </si>
  <si>
    <t xml:space="preserve">Lưu ý khi tham gia sản phẩm bổ trợ Sống Khỏe Mỗi Ngày</t>
  </si>
  <si>
    <t xml:space="preserve">SRC-VN-3512149658</t>
  </si>
  <si>
    <t xml:space="preserve">Post - Telecommunication Joint Stock Insurance Corporation (PTI)</t>
  </si>
  <si>
    <t xml:space="preserve">www.pti.com.vn</t>
  </si>
  <si>
    <t xml:space="preserve">bao-hiem-elite-care</t>
  </si>
  <si>
    <t xml:space="preserve">SRC-VN-88137741f4</t>
  </si>
  <si>
    <t xml:space="preserve">bao-hiem-phuc-an-sinh</t>
  </si>
  <si>
    <t xml:space="preserve">SRC-ID-74cb1ae306</t>
  </si>
  <si>
    <t xml:space="preserve">www.mag.co.id</t>
  </si>
  <si>
    <r>
      <rPr>
        <sz val="11"/>
        <color rgb="FF20334A"/>
        <rFont val="Arial"/>
        <family val="0"/>
        <charset val="1"/>
      </rPr>
      <t xml:space="preserve">Polis Standar Asuransi Pengangkutan Barang Indonesia (PSAPBI)</t>
    </r>
    <r>
      <rPr>
        <sz val="11"/>
        <color rgb="FF20334A"/>
        <rFont val="Noto Sans CJK SC"/>
        <family val="2"/>
        <charset val="1"/>
      </rPr>
      <t xml:space="preserve">；</t>
    </r>
    <r>
      <rPr>
        <sz val="11"/>
        <color rgb="FF20334A"/>
        <rFont val="Arial"/>
        <family val="0"/>
        <charset val="1"/>
      </rPr>
      <t xml:space="preserve">Polis Standar Asuransi Terorisme dan Sabotase Indonesia (PSATSI)</t>
    </r>
  </si>
  <si>
    <r>
      <rPr>
        <sz val="11"/>
        <color rgb="FF20334A"/>
        <rFont val="Noto Sans CJK SC"/>
        <family val="2"/>
        <charset val="1"/>
      </rPr>
      <t xml:space="preserve">本轮取得</t>
    </r>
    <r>
      <rPr>
        <sz val="11"/>
        <color rgb="FF20334A"/>
        <rFont val="Arial"/>
        <family val="0"/>
        <charset val="1"/>
      </rPr>
      <t xml:space="preserve">2</t>
    </r>
    <r>
      <rPr>
        <sz val="11"/>
        <color rgb="FF20334A"/>
        <rFont val="Noto Sans CJK SC"/>
        <family val="2"/>
        <charset val="1"/>
      </rPr>
      <t xml:space="preserve">份正式新增文件，其中</t>
    </r>
    <r>
      <rPr>
        <sz val="11"/>
        <color rgb="FF20334A"/>
        <rFont val="Arial"/>
        <family val="0"/>
        <charset val="1"/>
      </rPr>
      <t xml:space="preserve">1</t>
    </r>
    <r>
      <rPr>
        <sz val="11"/>
        <color rgb="FF20334A"/>
        <rFont val="Noto Sans CJK SC"/>
        <family val="2"/>
        <charset val="1"/>
      </rPr>
      <t xml:space="preserve">份已全文、</t>
    </r>
    <r>
      <rPr>
        <sz val="11"/>
        <color rgb="FF20334A"/>
        <rFont val="Arial"/>
        <family val="0"/>
        <charset val="1"/>
      </rPr>
      <t xml:space="preserve">1</t>
    </r>
    <r>
      <rPr>
        <sz val="11"/>
        <color rgb="FF20334A"/>
        <rFont val="Noto Sans CJK SC"/>
        <family val="2"/>
        <charset val="1"/>
      </rPr>
      <t xml:space="preserve">份待全文；文件取得不等于现行主文或资料包齐备</t>
    </r>
  </si>
  <si>
    <t xml:space="preserve">SRC-TH-7a4f799093</t>
  </si>
  <si>
    <t xml:space="preserve">Prudential Life Assurance (Thailand) Public Company Limited</t>
  </si>
  <si>
    <t xml:space="preserve">insurance.add-digital.co.th</t>
  </si>
  <si>
    <t xml:space="preserve">PRUEasy Saver 10/4 contract-details (broker candidate)</t>
  </si>
  <si>
    <r>
      <rPr>
        <sz val="11"/>
        <color rgb="FF20334A"/>
        <rFont val="Noto Sans CJK SC"/>
        <family val="2"/>
        <charset val="1"/>
      </rPr>
      <t xml:space="preserve">公开中介关联</t>
    </r>
    <r>
      <rPr>
        <sz val="11"/>
        <color rgb="FF20334A"/>
        <rFont val="Arial"/>
        <family val="0"/>
        <charset val="1"/>
      </rPr>
      <t xml:space="preserve">PDF</t>
    </r>
    <r>
      <rPr>
        <sz val="11"/>
        <color rgb="FF20334A"/>
        <rFont val="Noto Sans CJK SC"/>
        <family val="2"/>
        <charset val="1"/>
      </rPr>
      <t xml:space="preserve">返回</t>
    </r>
    <r>
      <rPr>
        <sz val="11"/>
        <color rgb="FF20334A"/>
        <rFont val="Arial"/>
        <family val="0"/>
        <charset val="1"/>
      </rPr>
      <t xml:space="preserve">403</t>
    </r>
    <r>
      <rPr>
        <sz val="11"/>
        <color rgb="FF20334A"/>
        <rFont val="Noto Sans CJK SC"/>
        <family val="2"/>
        <charset val="1"/>
      </rPr>
      <t xml:space="preserve">；未取得文件，停止该入口</t>
    </r>
  </si>
  <si>
    <t xml:space="preserve">SRC-TH-6e47b38dfc</t>
  </si>
  <si>
    <t xml:space="preserve">Roojai Insurance Public Company Limited</t>
  </si>
  <si>
    <t xml:space="preserve">www.roojai.com</t>
  </si>
  <si>
    <r>
      <rPr>
        <sz val="11"/>
        <color rgb="FF20334A"/>
        <rFont val="Noto Sans CJK SC"/>
        <family val="2"/>
        <charset val="1"/>
      </rPr>
      <t xml:space="preserve">集中条款</t>
    </r>
    <r>
      <rPr>
        <sz val="11"/>
        <color rgb="FF20334A"/>
        <rFont val="Arial"/>
        <family val="0"/>
        <charset val="1"/>
      </rPr>
      <t xml:space="preserve">/</t>
    </r>
    <r>
      <rPr>
        <sz val="11"/>
        <color rgb="FF20334A"/>
        <rFont val="Noto Sans CJK SC"/>
        <family val="2"/>
        <charset val="1"/>
      </rPr>
      <t xml:space="preserve">下载库</t>
    </r>
  </si>
  <si>
    <r>
      <rPr>
        <sz val="11"/>
        <color rgb="FF20334A"/>
        <rFont val="Noto Sans CJK SC"/>
        <family val="2"/>
        <charset val="1"/>
      </rPr>
      <t xml:space="preserve">既有正式库包含</t>
    </r>
    <r>
      <rPr>
        <sz val="11"/>
        <color rgb="FF20334A"/>
        <rFont val="Arial"/>
        <family val="0"/>
        <charset val="1"/>
      </rPr>
      <t xml:space="preserve">24</t>
    </r>
    <r>
      <rPr>
        <sz val="11"/>
        <color rgb="FF20334A"/>
        <rFont val="Noto Sans CJK SC"/>
        <family val="2"/>
        <charset val="1"/>
      </rPr>
      <t xml:space="preserve">份该来源文件；最近补缺路径为重复已有条款，不计新增；未在本次重新访问</t>
    </r>
  </si>
  <si>
    <r>
      <rPr>
        <sz val="11"/>
        <color rgb="FF20334A"/>
        <rFont val="Noto Sans CJK SC"/>
        <family val="2"/>
        <charset val="1"/>
      </rPr>
      <t xml:space="preserve">本轮重复取得记录日期；不是全部文件重新全文核验。仅沿冻结的产品</t>
    </r>
    <r>
      <rPr>
        <sz val="11"/>
        <color rgb="FF20334A"/>
        <rFont val="Arial"/>
        <family val="0"/>
        <charset val="1"/>
      </rPr>
      <t xml:space="preserve">/</t>
    </r>
    <r>
      <rPr>
        <sz val="11"/>
        <color rgb="FF20334A"/>
        <rFont val="Noto Sans CJK SC"/>
        <family val="2"/>
        <charset val="1"/>
      </rPr>
      <t xml:space="preserve">版本处理明确缺件；不重跑已结案路线。</t>
    </r>
  </si>
  <si>
    <t xml:space="preserve">SRC-TH-c0c84131cb</t>
  </si>
  <si>
    <r>
      <rPr>
        <sz val="11"/>
        <color rgb="FF20334A"/>
        <rFont val="Noto Sans CJK SC"/>
        <family val="2"/>
        <charset val="1"/>
      </rPr>
      <t xml:space="preserve">既有正式库包含</t>
    </r>
    <r>
      <rPr>
        <sz val="11"/>
        <color rgb="FF20334A"/>
        <rFont val="Arial"/>
        <family val="0"/>
        <charset val="1"/>
      </rPr>
      <t xml:space="preserve">26</t>
    </r>
    <r>
      <rPr>
        <sz val="11"/>
        <color rgb="FF20334A"/>
        <rFont val="Noto Sans CJK SC"/>
        <family val="2"/>
        <charset val="1"/>
      </rPr>
      <t xml:space="preserve">份该来源文件；最近补缺路径为重复已有条款，不计新增；未在本次重新访问</t>
    </r>
  </si>
  <si>
    <t xml:space="preserve">SRC-PH-65688b5185</t>
  </si>
  <si>
    <t xml:space="preserve">www.axa.com.ph</t>
  </si>
  <si>
    <t xml:space="preserve">SRC-PH-06a86ff3e7</t>
  </si>
  <si>
    <t xml:space="preserve">FWD Life Insurance Corporation</t>
  </si>
  <si>
    <t xml:space="preserve">www.fwd.com.ph</t>
  </si>
  <si>
    <t xml:space="preserve">KanMend</t>
  </si>
  <si>
    <r>
      <rPr>
        <sz val="11"/>
        <color rgb="FF20334A"/>
        <rFont val="Noto Sans CJK SC"/>
        <family val="2"/>
        <charset val="1"/>
      </rPr>
      <t xml:space="preserve">本轮取得</t>
    </r>
    <r>
      <rPr>
        <sz val="11"/>
        <color rgb="FF20334A"/>
        <rFont val="Arial"/>
        <family val="0"/>
        <charset val="1"/>
      </rPr>
      <t xml:space="preserve">1</t>
    </r>
    <r>
      <rPr>
        <sz val="11"/>
        <color rgb="FF20334A"/>
        <rFont val="Noto Sans CJK SC"/>
        <family val="2"/>
        <charset val="1"/>
      </rPr>
      <t xml:space="preserve">份正式新增文件，其中</t>
    </r>
    <r>
      <rPr>
        <sz val="11"/>
        <color rgb="FF20334A"/>
        <rFont val="Arial"/>
        <family val="0"/>
        <charset val="1"/>
      </rPr>
      <t xml:space="preserve">1</t>
    </r>
    <r>
      <rPr>
        <sz val="11"/>
        <color rgb="FF20334A"/>
        <rFont val="Noto Sans CJK SC"/>
        <family val="2"/>
        <charset val="1"/>
      </rPr>
      <t xml:space="preserve">份已全文、</t>
    </r>
    <r>
      <rPr>
        <sz val="11"/>
        <color rgb="FF20334A"/>
        <rFont val="Arial"/>
        <family val="0"/>
        <charset val="1"/>
      </rPr>
      <t xml:space="preserve">0</t>
    </r>
    <r>
      <rPr>
        <sz val="11"/>
        <color rgb="FF20334A"/>
        <rFont val="Noto Sans CJK SC"/>
        <family val="2"/>
        <charset val="1"/>
      </rPr>
      <t xml:space="preserve">份待全文；文件取得不等于现行主文或资料包齐备</t>
    </r>
  </si>
  <si>
    <t xml:space="preserve">SRC-PH-921f3cb750</t>
  </si>
  <si>
    <t xml:space="preserve">KanGuard</t>
  </si>
  <si>
    <t xml:space="preserve">SRC-KH-71aecfcd42</t>
  </si>
  <si>
    <t xml:space="preserve">cbinsurance.com.kh</t>
  </si>
  <si>
    <t xml:space="preserve">KH-cb-home</t>
  </si>
  <si>
    <r>
      <rPr>
        <sz val="11"/>
        <color rgb="FF20334A"/>
        <rFont val="Noto Sans CJK SC"/>
        <family val="2"/>
        <charset val="1"/>
      </rPr>
      <t xml:space="preserve">历史访问失败</t>
    </r>
    <r>
      <rPr>
        <sz val="11"/>
        <color rgb="FF20334A"/>
        <rFont val="Arial"/>
        <family val="0"/>
        <charset val="1"/>
      </rPr>
      <t xml:space="preserve">/</t>
    </r>
    <r>
      <rPr>
        <sz val="11"/>
        <color rgb="FF20334A"/>
        <rFont val="Noto Sans CJK SC"/>
        <family val="2"/>
        <charset val="1"/>
      </rPr>
      <t xml:space="preserve">受限：</t>
    </r>
    <r>
      <rPr>
        <sz val="11"/>
        <color rgb="FF20334A"/>
        <rFont val="Arial"/>
        <family val="0"/>
        <charset val="1"/>
      </rPr>
      <t xml:space="preserve">HTTP Error 503: Service Unavailable</t>
    </r>
  </si>
  <si>
    <t xml:space="preserve">SRC-KH-86ac7782b5</t>
  </si>
  <si>
    <t xml:space="preserve">dai-ichilife.com.kh</t>
  </si>
  <si>
    <t xml:space="preserve">KH-dai-easy</t>
  </si>
  <si>
    <r>
      <rPr>
        <sz val="11"/>
        <color rgb="FF20334A"/>
        <rFont val="Noto Sans CJK SC"/>
        <family val="2"/>
        <charset val="1"/>
      </rPr>
      <t xml:space="preserve">历史访问失败</t>
    </r>
    <r>
      <rPr>
        <sz val="11"/>
        <color rgb="FF20334A"/>
        <rFont val="Arial"/>
        <family val="0"/>
        <charset val="1"/>
      </rPr>
      <t xml:space="preserve">/</t>
    </r>
    <r>
      <rPr>
        <sz val="11"/>
        <color rgb="FF20334A"/>
        <rFont val="Noto Sans CJK SC"/>
        <family val="2"/>
        <charset val="1"/>
      </rPr>
      <t xml:space="preserve">受限：</t>
    </r>
    <r>
      <rPr>
        <sz val="11"/>
        <color rgb="FF20334A"/>
        <rFont val="Arial"/>
        <family val="0"/>
        <charset val="1"/>
      </rPr>
      <t xml:space="preserve">HTTP Error 307: Temporary Redirect</t>
    </r>
  </si>
  <si>
    <t xml:space="preserve">SRC-KH-e9b87424a8</t>
  </si>
  <si>
    <t xml:space="preserve">philliplife.com.kh</t>
  </si>
  <si>
    <t xml:space="preserve">KH-phillip-business</t>
  </si>
  <si>
    <r>
      <rPr>
        <sz val="11"/>
        <color rgb="FF20334A"/>
        <rFont val="Noto Sans CJK SC"/>
        <family val="2"/>
        <charset val="1"/>
      </rPr>
      <t xml:space="preserve">历史访问失败</t>
    </r>
    <r>
      <rPr>
        <sz val="11"/>
        <color rgb="FF20334A"/>
        <rFont val="Arial"/>
        <family val="0"/>
        <charset val="1"/>
      </rPr>
      <t xml:space="preserve">/</t>
    </r>
    <r>
      <rPr>
        <sz val="11"/>
        <color rgb="FF20334A"/>
        <rFont val="Noto Sans CJK SC"/>
        <family val="2"/>
        <charset val="1"/>
      </rPr>
      <t xml:space="preserve">受限：</t>
    </r>
    <r>
      <rPr>
        <sz val="11"/>
        <color rgb="FF20334A"/>
        <rFont val="Arial"/>
        <family val="0"/>
        <charset val="1"/>
      </rPr>
      <t xml:space="preserve">HTTP Error 404: Not Found</t>
    </r>
  </si>
  <si>
    <t xml:space="preserve">SRC-KH-6a9f78f5ef</t>
  </si>
  <si>
    <t xml:space="preserve">www.agcambodia.com</t>
  </si>
  <si>
    <t xml:space="preserve">KH-ag-cambodia</t>
  </si>
  <si>
    <r>
      <rPr>
        <sz val="11"/>
        <color rgb="FF20334A"/>
        <rFont val="Noto Sans CJK SC"/>
        <family val="2"/>
        <charset val="1"/>
      </rPr>
      <t xml:space="preserve">历史访问失败</t>
    </r>
    <r>
      <rPr>
        <sz val="11"/>
        <color rgb="FF20334A"/>
        <rFont val="Arial"/>
        <family val="0"/>
        <charset val="1"/>
      </rPr>
      <t xml:space="preserve">/</t>
    </r>
    <r>
      <rPr>
        <sz val="11"/>
        <color rgb="FF20334A"/>
        <rFont val="Noto Sans CJK SC"/>
        <family val="2"/>
        <charset val="1"/>
      </rPr>
      <t xml:space="preserve">受限：</t>
    </r>
    <r>
      <rPr>
        <sz val="11"/>
        <color rgb="FF20334A"/>
        <rFont val="Arial"/>
        <family val="0"/>
        <charset val="1"/>
      </rPr>
      <t xml:space="preserve">HTTP Error 403: Forbidden</t>
    </r>
  </si>
  <si>
    <t xml:space="preserve">SRC-KH-5e70ffdc23</t>
  </si>
  <si>
    <t xml:space="preserve">www.bkicambodia.com</t>
  </si>
  <si>
    <t xml:space="preserve">KH-bangkok-products</t>
  </si>
  <si>
    <t xml:space="preserve">SRC-KH-9c514d2354</t>
  </si>
  <si>
    <t xml:space="preserve">www.lolc.com.kh</t>
  </si>
  <si>
    <t xml:space="preserve">KH-lolc-serendib</t>
  </si>
  <si>
    <t xml:space="preserve">SRC-KH-a7a08247d6</t>
  </si>
  <si>
    <t xml:space="preserve">www.mekongmicroinsurance.com.kh</t>
  </si>
  <si>
    <t xml:space="preserve">KH-mekong-home</t>
  </si>
  <si>
    <r>
      <rPr>
        <sz val="11"/>
        <color rgb="FF20334A"/>
        <rFont val="Noto Sans CJK SC"/>
        <family val="2"/>
        <charset val="1"/>
      </rPr>
      <t xml:space="preserve">历史访问失败</t>
    </r>
    <r>
      <rPr>
        <sz val="11"/>
        <color rgb="FF20334A"/>
        <rFont val="Arial"/>
        <family val="0"/>
        <charset val="1"/>
      </rPr>
      <t xml:space="preserve">/</t>
    </r>
    <r>
      <rPr>
        <sz val="11"/>
        <color rgb="FF20334A"/>
        <rFont val="Noto Sans CJK SC"/>
        <family val="2"/>
        <charset val="1"/>
      </rPr>
      <t xml:space="preserve">受限：</t>
    </r>
    <r>
      <rPr>
        <sz val="11"/>
        <color rgb="FF20334A"/>
        <rFont val="Arial"/>
        <family val="0"/>
        <charset val="1"/>
      </rPr>
      <t xml:space="preserve">HTTP Error 406: Not Acceptable</t>
    </r>
  </si>
  <si>
    <t xml:space="preserve">SRC-KH-df1c2c5317</t>
  </si>
  <si>
    <t xml:space="preserve">www.prudential.com.kh</t>
  </si>
  <si>
    <t xml:space="preserve">KH-pru-save</t>
  </si>
  <si>
    <t xml:space="preserve">SRC-KH-dda15255ea</t>
  </si>
  <si>
    <t xml:space="preserve">AIA (CAMBODIA) LIFE INSURANCE PLC</t>
  </si>
  <si>
    <t xml:space="preserve">www.aia.com.kh</t>
  </si>
  <si>
    <t xml:space="preserve">AIA Samrab Sokhapheap package / AIA Chambong</t>
  </si>
  <si>
    <r>
      <rPr>
        <sz val="11"/>
        <color rgb="FF20334A"/>
        <rFont val="Noto Sans CJK SC"/>
        <family val="2"/>
        <charset val="1"/>
      </rPr>
      <t xml:space="preserve">本轮取得</t>
    </r>
    <r>
      <rPr>
        <sz val="11"/>
        <color rgb="FF20334A"/>
        <rFont val="Arial"/>
        <family val="0"/>
        <charset val="1"/>
      </rPr>
      <t xml:space="preserve">1</t>
    </r>
    <r>
      <rPr>
        <sz val="11"/>
        <color rgb="FF20334A"/>
        <rFont val="Noto Sans CJK SC"/>
        <family val="2"/>
        <charset val="1"/>
      </rPr>
      <t xml:space="preserve">份正式新增文件，其中</t>
    </r>
    <r>
      <rPr>
        <sz val="11"/>
        <color rgb="FF20334A"/>
        <rFont val="Arial"/>
        <family val="0"/>
        <charset val="1"/>
      </rPr>
      <t xml:space="preserve">0</t>
    </r>
    <r>
      <rPr>
        <sz val="11"/>
        <color rgb="FF20334A"/>
        <rFont val="Noto Sans CJK SC"/>
        <family val="2"/>
        <charset val="1"/>
      </rPr>
      <t xml:space="preserve">份已全文、</t>
    </r>
    <r>
      <rPr>
        <sz val="11"/>
        <color rgb="FF20334A"/>
        <rFont val="Arial"/>
        <family val="0"/>
        <charset val="1"/>
      </rPr>
      <t xml:space="preserve">1</t>
    </r>
    <r>
      <rPr>
        <sz val="11"/>
        <color rgb="FF20334A"/>
        <rFont val="Noto Sans CJK SC"/>
        <family val="2"/>
        <charset val="1"/>
      </rPr>
      <t xml:space="preserve">份待全文；文件取得不等于现行主文或资料包齐备</t>
    </r>
  </si>
  <si>
    <t xml:space="preserve">SRC-KH-3ee34c2d30</t>
  </si>
  <si>
    <t xml:space="preserve">SRC-KH-434351a604</t>
  </si>
  <si>
    <t xml:space="preserve">www.tuneprotect.com</t>
  </si>
  <si>
    <r>
      <rPr>
        <sz val="11"/>
        <color rgb="FF20334A"/>
        <rFont val="Arial"/>
        <family val="0"/>
        <charset val="1"/>
      </rPr>
      <t xml:space="preserve">Tune Protect Travel - AirAsia / Comprehensive Travel Insurance Plus Plan</t>
    </r>
    <r>
      <rPr>
        <sz val="11"/>
        <color rgb="FF20334A"/>
        <rFont val="Noto Sans CJK SC"/>
        <family val="2"/>
        <charset val="1"/>
      </rPr>
      <t xml:space="preserve">；</t>
    </r>
    <r>
      <rPr>
        <sz val="11"/>
        <color rgb="FF20334A"/>
        <rFont val="Arial"/>
        <family val="0"/>
        <charset val="1"/>
      </rPr>
      <t xml:space="preserve">Tune Protect Travel - AirAsia / Comprehensive Travel Insurance Plus Plan</t>
    </r>
  </si>
  <si>
    <r>
      <rPr>
        <sz val="11"/>
        <color rgb="FF20334A"/>
        <rFont val="Noto Sans CJK SC"/>
        <family val="2"/>
        <charset val="1"/>
      </rPr>
      <t xml:space="preserve">本轮取得</t>
    </r>
    <r>
      <rPr>
        <sz val="11"/>
        <color rgb="FF20334A"/>
        <rFont val="Arial"/>
        <family val="0"/>
        <charset val="1"/>
      </rPr>
      <t xml:space="preserve">2</t>
    </r>
    <r>
      <rPr>
        <sz val="11"/>
        <color rgb="FF20334A"/>
        <rFont val="Noto Sans CJK SC"/>
        <family val="2"/>
        <charset val="1"/>
      </rPr>
      <t xml:space="preserve">份正式新增文件，其中</t>
    </r>
    <r>
      <rPr>
        <sz val="11"/>
        <color rgb="FF20334A"/>
        <rFont val="Arial"/>
        <family val="0"/>
        <charset val="1"/>
      </rPr>
      <t xml:space="preserve">0</t>
    </r>
    <r>
      <rPr>
        <sz val="11"/>
        <color rgb="FF20334A"/>
        <rFont val="Noto Sans CJK SC"/>
        <family val="2"/>
        <charset val="1"/>
      </rPr>
      <t xml:space="preserve">份已全文、</t>
    </r>
    <r>
      <rPr>
        <sz val="11"/>
        <color rgb="FF20334A"/>
        <rFont val="Arial"/>
        <family val="0"/>
        <charset val="1"/>
      </rPr>
      <t xml:space="preserve">2</t>
    </r>
    <r>
      <rPr>
        <sz val="11"/>
        <color rgb="FF20334A"/>
        <rFont val="Noto Sans CJK SC"/>
        <family val="2"/>
        <charset val="1"/>
      </rPr>
      <t xml:space="preserve">份待全文；文件取得不等于现行主文或资料包齐备</t>
    </r>
  </si>
  <si>
    <t xml:space="preserve">SRC-KH-6e54c64038</t>
  </si>
  <si>
    <t xml:space="preserve">www.forteinsurance.com</t>
  </si>
  <si>
    <t xml:space="preserve">Personal Accident and International Emergency Medical Assistance Insurance</t>
  </si>
  <si>
    <t xml:space="preserve">SRC-KH-71ea8d0b82</t>
  </si>
  <si>
    <t xml:space="preserve">SRC-BN-bd94130bb3</t>
  </si>
  <si>
    <t xml:space="preserve">Insurans Islam Family Takaful Sdn Bhd</t>
  </si>
  <si>
    <t xml:space="preserve">www.insuranstaib.com.bn</t>
  </si>
  <si>
    <t xml:space="preserve">Overseas Student Assist Takaful Plan</t>
  </si>
  <si>
    <t xml:space="preserve">同页直接关联既有条款；关系修复，不是新增原件或新产品</t>
  </si>
  <si>
    <t xml:space="preserve">SRC-BN-30ac2770ef</t>
  </si>
  <si>
    <t xml:space="preserve">Insurans Islam Family Takaful Sdn. Bhd.</t>
  </si>
  <si>
    <t xml:space="preserve">Ar-Rizq Savings Takaful Plan and Ar-Rizq Savings Takaful Plan for Retirement</t>
  </si>
  <si>
    <t xml:space="preserve">SRC-BN-23fbb1632c</t>
  </si>
  <si>
    <t xml:space="preserve">Insurans Islam General Takaful Sdn Bhd</t>
  </si>
  <si>
    <t xml:space="preserve">Duyufur Rahman Takaful Scheme</t>
  </si>
  <si>
    <t xml:space="preserve">SRC-BN-88655f9892</t>
  </si>
  <si>
    <t xml:space="preserve">Group Personal Accident for Student Takaful Scheme</t>
  </si>
  <si>
    <t xml:space="preserve">SRC-LA-4d228985b4</t>
  </si>
  <si>
    <t xml:space="preserve">jclaoinsurance.com</t>
  </si>
  <si>
    <t xml:space="preserve">LA-jclao</t>
  </si>
  <si>
    <r>
      <rPr>
        <sz val="11"/>
        <color rgb="FF20334A"/>
        <rFont val="Noto Sans CJK SC"/>
        <family val="2"/>
        <charset val="1"/>
      </rPr>
      <t xml:space="preserve">历史访问失败</t>
    </r>
    <r>
      <rPr>
        <sz val="11"/>
        <color rgb="FF20334A"/>
        <rFont val="Arial"/>
        <family val="0"/>
        <charset val="1"/>
      </rPr>
      <t xml:space="preserve">/</t>
    </r>
    <r>
      <rPr>
        <sz val="11"/>
        <color rgb="FF20334A"/>
        <rFont val="Noto Sans CJK SC"/>
        <family val="2"/>
        <charset val="1"/>
      </rPr>
      <t xml:space="preserve">受限：</t>
    </r>
    <r>
      <rPr>
        <sz val="11"/>
        <color rgb="FF20334A"/>
        <rFont val="Arial"/>
        <family val="0"/>
        <charset val="1"/>
      </rPr>
      <t xml:space="preserve">HTTP 202</t>
    </r>
    <r>
      <rPr>
        <sz val="11"/>
        <color rgb="FF20334A"/>
        <rFont val="Noto Sans CJK SC"/>
        <family val="2"/>
        <charset val="1"/>
      </rPr>
      <t xml:space="preserve">；未取得可用合同内容</t>
    </r>
  </si>
  <si>
    <t xml:space="preserve">SRC-LA-96cb2326c3</t>
  </si>
  <si>
    <t xml:space="preserve">Assurances General Laos Sole Co., Ltd</t>
  </si>
  <si>
    <t xml:space="preserve">www.agl.com.la</t>
  </si>
  <si>
    <r>
      <rPr>
        <sz val="11"/>
        <color rgb="FF20334A"/>
        <rFont val="Noto Sans CJK SC"/>
        <family val="2"/>
        <charset val="1"/>
      </rPr>
      <t xml:space="preserve">既有正式库包含</t>
    </r>
    <r>
      <rPr>
        <sz val="11"/>
        <color rgb="FF20334A"/>
        <rFont val="Arial"/>
        <family val="0"/>
        <charset val="1"/>
      </rPr>
      <t xml:space="preserve">19</t>
    </r>
    <r>
      <rPr>
        <sz val="11"/>
        <color rgb="FF20334A"/>
        <rFont val="Noto Sans CJK SC"/>
        <family val="2"/>
        <charset val="1"/>
      </rPr>
      <t xml:space="preserve">份该来源文件；最近补缺路径为重复已有条款，不计新增；未在本次重新访问</t>
    </r>
  </si>
  <si>
    <t xml:space="preserve">SRC-MM-c6d46c17a2</t>
  </si>
  <si>
    <t xml:space="preserve">www.fnigeneral.com</t>
  </si>
  <si>
    <t xml:space="preserve">MM-products-3-doc15</t>
  </si>
  <si>
    <t xml:space="preserve">SRC-MM-9ed369c3c3</t>
  </si>
  <si>
    <t xml:space="preserve">MM-products-3-doc12</t>
  </si>
  <si>
    <t xml:space="preserve">SRC-MM-0ae81738a1</t>
  </si>
  <si>
    <t xml:space="preserve">MM-products-3-doc13</t>
  </si>
  <si>
    <t xml:space="preserve">SRC-MM-456820c89a</t>
  </si>
  <si>
    <t xml:space="preserve">MM-products-3-doc14</t>
  </si>
  <si>
    <t xml:space="preserve">SRC-MM-16485ab9c6</t>
  </si>
  <si>
    <t xml:space="preserve">www.fnilife.com</t>
  </si>
  <si>
    <t xml:space="preserve">MM-fni-life-client-services</t>
  </si>
  <si>
    <r>
      <rPr>
        <sz val="11"/>
        <color rgb="FF20334A"/>
        <rFont val="Noto Sans CJK SC"/>
        <family val="2"/>
        <charset val="1"/>
      </rPr>
      <t xml:space="preserve">历史访问失败</t>
    </r>
    <r>
      <rPr>
        <sz val="11"/>
        <color rgb="FF20334A"/>
        <rFont val="Arial"/>
        <family val="0"/>
        <charset val="1"/>
      </rPr>
      <t xml:space="preserve">/</t>
    </r>
    <r>
      <rPr>
        <sz val="11"/>
        <color rgb="FF20334A"/>
        <rFont val="Noto Sans CJK SC"/>
        <family val="2"/>
        <charset val="1"/>
      </rPr>
      <t xml:space="preserve">受限：验证挑战，已停止</t>
    </r>
  </si>
  <si>
    <t xml:space="preserve">SRC-MM-999447bbb9</t>
  </si>
  <si>
    <t xml:space="preserve">SRC-MM-588b206082</t>
  </si>
  <si>
    <r>
      <rPr>
        <sz val="11"/>
        <color rgb="FF20334A"/>
        <rFont val="Arial"/>
        <family val="0"/>
        <charset val="1"/>
      </rPr>
      <t xml:space="preserve">Fire &amp; Allied Perils Insurance</t>
    </r>
    <r>
      <rPr>
        <sz val="11"/>
        <color rgb="FF20334A"/>
        <rFont val="Noto Sans CJK SC"/>
        <family val="2"/>
        <charset val="1"/>
      </rPr>
      <t xml:space="preserve">；</t>
    </r>
    <r>
      <rPr>
        <sz val="11"/>
        <color rgb="FF20334A"/>
        <rFont val="Arial"/>
        <family val="0"/>
        <charset val="1"/>
      </rPr>
      <t xml:space="preserve">Fire &amp; Allied Perils Insurance</t>
    </r>
  </si>
  <si>
    <t xml:space="preserve">SRC-MM-034e5e1a7a</t>
  </si>
  <si>
    <r>
      <rPr>
        <sz val="11"/>
        <color rgb="FF20334A"/>
        <rFont val="Arial"/>
        <family val="0"/>
        <charset val="1"/>
      </rPr>
      <t xml:space="preserve">Marine Hull Insurance</t>
    </r>
    <r>
      <rPr>
        <sz val="11"/>
        <color rgb="FF20334A"/>
        <rFont val="Noto Sans CJK SC"/>
        <family val="2"/>
        <charset val="1"/>
      </rPr>
      <t xml:space="preserve">；</t>
    </r>
    <r>
      <rPr>
        <sz val="11"/>
        <color rgb="FF20334A"/>
        <rFont val="Arial"/>
        <family val="0"/>
        <charset val="1"/>
      </rPr>
      <t xml:space="preserve">Marine Hull Insurance</t>
    </r>
  </si>
  <si>
    <t xml:space="preserve">SRC-MM-889cc03279</t>
  </si>
  <si>
    <r>
      <rPr>
        <sz val="11"/>
        <color rgb="FF20334A"/>
        <rFont val="Arial"/>
        <family val="0"/>
        <charset val="1"/>
      </rPr>
      <t xml:space="preserve">Overseas Marine Cargo Insurance</t>
    </r>
    <r>
      <rPr>
        <sz val="11"/>
        <color rgb="FF20334A"/>
        <rFont val="Noto Sans CJK SC"/>
        <family val="2"/>
        <charset val="1"/>
      </rPr>
      <t xml:space="preserve">；</t>
    </r>
    <r>
      <rPr>
        <sz val="11"/>
        <color rgb="FF20334A"/>
        <rFont val="Arial"/>
        <family val="0"/>
        <charset val="1"/>
      </rPr>
      <t xml:space="preserve">Overseas Marine Cargo Insurance</t>
    </r>
  </si>
  <si>
    <t xml:space="preserve">SRC-TL-ecd333b0f9</t>
  </si>
  <si>
    <t xml:space="preserve">监管官方</t>
  </si>
  <si>
    <t xml:space="preserve">bancocentral.tl</t>
  </si>
  <si>
    <t xml:space="preserve">本地牌照及主体基线</t>
  </si>
  <si>
    <r>
      <rPr>
        <sz val="11"/>
        <color rgb="FF20334A"/>
        <rFont val="Noto Sans CJK SC"/>
        <family val="2"/>
        <charset val="1"/>
      </rPr>
      <t xml:space="preserve">官方机构页显示</t>
    </r>
    <r>
      <rPr>
        <sz val="11"/>
        <color rgb="FF20334A"/>
        <rFont val="Arial"/>
        <family val="0"/>
        <charset val="1"/>
      </rPr>
      <t xml:space="preserve">2</t>
    </r>
    <r>
      <rPr>
        <sz val="11"/>
        <color rgb="FF20334A"/>
        <rFont val="Noto Sans CJK SC"/>
        <family val="2"/>
        <charset val="1"/>
      </rPr>
      <t xml:space="preserve">家一般险与</t>
    </r>
    <r>
      <rPr>
        <sz val="11"/>
        <color rgb="FF20334A"/>
        <rFont val="Arial"/>
        <family val="0"/>
        <charset val="1"/>
      </rPr>
      <t xml:space="preserve">1</t>
    </r>
    <r>
      <rPr>
        <sz val="11"/>
        <color rgb="FF20334A"/>
        <rFont val="Noto Sans CJK SC"/>
        <family val="2"/>
        <charset val="1"/>
      </rPr>
      <t xml:space="preserve">家寿险，但可见内容不足以可靠确认当前主体名单</t>
    </r>
  </si>
  <si>
    <t xml:space="preserve">SRC-TL-6886111ad7</t>
  </si>
  <si>
    <t xml:space="preserve">监管或政府官方</t>
  </si>
  <si>
    <t xml:space="preserve">tradeinvest.tl</t>
  </si>
  <si>
    <t xml:space="preserve">TL-tradeinvest-register</t>
  </si>
  <si>
    <t xml:space="preserve">SRC-TL-8d90320cd4</t>
  </si>
  <si>
    <t xml:space="preserve">Federal Insurance Timor SA</t>
  </si>
  <si>
    <t xml:space="preserve">www.fedpacinsurance.com</t>
  </si>
  <si>
    <t xml:space="preserve">本地一般险目录</t>
  </si>
  <si>
    <t xml:space="preserve">已见本地目录入口，未取得本地发行主条款；不能推出全市场无产品</t>
  </si>
  <si>
    <r>
      <rPr>
        <sz val="11"/>
        <color rgb="FF20334A"/>
        <rFont val="Noto Sans CJK SC"/>
        <family val="2"/>
        <charset val="1"/>
      </rPr>
      <t xml:space="preserve">历史研究记录日期。仅沿冻结的产品</t>
    </r>
    <r>
      <rPr>
        <sz val="11"/>
        <color rgb="FF20334A"/>
        <rFont val="Arial"/>
        <family val="0"/>
        <charset val="1"/>
      </rPr>
      <t xml:space="preserve">/</t>
    </r>
    <r>
      <rPr>
        <sz val="11"/>
        <color rgb="FF20334A"/>
        <rFont val="Noto Sans CJK SC"/>
        <family val="2"/>
        <charset val="1"/>
      </rPr>
      <t xml:space="preserve">版本处理明确缺件；不重跑已结案路线。</t>
    </r>
  </si>
  <si>
    <t xml:space="preserve">首批固定任务对应官方来源</t>
  </si>
  <si>
    <r>
      <rPr>
        <sz val="11"/>
        <color rgb="FF20334A"/>
        <rFont val="Noto Sans CJK SC"/>
        <family val="2"/>
        <charset val="1"/>
      </rPr>
      <t xml:space="preserve">「簡愛‧延續」儲蓄保險計劃</t>
    </r>
    <r>
      <rPr>
        <sz val="11"/>
        <color rgb="FF20334A"/>
        <rFont val="Arial"/>
        <family val="0"/>
        <charset val="1"/>
      </rPr>
      <t xml:space="preserve">5
</t>
    </r>
    <r>
      <rPr>
        <sz val="11"/>
        <color rgb="FF20334A"/>
        <rFont val="Noto Sans CJK SC"/>
        <family val="2"/>
        <charset val="1"/>
      </rPr>
      <t xml:space="preserve">准确版次待核</t>
    </r>
  </si>
  <si>
    <r>
      <rPr>
        <sz val="11"/>
        <color rgb="FF20334A"/>
        <rFont val="Noto Sans CJK SC"/>
        <family val="2"/>
        <charset val="1"/>
      </rPr>
      <t xml:space="preserve">已在官方目录</t>
    </r>
    <r>
      <rPr>
        <sz val="11"/>
        <color rgb="FF20334A"/>
        <rFont val="Arial"/>
        <family val="0"/>
        <charset val="1"/>
      </rPr>
      <t xml:space="preserve">/</t>
    </r>
    <r>
      <rPr>
        <sz val="11"/>
        <color rgb="FF20334A"/>
        <rFont val="Noto Sans CJK SC"/>
        <family val="2"/>
        <charset val="1"/>
      </rPr>
      <t xml:space="preserve">产品页留有记录；不在</t>
    </r>
    <r>
      <rPr>
        <sz val="11"/>
        <color rgb="FF20334A"/>
        <rFont val="Arial"/>
        <family val="0"/>
        <charset val="1"/>
      </rPr>
      <t xml:space="preserve">2026-10-25</t>
    </r>
    <r>
      <rPr>
        <sz val="11"/>
        <color rgb="FF20334A"/>
        <rFont val="Noto Sans CJK SC"/>
        <family val="2"/>
        <charset val="1"/>
      </rPr>
      <t xml:space="preserve">已逐项检查的</t>
    </r>
    <r>
      <rPr>
        <sz val="11"/>
        <color rgb="FF20334A"/>
        <rFont val="Arial"/>
        <family val="0"/>
        <charset val="1"/>
      </rPr>
      <t xml:space="preserve">16</t>
    </r>
    <r>
      <rPr>
        <sz val="11"/>
        <color rgb="FF20334A"/>
        <rFont val="Noto Sans CJK SC"/>
        <family val="2"/>
        <charset val="1"/>
      </rPr>
      <t xml:space="preserve">族中；不据此宣称历史从未检查</t>
    </r>
  </si>
  <si>
    <r>
      <rPr>
        <sz val="11"/>
        <color rgb="FF20334A"/>
        <rFont val="Noto Sans CJK SC"/>
        <family val="2"/>
        <charset val="1"/>
      </rPr>
      <t xml:space="preserve">原任务引用的历史来源检查日；冻结日不替代检查日。需从该产品原件确认法律主体；现有保司字段为历史源标签。任务单位按</t>
    </r>
    <r>
      <rPr>
        <sz val="11"/>
        <color rgb="FF20334A"/>
        <rFont val="Arial"/>
        <family val="0"/>
        <charset val="1"/>
      </rPr>
      <t xml:space="preserve">task_unit</t>
    </r>
    <r>
      <rPr>
        <sz val="11"/>
        <color rgb="FF20334A"/>
        <rFont val="Noto Sans CJK SC"/>
        <family val="2"/>
        <charset val="1"/>
      </rPr>
      <t xml:space="preserve">计；不是全市场独立产品分母。按该产品官方页及可见附件逐项检查；有明确同产品销售来源才进入第二层；取得匹配主文即转核验，否则记录缺件与停止原因</t>
    </r>
  </si>
  <si>
    <t xml:space="preserve">宏瑞終身即期年金保險計劃
准确版次待核</t>
  </si>
  <si>
    <r>
      <rPr>
        <sz val="11"/>
        <color rgb="FF20334A"/>
        <rFont val="Arial"/>
        <family val="0"/>
        <charset val="1"/>
      </rPr>
      <t xml:space="preserve">Prime Horizon Insurance Plan
</t>
    </r>
    <r>
      <rPr>
        <sz val="11"/>
        <color rgb="FF20334A"/>
        <rFont val="Noto Sans CJK SC"/>
        <family val="2"/>
        <charset val="1"/>
      </rPr>
      <t xml:space="preserve">准确版次待核</t>
    </r>
  </si>
  <si>
    <t xml:space="preserve">永譽傳承儲蓄計劃
准确版次待核</t>
  </si>
  <si>
    <t xml:space="preserve">Allied World Assurance Company, Ltd, Singapore Branch</t>
  </si>
  <si>
    <r>
      <rPr>
        <sz val="11"/>
        <color rgb="FF20334A"/>
        <rFont val="Arial"/>
        <family val="0"/>
        <charset val="1"/>
      </rPr>
      <t xml:space="preserve">Travel Protector 2024</t>
    </r>
    <r>
      <rPr>
        <sz val="11"/>
        <color rgb="FF20334A"/>
        <rFont val="Noto Sans CJK SC"/>
        <family val="2"/>
        <charset val="1"/>
      </rPr>
      <t xml:space="preserve">基准主文的现行</t>
    </r>
    <r>
      <rPr>
        <sz val="11"/>
        <color rgb="FF20334A"/>
        <rFont val="Arial"/>
        <family val="0"/>
        <charset val="1"/>
      </rPr>
      <t xml:space="preserve">COVID-19</t>
    </r>
    <r>
      <rPr>
        <sz val="11"/>
        <color rgb="FF20334A"/>
        <rFont val="Noto Sans CJK SC"/>
        <family val="2"/>
        <charset val="1"/>
      </rPr>
      <t xml:space="preserve">扩展</t>
    </r>
    <r>
      <rPr>
        <sz val="11"/>
        <color rgb="FF20334A"/>
        <rFont val="Arial"/>
        <family val="0"/>
        <charset val="1"/>
      </rPr>
      <t xml:space="preserve">/</t>
    </r>
    <r>
      <rPr>
        <sz val="11"/>
        <color rgb="FF20334A"/>
        <rFont val="Noto Sans CJK SC"/>
        <family val="2"/>
        <charset val="1"/>
      </rPr>
      <t xml:space="preserve">批单
</t>
    </r>
    <r>
      <rPr>
        <sz val="11"/>
        <color rgb="FF20334A"/>
        <rFont val="Arial"/>
        <family val="0"/>
        <charset val="1"/>
      </rPr>
      <t xml:space="preserve">Updated as of 20 June 2024</t>
    </r>
  </si>
  <si>
    <r>
      <rPr>
        <sz val="11"/>
        <color rgb="FF20334A"/>
        <rFont val="Arial"/>
        <family val="0"/>
        <charset val="1"/>
      </rPr>
      <t xml:space="preserve">2026-10-25</t>
    </r>
    <r>
      <rPr>
        <sz val="11"/>
        <color rgb="FF20334A"/>
        <rFont val="Noto Sans CJK SC"/>
        <family val="2"/>
        <charset val="1"/>
      </rPr>
      <t xml:space="preserve">已有定点取得</t>
    </r>
    <r>
      <rPr>
        <sz val="11"/>
        <color rgb="FF20334A"/>
        <rFont val="Arial"/>
        <family val="0"/>
        <charset val="1"/>
      </rPr>
      <t xml:space="preserve">/</t>
    </r>
    <r>
      <rPr>
        <sz val="11"/>
        <color rgb="FF20334A"/>
        <rFont val="Noto Sans CJK SC"/>
        <family val="2"/>
        <charset val="1"/>
      </rPr>
      <t xml:space="preserve">核验记录；本批尚未重新验证</t>
    </r>
  </si>
  <si>
    <r>
      <rPr>
        <sz val="11"/>
        <color rgb="FF20334A"/>
        <rFont val="Noto Sans CJK SC"/>
        <family val="2"/>
        <charset val="1"/>
      </rPr>
      <t xml:space="preserve">原任务引用的历史来源检查日；冻结日不替代检查日。按已存官方来源</t>
    </r>
    <r>
      <rPr>
        <sz val="11"/>
        <color rgb="FF20334A"/>
        <rFont val="Arial"/>
        <family val="0"/>
        <charset val="1"/>
      </rPr>
      <t xml:space="preserve">/</t>
    </r>
    <r>
      <rPr>
        <sz val="11"/>
        <color rgb="FF20334A"/>
        <rFont val="Noto Sans CJK SC"/>
        <family val="2"/>
        <charset val="1"/>
      </rPr>
      <t xml:space="preserve">原文记录；本批复核。本任务身份不等同</t>
    </r>
    <r>
      <rPr>
        <sz val="11"/>
        <color rgb="FF20334A"/>
        <rFont val="Arial"/>
        <family val="0"/>
        <charset val="1"/>
      </rPr>
      <t xml:space="preserve">144</t>
    </r>
    <r>
      <rPr>
        <sz val="11"/>
        <color rgb="FF20334A"/>
        <rFont val="Noto Sans CJK SC"/>
        <family val="2"/>
        <charset val="1"/>
      </rPr>
      <t xml:space="preserve">窄口径分母；不得据本批任务结果自动改写</t>
    </r>
    <r>
      <rPr>
        <sz val="11"/>
        <color rgb="FF20334A"/>
        <rFont val="Arial"/>
        <family val="0"/>
        <charset val="1"/>
      </rPr>
      <t xml:space="preserve">29</t>
    </r>
    <r>
      <rPr>
        <sz val="11"/>
        <color rgb="FF20334A"/>
        <rFont val="Noto Sans CJK SC"/>
        <family val="2"/>
        <charset val="1"/>
      </rPr>
      <t xml:space="preserve">缺口，也不得与</t>
    </r>
    <r>
      <rPr>
        <sz val="11"/>
        <color rgb="FF20334A"/>
        <rFont val="Arial"/>
        <family val="0"/>
        <charset val="1"/>
      </rPr>
      <t xml:space="preserve">294</t>
    </r>
    <r>
      <rPr>
        <sz val="11"/>
        <color rgb="FF20334A"/>
        <rFont val="Noto Sans CJK SC"/>
        <family val="2"/>
        <charset val="1"/>
      </rPr>
      <t xml:space="preserve">投影混用。仅围绕当前官方</t>
    </r>
    <r>
      <rPr>
        <sz val="11"/>
        <color rgb="FF20334A"/>
        <rFont val="Arial"/>
        <family val="0"/>
        <charset val="1"/>
      </rPr>
      <t xml:space="preserve">1026</t>
    </r>
    <r>
      <rPr>
        <sz val="11"/>
        <color rgb="FF20334A"/>
        <rFont val="Noto Sans CJK SC"/>
        <family val="2"/>
        <charset val="1"/>
      </rPr>
      <t xml:space="preserve">宣传册</t>
    </r>
    <r>
      <rPr>
        <sz val="11"/>
        <color rgb="FF20334A"/>
        <rFont val="Arial"/>
        <family val="0"/>
        <charset val="1"/>
      </rPr>
      <t xml:space="preserve">40–48</t>
    </r>
    <r>
      <rPr>
        <sz val="11"/>
        <color rgb="FF20334A"/>
        <rFont val="Noto Sans CJK SC"/>
        <family val="2"/>
        <charset val="1"/>
      </rPr>
      <t xml:space="preserve">项</t>
    </r>
    <r>
      <rPr>
        <sz val="11"/>
        <color rgb="FF20334A"/>
        <rFont val="Arial"/>
        <family val="0"/>
        <charset val="1"/>
      </rPr>
      <t xml:space="preserve">COVID</t>
    </r>
    <r>
      <rPr>
        <sz val="11"/>
        <color rgb="FF20334A"/>
        <rFont val="Noto Sans CJK SC"/>
        <family val="2"/>
        <charset val="1"/>
      </rPr>
      <t xml:space="preserve">保障寻找明确采用的扩展或批单；比对</t>
    </r>
    <r>
      <rPr>
        <sz val="11"/>
        <color rgb="FF20334A"/>
        <rFont val="Arial"/>
        <family val="0"/>
        <charset val="1"/>
      </rPr>
      <t xml:space="preserve">2024</t>
    </r>
    <r>
      <rPr>
        <sz val="11"/>
        <color rgb="FF20334A"/>
        <rFont val="Noto Sans CJK SC"/>
        <family val="2"/>
        <charset val="1"/>
      </rPr>
      <t xml:space="preserve">主文第</t>
    </r>
    <r>
      <rPr>
        <sz val="11"/>
        <color rgb="FF20334A"/>
        <rFont val="Arial"/>
        <family val="0"/>
        <charset val="1"/>
      </rPr>
      <t xml:space="preserve">14</t>
    </r>
    <r>
      <rPr>
        <sz val="11"/>
        <color rgb="FF20334A"/>
        <rFont val="Noto Sans CJK SC"/>
        <family val="2"/>
        <charset val="1"/>
      </rPr>
      <t xml:space="preserve">页</t>
    </r>
    <r>
      <rPr>
        <sz val="11"/>
        <color rgb="FF20334A"/>
        <rFont val="Arial"/>
        <family val="0"/>
        <charset val="1"/>
      </rPr>
      <t xml:space="preserve">COVID</t>
    </r>
    <r>
      <rPr>
        <sz val="11"/>
        <color rgb="FF20334A"/>
        <rFont val="Noto Sans CJK SC"/>
        <family val="2"/>
        <charset val="1"/>
      </rPr>
      <t xml:space="preserve">除外及计划差异</t>
    </r>
  </si>
  <si>
    <r>
      <rPr>
        <sz val="11"/>
        <color rgb="FF20334A"/>
        <rFont val="Arial"/>
        <family val="0"/>
        <charset val="1"/>
      </rPr>
      <t xml:space="preserve">Home Protector 360 06/20</t>
    </r>
    <r>
      <rPr>
        <sz val="11"/>
        <color rgb="FF20334A"/>
        <rFont val="Noto Sans CJK SC"/>
        <family val="2"/>
        <charset val="1"/>
      </rPr>
      <t xml:space="preserve">版的现行采用与</t>
    </r>
    <r>
      <rPr>
        <sz val="11"/>
        <color rgb="FF20334A"/>
        <rFont val="Arial"/>
        <family val="0"/>
        <charset val="1"/>
      </rPr>
      <t xml:space="preserve">Basic</t>
    </r>
    <r>
      <rPr>
        <sz val="11"/>
        <color rgb="FF20334A"/>
        <rFont val="Noto Sans CJK SC"/>
        <family val="2"/>
        <charset val="1"/>
      </rPr>
      <t xml:space="preserve">隔离
</t>
    </r>
    <r>
      <rPr>
        <sz val="11"/>
        <color rgb="FF20334A"/>
        <rFont val="Arial"/>
        <family val="0"/>
        <charset val="1"/>
      </rPr>
      <t xml:space="preserve">HP 00004 255 (06/20); v 06.2020</t>
    </r>
  </si>
  <si>
    <r>
      <rPr>
        <sz val="11"/>
        <color rgb="FF20334A"/>
        <rFont val="Noto Sans CJK SC"/>
        <family val="2"/>
        <charset val="1"/>
      </rPr>
      <t xml:space="preserve">原任务引用的历史来源检查日；冻结日不替代检查日。按已存官方来源</t>
    </r>
    <r>
      <rPr>
        <sz val="11"/>
        <color rgb="FF20334A"/>
        <rFont val="Arial"/>
        <family val="0"/>
        <charset val="1"/>
      </rPr>
      <t xml:space="preserve">/</t>
    </r>
    <r>
      <rPr>
        <sz val="11"/>
        <color rgb="FF20334A"/>
        <rFont val="Noto Sans CJK SC"/>
        <family val="2"/>
        <charset val="1"/>
      </rPr>
      <t xml:space="preserve">原文记录；本批复核。本任务身份不等同</t>
    </r>
    <r>
      <rPr>
        <sz val="11"/>
        <color rgb="FF20334A"/>
        <rFont val="Arial"/>
        <family val="0"/>
        <charset val="1"/>
      </rPr>
      <t xml:space="preserve">144</t>
    </r>
    <r>
      <rPr>
        <sz val="11"/>
        <color rgb="FF20334A"/>
        <rFont val="Noto Sans CJK SC"/>
        <family val="2"/>
        <charset val="1"/>
      </rPr>
      <t xml:space="preserve">窄口径分母；不得据本批任务结果自动改写</t>
    </r>
    <r>
      <rPr>
        <sz val="11"/>
        <color rgb="FF20334A"/>
        <rFont val="Arial"/>
        <family val="0"/>
        <charset val="1"/>
      </rPr>
      <t xml:space="preserve">29</t>
    </r>
    <r>
      <rPr>
        <sz val="11"/>
        <color rgb="FF20334A"/>
        <rFont val="Noto Sans CJK SC"/>
        <family val="2"/>
        <charset val="1"/>
      </rPr>
      <t xml:space="preserve">缺口，也不得与</t>
    </r>
    <r>
      <rPr>
        <sz val="11"/>
        <color rgb="FF20334A"/>
        <rFont val="Arial"/>
        <family val="0"/>
        <charset val="1"/>
      </rPr>
      <t xml:space="preserve">294</t>
    </r>
    <r>
      <rPr>
        <sz val="11"/>
        <color rgb="FF20334A"/>
        <rFont val="Noto Sans CJK SC"/>
        <family val="2"/>
        <charset val="1"/>
      </rPr>
      <t xml:space="preserve">投影混用。核</t>
    </r>
    <r>
      <rPr>
        <sz val="11"/>
        <color rgb="FF20334A"/>
        <rFont val="Arial"/>
        <family val="0"/>
        <charset val="1"/>
      </rPr>
      <t xml:space="preserve">0326</t>
    </r>
    <r>
      <rPr>
        <sz val="11"/>
        <color rgb="FF20334A"/>
        <rFont val="Noto Sans CJK SC"/>
        <family val="2"/>
        <charset val="1"/>
      </rPr>
      <t xml:space="preserve">官方宣传册</t>
    </r>
    <r>
      <rPr>
        <sz val="11"/>
        <color rgb="FF20334A"/>
        <rFont val="Arial"/>
        <family val="0"/>
        <charset val="1"/>
      </rPr>
      <t xml:space="preserve">/</t>
    </r>
    <r>
      <rPr>
        <sz val="11"/>
        <color rgb="FF20334A"/>
        <rFont val="Noto Sans CJK SC"/>
        <family val="2"/>
        <charset val="1"/>
      </rPr>
      <t xml:space="preserve">产品页是否明确采用</t>
    </r>
    <r>
      <rPr>
        <sz val="11"/>
        <color rgb="FF20334A"/>
        <rFont val="Arial"/>
        <family val="0"/>
        <charset val="1"/>
      </rPr>
      <t xml:space="preserve">06/20</t>
    </r>
    <r>
      <rPr>
        <sz val="11"/>
        <color rgb="FF20334A"/>
        <rFont val="Noto Sans CJK SC"/>
        <family val="2"/>
        <charset val="1"/>
      </rPr>
      <t xml:space="preserve">主文或有替代版；</t>
    </r>
    <r>
      <rPr>
        <sz val="11"/>
        <color rgb="FF20334A"/>
        <rFont val="Arial"/>
        <family val="0"/>
        <charset val="1"/>
      </rPr>
      <t xml:space="preserve">Basic</t>
    </r>
    <r>
      <rPr>
        <sz val="11"/>
        <color rgb="FF20334A"/>
        <rFont val="Noto Sans CJK SC"/>
        <family val="2"/>
        <charset val="1"/>
      </rPr>
      <t xml:space="preserve">单列缺口，不把</t>
    </r>
    <r>
      <rPr>
        <sz val="11"/>
        <color rgb="FF20334A"/>
        <rFont val="Arial"/>
        <family val="0"/>
        <charset val="1"/>
      </rPr>
      <t xml:space="preserve">360</t>
    </r>
    <r>
      <rPr>
        <sz val="11"/>
        <color rgb="FF20334A"/>
        <rFont val="Noto Sans CJK SC"/>
        <family val="2"/>
        <charset val="1"/>
      </rPr>
      <t xml:space="preserve">套给</t>
    </r>
    <r>
      <rPr>
        <sz val="11"/>
        <color rgb="FF20334A"/>
        <rFont val="Arial"/>
        <family val="0"/>
        <charset val="1"/>
      </rPr>
      <t xml:space="preserve">Basic</t>
    </r>
  </si>
  <si>
    <r>
      <rPr>
        <sz val="11"/>
        <color rgb="FF20334A"/>
        <rFont val="Arial"/>
        <family val="0"/>
        <charset val="1"/>
      </rPr>
      <t xml:space="preserve">FOCUS UWWS PR00030 09/25</t>
    </r>
    <r>
      <rPr>
        <sz val="11"/>
        <color rgb="FF20334A"/>
        <rFont val="Noto Sans CJK SC"/>
        <family val="2"/>
        <charset val="1"/>
      </rPr>
      <t xml:space="preserve">页序与完整性
</t>
    </r>
    <r>
      <rPr>
        <sz val="11"/>
        <color rgb="FF20334A"/>
        <rFont val="Arial"/>
        <family val="0"/>
        <charset val="1"/>
      </rPr>
      <t xml:space="preserve">UWWS PR00030 | 09/25</t>
    </r>
  </si>
  <si>
    <r>
      <rPr>
        <sz val="11"/>
        <color rgb="FF20334A"/>
        <rFont val="Noto Sans CJK SC"/>
        <family val="2"/>
        <charset val="1"/>
      </rPr>
      <t xml:space="preserve">原任务引用的历史来源检查日；冻结日不替代检查日。按已存官方来源</t>
    </r>
    <r>
      <rPr>
        <sz val="11"/>
        <color rgb="FF20334A"/>
        <rFont val="Arial"/>
        <family val="0"/>
        <charset val="1"/>
      </rPr>
      <t xml:space="preserve">/</t>
    </r>
    <r>
      <rPr>
        <sz val="11"/>
        <color rgb="FF20334A"/>
        <rFont val="Noto Sans CJK SC"/>
        <family val="2"/>
        <charset val="1"/>
      </rPr>
      <t xml:space="preserve">原文记录；本批复核。本任务身份不等同</t>
    </r>
    <r>
      <rPr>
        <sz val="11"/>
        <color rgb="FF20334A"/>
        <rFont val="Arial"/>
        <family val="0"/>
        <charset val="1"/>
      </rPr>
      <t xml:space="preserve">144</t>
    </r>
    <r>
      <rPr>
        <sz val="11"/>
        <color rgb="FF20334A"/>
        <rFont val="Noto Sans CJK SC"/>
        <family val="2"/>
        <charset val="1"/>
      </rPr>
      <t xml:space="preserve">窄口径分母；不得据本批任务结果自动改写</t>
    </r>
    <r>
      <rPr>
        <sz val="11"/>
        <color rgb="FF20334A"/>
        <rFont val="Arial"/>
        <family val="0"/>
        <charset val="1"/>
      </rPr>
      <t xml:space="preserve">29</t>
    </r>
    <r>
      <rPr>
        <sz val="11"/>
        <color rgb="FF20334A"/>
        <rFont val="Noto Sans CJK SC"/>
        <family val="2"/>
        <charset val="1"/>
      </rPr>
      <t xml:space="preserve">缺口，也不得与</t>
    </r>
    <r>
      <rPr>
        <sz val="11"/>
        <color rgb="FF20334A"/>
        <rFont val="Arial"/>
        <family val="0"/>
        <charset val="1"/>
      </rPr>
      <t xml:space="preserve">294</t>
    </r>
    <r>
      <rPr>
        <sz val="11"/>
        <color rgb="FF20334A"/>
        <rFont val="Noto Sans CJK SC"/>
        <family val="2"/>
        <charset val="1"/>
      </rPr>
      <t xml:space="preserve">投影混用。仅核现有</t>
    </r>
    <r>
      <rPr>
        <sz val="11"/>
        <color rgb="FF20334A"/>
        <rFont val="Arial"/>
        <family val="0"/>
        <charset val="1"/>
      </rPr>
      <t xml:space="preserve">21</t>
    </r>
    <r>
      <rPr>
        <sz val="11"/>
        <color rgb="FF20334A"/>
        <rFont val="Noto Sans CJK SC"/>
        <family val="2"/>
        <charset val="1"/>
      </rPr>
      <t xml:space="preserve">物理页与正文页脚</t>
    </r>
    <r>
      <rPr>
        <sz val="11"/>
        <color rgb="FF20334A"/>
        <rFont val="Arial"/>
        <family val="0"/>
        <charset val="1"/>
      </rPr>
      <t xml:space="preserve">24</t>
    </r>
    <r>
      <rPr>
        <sz val="11"/>
        <color rgb="FF20334A"/>
        <rFont val="Noto Sans CJK SC"/>
        <family val="2"/>
        <charset val="1"/>
      </rPr>
      <t xml:space="preserve">页标注的关系；对照目录</t>
    </r>
    <r>
      <rPr>
        <sz val="11"/>
        <color rgb="FF20334A"/>
        <rFont val="Arial"/>
        <family val="0"/>
        <charset val="1"/>
      </rPr>
      <t xml:space="preserve">/</t>
    </r>
    <r>
      <rPr>
        <sz val="11"/>
        <color rgb="FF20334A"/>
        <rFont val="Noto Sans CJK SC"/>
        <family val="2"/>
        <charset val="1"/>
      </rPr>
      <t xml:space="preserve">段落</t>
    </r>
    <r>
      <rPr>
        <sz val="11"/>
        <color rgb="FF20334A"/>
        <rFont val="Arial"/>
        <family val="0"/>
        <charset val="1"/>
      </rPr>
      <t xml:space="preserve">/</t>
    </r>
    <r>
      <rPr>
        <sz val="11"/>
        <color rgb="FF20334A"/>
        <rFont val="Noto Sans CJK SC"/>
        <family val="2"/>
        <charset val="1"/>
      </rPr>
      <t xml:space="preserve">末页和官方同版说明，不因物理页差直接断言缺</t>
    </r>
    <r>
      <rPr>
        <sz val="11"/>
        <color rgb="FF20334A"/>
        <rFont val="Arial"/>
        <family val="0"/>
        <charset val="1"/>
      </rPr>
      <t xml:space="preserve">3</t>
    </r>
    <r>
      <rPr>
        <sz val="11"/>
        <color rgb="FF20334A"/>
        <rFont val="Noto Sans CJK SC"/>
        <family val="2"/>
        <charset val="1"/>
      </rPr>
      <t xml:space="preserve">页</t>
    </r>
  </si>
  <si>
    <r>
      <rPr>
        <sz val="11"/>
        <color rgb="FF20334A"/>
        <rFont val="Arial"/>
        <family val="0"/>
        <charset val="1"/>
      </rPr>
      <t xml:space="preserve">Cancer Plan Master Policy
</t>
    </r>
    <r>
      <rPr>
        <sz val="11"/>
        <color rgb="FF20334A"/>
        <rFont val="Noto Sans CJK SC"/>
        <family val="2"/>
        <charset val="1"/>
      </rPr>
      <t xml:space="preserve">准确版次待核</t>
    </r>
  </si>
  <si>
    <r>
      <rPr>
        <sz val="11"/>
        <color rgb="FF20334A"/>
        <rFont val="Arial"/>
        <family val="0"/>
        <charset val="1"/>
      </rPr>
      <t xml:space="preserve">2026-10-25</t>
    </r>
    <r>
      <rPr>
        <sz val="11"/>
        <color rgb="FF20334A"/>
        <rFont val="Noto Sans CJK SC"/>
        <family val="2"/>
        <charset val="1"/>
      </rPr>
      <t xml:space="preserve">官方集中下载库已取得；</t>
    </r>
    <r>
      <rPr>
        <sz val="11"/>
        <color rgb="FF20334A"/>
        <rFont val="Arial"/>
        <family val="0"/>
        <charset val="1"/>
      </rPr>
      <t xml:space="preserve">PDF</t>
    </r>
    <r>
      <rPr>
        <sz val="11"/>
        <color rgb="FF20334A"/>
        <rFont val="Noto Sans CJK SC"/>
        <family val="2"/>
        <charset val="1"/>
      </rPr>
      <t xml:space="preserve">可读</t>
    </r>
    <r>
      <rPr>
        <sz val="11"/>
        <color rgb="FF20334A"/>
        <rFont val="Arial"/>
        <family val="0"/>
        <charset val="1"/>
      </rPr>
      <t xml:space="preserve">/</t>
    </r>
    <r>
      <rPr>
        <sz val="11"/>
        <color rgb="FF20334A"/>
        <rFont val="Noto Sans CJK SC"/>
        <family val="2"/>
        <charset val="1"/>
      </rPr>
      <t xml:space="preserve">提取文本成功，但未逐页内容核验</t>
    </r>
  </si>
  <si>
    <r>
      <rPr>
        <sz val="11"/>
        <color rgb="FF20334A"/>
        <rFont val="Noto Sans CJK SC"/>
        <family val="2"/>
        <charset val="1"/>
      </rPr>
      <t xml:space="preserve">原任务引用的历史来源检查日；冻结日不替代检查日。按已存官方来源</t>
    </r>
    <r>
      <rPr>
        <sz val="11"/>
        <color rgb="FF20334A"/>
        <rFont val="Arial"/>
        <family val="0"/>
        <charset val="1"/>
      </rPr>
      <t xml:space="preserve">/</t>
    </r>
    <r>
      <rPr>
        <sz val="11"/>
        <color rgb="FF20334A"/>
        <rFont val="Noto Sans CJK SC"/>
        <family val="2"/>
        <charset val="1"/>
      </rPr>
      <t xml:space="preserve">原文记录；本批复核。任务单位按</t>
    </r>
    <r>
      <rPr>
        <sz val="11"/>
        <color rgb="FF20334A"/>
        <rFont val="Arial"/>
        <family val="0"/>
        <charset val="1"/>
      </rPr>
      <t xml:space="preserve">task_unit</t>
    </r>
    <r>
      <rPr>
        <sz val="11"/>
        <color rgb="FF20334A"/>
        <rFont val="Noto Sans CJK SC"/>
        <family val="2"/>
        <charset val="1"/>
      </rPr>
      <t xml:space="preserve">计；不是全市场独立产品分母。校对全部页码及正文可读性；确定法律主体、团体</t>
    </r>
    <r>
      <rPr>
        <sz val="11"/>
        <color rgb="FF20334A"/>
        <rFont val="Arial"/>
        <family val="0"/>
        <charset val="1"/>
      </rPr>
      <t xml:space="preserve">/</t>
    </r>
    <r>
      <rPr>
        <sz val="11"/>
        <color rgb="FF20334A"/>
        <rFont val="Noto Sans CJK SC"/>
        <family val="2"/>
        <charset val="1"/>
      </rPr>
      <t xml:space="preserve">个人与渠道、正文版次及角色；列引用证书</t>
    </r>
    <r>
      <rPr>
        <sz val="11"/>
        <color rgb="FF20334A"/>
        <rFont val="Arial"/>
        <family val="0"/>
        <charset val="1"/>
      </rPr>
      <t xml:space="preserve">/</t>
    </r>
    <r>
      <rPr>
        <sz val="11"/>
        <color rgb="FF20334A"/>
        <rFont val="Noto Sans CJK SC"/>
        <family val="2"/>
        <charset val="1"/>
      </rPr>
      <t xml:space="preserve">附约依赖和疑点页码；按文档记录实测时间</t>
    </r>
  </si>
  <si>
    <r>
      <rPr>
        <sz val="11"/>
        <color rgb="FF20334A"/>
        <rFont val="Arial"/>
        <family val="0"/>
        <charset val="1"/>
      </rPr>
      <t xml:space="preserve">Biz Shield Master Policy
</t>
    </r>
    <r>
      <rPr>
        <sz val="11"/>
        <color rgb="FF20334A"/>
        <rFont val="Noto Sans CJK SC"/>
        <family val="2"/>
        <charset val="1"/>
      </rPr>
      <t xml:space="preserve">准确版次待核</t>
    </r>
  </si>
  <si>
    <r>
      <rPr>
        <sz val="11"/>
        <color rgb="FF20334A"/>
        <rFont val="Arial"/>
        <family val="0"/>
        <charset val="1"/>
      </rPr>
      <t xml:space="preserve">Group Term Takaful (GTT ADB) Master Contract - ILP Protection Campaign
</t>
    </r>
    <r>
      <rPr>
        <sz val="11"/>
        <color rgb="FF20334A"/>
        <rFont val="Noto Sans CJK SC"/>
        <family val="2"/>
        <charset val="1"/>
      </rPr>
      <t xml:space="preserve">准确版次待核</t>
    </r>
  </si>
  <si>
    <r>
      <rPr>
        <sz val="11"/>
        <color rgb="FF20334A"/>
        <rFont val="Arial"/>
        <family val="0"/>
        <charset val="1"/>
      </rPr>
      <t xml:space="preserve">Group Term Takaful (GTT) Master Contract - Protection with Purpose roadshow Campaign
</t>
    </r>
    <r>
      <rPr>
        <sz val="11"/>
        <color rgb="FF20334A"/>
        <rFont val="Noto Sans CJK SC"/>
        <family val="2"/>
        <charset val="1"/>
      </rPr>
      <t xml:space="preserve">准确版次待核</t>
    </r>
  </si>
  <si>
    <r>
      <rPr>
        <sz val="11"/>
        <color rgb="FF20334A"/>
        <rFont val="Arial"/>
        <family val="0"/>
        <charset val="1"/>
      </rPr>
      <t xml:space="preserve">Mortgage Reducing Term Takaful with Funeral Benefit 2020 Master Contract
</t>
    </r>
    <r>
      <rPr>
        <sz val="11"/>
        <color rgb="FF20334A"/>
        <rFont val="Noto Sans CJK SC"/>
        <family val="2"/>
        <charset val="1"/>
      </rPr>
      <t xml:space="preserve">准确版次待核</t>
    </r>
  </si>
  <si>
    <t xml:space="preserve">既存官方文件</t>
  </si>
  <si>
    <t xml:space="preserve">准确版本见处理结论</t>
  </si>
  <si>
    <r>
      <rPr>
        <sz val="11"/>
        <color rgb="FF20334A"/>
        <rFont val="Noto Sans CJK SC"/>
        <family val="2"/>
        <charset val="1"/>
      </rPr>
      <t xml:space="preserve">本批处理证据于</t>
    </r>
    <r>
      <rPr>
        <sz val="11"/>
        <color rgb="FF20334A"/>
        <rFont val="Arial"/>
        <family val="2"/>
        <charset val="1"/>
      </rPr>
      <t xml:space="preserve">2026-10-26</t>
    </r>
    <r>
      <rPr>
        <sz val="11"/>
        <color rgb="FF20334A"/>
        <rFont val="Noto Sans CJK SC"/>
        <family val="2"/>
        <charset val="1"/>
      </rPr>
      <t xml:space="preserve">验收。最近检查日沿用来源记录；不把历史下载改写为今日重新取得。</t>
    </r>
  </si>
  <si>
    <t xml:space="preserve">官方产品路线</t>
  </si>
  <si>
    <t xml:space="preserve">For policies purchased on/after 14 June 2023 (source-page selection label)</t>
  </si>
  <si>
    <t xml:space="preserve">既存官方原件</t>
  </si>
  <si>
    <t xml:space="preserve">版本／当前采用未核定</t>
  </si>
  <si>
    <r>
      <rPr>
        <sz val="11"/>
        <color rgb="FF20334A"/>
        <rFont val="Noto Sans CJK SC"/>
        <family val="2"/>
        <charset val="1"/>
      </rPr>
      <t xml:space="preserve">来源日期沿用历史记录，不改成今日重新取得。全文仅指该</t>
    </r>
    <r>
      <rPr>
        <sz val="11"/>
        <color rgb="FF20334A"/>
        <rFont val="Arial"/>
        <family val="2"/>
        <charset val="1"/>
      </rPr>
      <t xml:space="preserve">SHA</t>
    </r>
    <r>
      <rPr>
        <sz val="11"/>
        <color rgb="FF20334A"/>
        <rFont val="Noto Sans CJK SC"/>
        <family val="2"/>
        <charset val="1"/>
      </rPr>
      <t xml:space="preserve">现存全部页面；不代表当前标准合同包齐全。</t>
    </r>
  </si>
  <si>
    <t xml:space="preserve">官方产品公开路线</t>
  </si>
  <si>
    <t xml:space="preserve">来源日期沿用历史记录，不改成今日重新取得。只覆盖保存的响应或摘录；不是全网无主文、穷尽路线或当前在售证明。</t>
  </si>
  <si>
    <r>
      <rPr>
        <sz val="11"/>
        <color rgb="FF20334A"/>
        <rFont val="Noto Sans CJK SC"/>
        <family val="2"/>
        <charset val="1"/>
      </rPr>
      <t xml:space="preserve">「愛與承」人壽保險計劃</t>
    </r>
    <r>
      <rPr>
        <sz val="11"/>
        <color rgb="FF20334A"/>
        <rFont val="Arial"/>
        <family val="0"/>
        <charset val="1"/>
      </rPr>
      <t xml:space="preserve">(</t>
    </r>
    <r>
      <rPr>
        <sz val="11"/>
        <color rgb="FF20334A"/>
        <rFont val="Noto Sans CJK SC"/>
        <family val="2"/>
        <charset val="1"/>
      </rPr>
      <t xml:space="preserve">尊尚</t>
    </r>
    <r>
      <rPr>
        <sz val="11"/>
        <color rgb="FF20334A"/>
        <rFont val="Arial"/>
        <family val="0"/>
        <charset val="1"/>
      </rPr>
      <t xml:space="preserve">)</t>
    </r>
  </si>
  <si>
    <t xml:space="preserve">来源日期沿用历史记录，不改成今日重新取得。关系证据不等于全文；不合并资料组或产品。</t>
  </si>
  <si>
    <t xml:space="preserve">来源日期沿用历史记录，不改成今日重新取得。仅英文部分，不称整份全文；语言优先关系未定。</t>
  </si>
  <si>
    <t xml:space="preserve">来源日期沿用历史记录，不改成今日重新取得。仅现存页面与文件角色；目录活动名与正文具名采用分别判断。</t>
  </si>
  <si>
    <t xml:space="preserve">既有验收事实</t>
  </si>
  <si>
    <r>
      <rPr>
        <sz val="11"/>
        <color rgb="FF20334A"/>
        <rFont val="Arial"/>
        <family val="0"/>
        <charset val="1"/>
      </rPr>
      <t xml:space="preserve">Cash Plus Assurance / Credit Protector Plus </t>
    </r>
    <r>
      <rPr>
        <sz val="11"/>
        <color rgb="FF20334A"/>
        <rFont val="Noto Sans CJK SC"/>
        <family val="2"/>
        <charset val="1"/>
      </rPr>
      <t xml:space="preserve">合同方案身份及材料映射</t>
    </r>
  </si>
  <si>
    <r>
      <rPr>
        <sz val="11"/>
        <color rgb="FF20334A"/>
        <rFont val="Noto Sans CJK SC"/>
        <family val="2"/>
        <charset val="1"/>
      </rPr>
      <t xml:space="preserve">来源日期沿用历史记录，不改成今日重新取得。两个工作单共复用</t>
    </r>
    <r>
      <rPr>
        <sz val="11"/>
        <color rgb="FF20334A"/>
        <rFont val="Arial"/>
        <family val="2"/>
        <charset val="1"/>
      </rPr>
      <t xml:space="preserve">4</t>
    </r>
    <r>
      <rPr>
        <sz val="11"/>
        <color rgb="FF20334A"/>
        <rFont val="Noto Sans CJK SC"/>
        <family val="2"/>
        <charset val="1"/>
      </rPr>
      <t xml:space="preserve">份已审原件；</t>
    </r>
    <r>
      <rPr>
        <sz val="11"/>
        <color rgb="FF20334A"/>
        <rFont val="Arial"/>
        <family val="2"/>
        <charset val="1"/>
      </rPr>
      <t xml:space="preserve">4</t>
    </r>
    <r>
      <rPr>
        <sz val="11"/>
        <color rgb="FF20334A"/>
        <rFont val="Noto Sans CJK SC"/>
        <family val="2"/>
        <charset val="1"/>
      </rPr>
      <t xml:space="preserve">版本、</t>
    </r>
    <r>
      <rPr>
        <sz val="11"/>
        <color rgb="FF20334A"/>
        <rFont val="Arial"/>
        <family val="2"/>
        <charset val="1"/>
      </rPr>
      <t xml:space="preserve">31</t>
    </r>
    <r>
      <rPr>
        <sz val="11"/>
        <color rgb="FF20334A"/>
        <rFont val="Noto Sans CJK SC"/>
        <family val="2"/>
        <charset val="1"/>
      </rPr>
      <t xml:space="preserve">关系不计新增全文或产品。</t>
    </r>
  </si>
  <si>
    <r>
      <rPr>
        <sz val="11"/>
        <color rgb="FF20334A"/>
        <rFont val="Arial"/>
        <family val="0"/>
        <charset val="1"/>
      </rPr>
      <t xml:space="preserve">Biz Shield / Biz Shield-i </t>
    </r>
    <r>
      <rPr>
        <sz val="11"/>
        <color rgb="FF20334A"/>
        <rFont val="Noto Sans CJK SC"/>
        <family val="2"/>
        <charset val="1"/>
      </rPr>
      <t xml:space="preserve">跨主体身份隔离及材料映射</t>
    </r>
  </si>
  <si>
    <t xml:space="preserve">PSATSI-AAUI2021/MAG2021</t>
  </si>
  <si>
    <r>
      <rPr>
        <sz val="11"/>
        <color rgb="FF20334A"/>
        <rFont val="Noto Sans CJK SC"/>
        <family val="2"/>
        <charset val="1"/>
      </rPr>
      <t xml:space="preserve">来源日期沿用历史记录，不改成今日重新取得。印尼语优先；英文阅读和全部</t>
    </r>
    <r>
      <rPr>
        <sz val="11"/>
        <color rgb="FF20334A"/>
        <rFont val="Arial"/>
        <family val="2"/>
        <charset val="1"/>
      </rPr>
      <t xml:space="preserve">18</t>
    </r>
    <r>
      <rPr>
        <sz val="11"/>
        <color rgb="FF20334A"/>
        <rFont val="Noto Sans CJK SC"/>
        <family val="2"/>
        <charset val="1"/>
      </rPr>
      <t xml:space="preserve">页视觉检查不构成整份语义全文。</t>
    </r>
  </si>
  <si>
    <t xml:space="preserve">来源日期沿用历史记录，不改成今日重新取得。组件全文不等于独立主合同或当前产品合同包。</t>
  </si>
  <si>
    <r>
      <rPr>
        <sz val="11"/>
        <color rgb="FF20334A"/>
        <rFont val="Noto Sans CJK SC"/>
        <family val="2"/>
        <charset val="1"/>
      </rPr>
      <t xml:space="preserve">官方产品响应：</t>
    </r>
    <r>
      <rPr>
        <sz val="11"/>
        <color rgb="FF20334A"/>
        <rFont val="Arial"/>
        <family val="2"/>
        <charset val="1"/>
      </rPr>
      <t xml:space="preserve">live HTTP 200</t>
    </r>
    <r>
      <rPr>
        <sz val="11"/>
        <color rgb="FF20334A"/>
        <rFont val="Noto Sans CJK SC"/>
        <family val="2"/>
        <charset val="1"/>
      </rPr>
      <t xml:space="preserve">；观测时间</t>
    </r>
    <r>
      <rPr>
        <sz val="11"/>
        <color rgb="FF20334A"/>
        <rFont val="Arial"/>
        <family val="2"/>
        <charset val="1"/>
      </rPr>
      <t xml:space="preserve">2026-10-26T04:43:01.002953+00:00</t>
    </r>
    <r>
      <rPr>
        <sz val="11"/>
        <color rgb="FF20334A"/>
        <rFont val="Noto Sans CJK SC"/>
        <family val="2"/>
        <charset val="1"/>
      </rPr>
      <t xml:space="preserve">。只覆盖保存的响应或摘录；不是全网无主文、穷尽路线或当前在售证明。</t>
    </r>
  </si>
  <si>
    <r>
      <rPr>
        <sz val="11"/>
        <color rgb="FF20334A"/>
        <rFont val="Noto Sans CJK SC"/>
        <family val="2"/>
        <charset val="1"/>
      </rPr>
      <t xml:space="preserve">官方产品响应：</t>
    </r>
    <r>
      <rPr>
        <sz val="11"/>
        <color rgb="FF20334A"/>
        <rFont val="Arial"/>
        <family val="2"/>
        <charset val="1"/>
      </rPr>
      <t xml:space="preserve">live HTTP 200</t>
    </r>
    <r>
      <rPr>
        <sz val="11"/>
        <color rgb="FF20334A"/>
        <rFont val="Noto Sans CJK SC"/>
        <family val="2"/>
        <charset val="1"/>
      </rPr>
      <t xml:space="preserve">；观测时间</t>
    </r>
    <r>
      <rPr>
        <sz val="11"/>
        <color rgb="FF20334A"/>
        <rFont val="Arial"/>
        <family val="2"/>
        <charset val="1"/>
      </rPr>
      <t xml:space="preserve">2026-10-26T04:43:01.003557+00:00</t>
    </r>
    <r>
      <rPr>
        <sz val="11"/>
        <color rgb="FF20334A"/>
        <rFont val="Noto Sans CJK SC"/>
        <family val="2"/>
        <charset val="1"/>
      </rPr>
      <t xml:space="preserve">。只覆盖保存的响应或摘录；不是全网无主文、穷尽路线或当前在售证明。</t>
    </r>
  </si>
  <si>
    <r>
      <rPr>
        <sz val="11"/>
        <color rgb="FF20334A"/>
        <rFont val="Noto Sans CJK SC"/>
        <family val="2"/>
        <charset val="1"/>
      </rPr>
      <t xml:space="preserve">官方产品响应：</t>
    </r>
    <r>
      <rPr>
        <sz val="11"/>
        <color rgb="FF20334A"/>
        <rFont val="Arial"/>
        <family val="2"/>
        <charset val="1"/>
      </rPr>
      <t xml:space="preserve">live HTTP 200</t>
    </r>
    <r>
      <rPr>
        <sz val="11"/>
        <color rgb="FF20334A"/>
        <rFont val="Noto Sans CJK SC"/>
        <family val="2"/>
        <charset val="1"/>
      </rPr>
      <t xml:space="preserve">；观测时间</t>
    </r>
    <r>
      <rPr>
        <sz val="11"/>
        <color rgb="FF20334A"/>
        <rFont val="Arial"/>
        <family val="2"/>
        <charset val="1"/>
      </rPr>
      <t xml:space="preserve">2026-10-26T04:43:01.004414+00:00</t>
    </r>
    <r>
      <rPr>
        <sz val="11"/>
        <color rgb="FF20334A"/>
        <rFont val="Noto Sans CJK SC"/>
        <family val="2"/>
        <charset val="1"/>
      </rPr>
      <t xml:space="preserve">。只覆盖保存的响应或摘录；不是全网无主文、穷尽路线或当前在售证明。</t>
    </r>
  </si>
  <si>
    <r>
      <rPr>
        <sz val="11"/>
        <color rgb="FF20334A"/>
        <rFont val="Noto Sans CJK SC"/>
        <family val="2"/>
        <charset val="1"/>
      </rPr>
      <t xml:space="preserve">「愛與承」人壽保險計劃</t>
    </r>
    <r>
      <rPr>
        <sz val="11"/>
        <color rgb="FF20334A"/>
        <rFont val="Arial"/>
        <family val="0"/>
        <charset val="1"/>
      </rPr>
      <t xml:space="preserve">2</t>
    </r>
  </si>
  <si>
    <r>
      <rPr>
        <sz val="11"/>
        <color rgb="FF20334A"/>
        <rFont val="Noto Sans CJK SC"/>
        <family val="2"/>
        <charset val="1"/>
      </rPr>
      <t xml:space="preserve">官方产品响应：</t>
    </r>
    <r>
      <rPr>
        <sz val="11"/>
        <color rgb="FF20334A"/>
        <rFont val="Arial"/>
        <family val="2"/>
        <charset val="1"/>
      </rPr>
      <t xml:space="preserve">live HTTP 200</t>
    </r>
    <r>
      <rPr>
        <sz val="11"/>
        <color rgb="FF20334A"/>
        <rFont val="Noto Sans CJK SC"/>
        <family val="2"/>
        <charset val="1"/>
      </rPr>
      <t xml:space="preserve">；观测时间</t>
    </r>
    <r>
      <rPr>
        <sz val="11"/>
        <color rgb="FF20334A"/>
        <rFont val="Arial"/>
        <family val="2"/>
        <charset val="1"/>
      </rPr>
      <t xml:space="preserve">2026-10-26T04:41:21.390636+00:00</t>
    </r>
    <r>
      <rPr>
        <sz val="11"/>
        <color rgb="FF20334A"/>
        <rFont val="Noto Sans CJK SC"/>
        <family val="2"/>
        <charset val="1"/>
      </rPr>
      <t xml:space="preserve">。只覆盖保存的响应或摘录；不是全网无主文、穷尽路线或当前在售证明。</t>
    </r>
  </si>
  <si>
    <r>
      <rPr>
        <sz val="11"/>
        <color rgb="FF20334A"/>
        <rFont val="Noto Sans CJK SC"/>
        <family val="2"/>
        <charset val="1"/>
      </rPr>
      <t xml:space="preserve">「愛與恒」多貨幣人壽保險計劃</t>
    </r>
    <r>
      <rPr>
        <sz val="11"/>
        <color rgb="FF20334A"/>
        <rFont val="Arial"/>
        <family val="0"/>
        <charset val="1"/>
      </rPr>
      <t xml:space="preserve">2</t>
    </r>
  </si>
  <si>
    <r>
      <rPr>
        <sz val="11"/>
        <color rgb="FF20334A"/>
        <rFont val="Noto Sans CJK SC"/>
        <family val="2"/>
        <charset val="1"/>
      </rPr>
      <t xml:space="preserve">官方产品响应：</t>
    </r>
    <r>
      <rPr>
        <sz val="11"/>
        <color rgb="FF20334A"/>
        <rFont val="Arial"/>
        <family val="2"/>
        <charset val="1"/>
      </rPr>
      <t xml:space="preserve">live HTTP 200</t>
    </r>
    <r>
      <rPr>
        <sz val="11"/>
        <color rgb="FF20334A"/>
        <rFont val="Noto Sans CJK SC"/>
        <family val="2"/>
        <charset val="1"/>
      </rPr>
      <t xml:space="preserve">；观测时间</t>
    </r>
    <r>
      <rPr>
        <sz val="11"/>
        <color rgb="FF20334A"/>
        <rFont val="Arial"/>
        <family val="2"/>
        <charset val="1"/>
      </rPr>
      <t xml:space="preserve">2026-10-26T04:41:29.706314+00:00</t>
    </r>
    <r>
      <rPr>
        <sz val="11"/>
        <color rgb="FF20334A"/>
        <rFont val="Noto Sans CJK SC"/>
        <family val="2"/>
        <charset val="1"/>
      </rPr>
      <t xml:space="preserve">。只覆盖保存的响应或摘录；不是全网无主文、穷尽路线或当前在售证明。</t>
    </r>
  </si>
  <si>
    <r>
      <rPr>
        <sz val="11"/>
        <color rgb="FF20334A"/>
        <rFont val="Noto Sans CJK SC"/>
        <family val="2"/>
        <charset val="1"/>
      </rPr>
      <t xml:space="preserve">「傳承∙高蓄」人壽保險計劃 </t>
    </r>
    <r>
      <rPr>
        <sz val="11"/>
        <color rgb="FF20334A"/>
        <rFont val="Arial"/>
        <family val="0"/>
        <charset val="1"/>
      </rPr>
      <t xml:space="preserve">- </t>
    </r>
    <r>
      <rPr>
        <sz val="11"/>
        <color rgb="FF20334A"/>
        <rFont val="Noto Sans CJK SC"/>
        <family val="2"/>
        <charset val="1"/>
      </rPr>
      <t xml:space="preserve">恒生銀行</t>
    </r>
  </si>
  <si>
    <r>
      <rPr>
        <sz val="11"/>
        <color rgb="FF20334A"/>
        <rFont val="Noto Sans CJK SC"/>
        <family val="2"/>
        <charset val="1"/>
      </rPr>
      <t xml:space="preserve">官方产品响应：</t>
    </r>
    <r>
      <rPr>
        <sz val="11"/>
        <color rgb="FF20334A"/>
        <rFont val="Arial"/>
        <family val="2"/>
        <charset val="1"/>
      </rPr>
      <t xml:space="preserve">live HTTP 200</t>
    </r>
    <r>
      <rPr>
        <sz val="11"/>
        <color rgb="FF20334A"/>
        <rFont val="Noto Sans CJK SC"/>
        <family val="2"/>
        <charset val="1"/>
      </rPr>
      <t xml:space="preserve">；观测时间</t>
    </r>
    <r>
      <rPr>
        <sz val="11"/>
        <color rgb="FF20334A"/>
        <rFont val="Arial"/>
        <family val="2"/>
        <charset val="1"/>
      </rPr>
      <t xml:space="preserve">2026-10-26T04:41:34.553899+00:00</t>
    </r>
    <r>
      <rPr>
        <sz val="11"/>
        <color rgb="FF20334A"/>
        <rFont val="Noto Sans CJK SC"/>
        <family val="2"/>
        <charset val="1"/>
      </rPr>
      <t xml:space="preserve">。只覆盖保存的响应或摘录；不是全网无主文、穷尽路线或当前在售证明。</t>
    </r>
  </si>
  <si>
    <r>
      <rPr>
        <sz val="11"/>
        <color rgb="FF20334A"/>
        <rFont val="Noto Sans CJK SC"/>
        <family val="2"/>
        <charset val="1"/>
      </rPr>
      <t xml:space="preserve">官方产品响应：</t>
    </r>
    <r>
      <rPr>
        <sz val="11"/>
        <color rgb="FF20334A"/>
        <rFont val="Arial"/>
        <family val="2"/>
        <charset val="1"/>
      </rPr>
      <t xml:space="preserve">live HTTP 200</t>
    </r>
    <r>
      <rPr>
        <sz val="11"/>
        <color rgb="FF20334A"/>
        <rFont val="Noto Sans CJK SC"/>
        <family val="2"/>
        <charset val="1"/>
      </rPr>
      <t xml:space="preserve">；观测时间</t>
    </r>
    <r>
      <rPr>
        <sz val="11"/>
        <color rgb="FF20334A"/>
        <rFont val="Arial"/>
        <family val="2"/>
        <charset val="1"/>
      </rPr>
      <t xml:space="preserve">2026-10-26T04:41:44.371828+00:00</t>
    </r>
    <r>
      <rPr>
        <sz val="11"/>
        <color rgb="FF20334A"/>
        <rFont val="Noto Sans CJK SC"/>
        <family val="2"/>
        <charset val="1"/>
      </rPr>
      <t xml:space="preserve">。只覆盖保存的响应或摘录；不是全网无主文、穷尽路线或当前在售证明。</t>
    </r>
  </si>
  <si>
    <r>
      <rPr>
        <sz val="11"/>
        <color rgb="FF20334A"/>
        <rFont val="Noto Sans CJK SC"/>
        <family val="2"/>
        <charset val="1"/>
      </rPr>
      <t xml:space="preserve">官方产品摘录／缓存：</t>
    </r>
    <r>
      <rPr>
        <sz val="11"/>
        <color rgb="FF20334A"/>
        <rFont val="Arial"/>
        <family val="2"/>
        <charset val="1"/>
      </rPr>
      <t xml:space="preserve">HTTP</t>
    </r>
    <r>
      <rPr>
        <sz val="11"/>
        <color rgb="FF20334A"/>
        <rFont val="Noto Sans CJK SC"/>
        <family val="2"/>
        <charset val="1"/>
      </rPr>
      <t xml:space="preserve">未知；观测时间</t>
    </r>
    <r>
      <rPr>
        <sz val="11"/>
        <color rgb="FF20334A"/>
        <rFont val="Arial"/>
        <family val="2"/>
        <charset val="1"/>
      </rPr>
      <t xml:space="preserve">2026-10-26T04:40:22Z</t>
    </r>
    <r>
      <rPr>
        <sz val="11"/>
        <color rgb="FF20334A"/>
        <rFont val="Noto Sans CJK SC"/>
        <family val="2"/>
        <charset val="1"/>
      </rPr>
      <t xml:space="preserve">。只覆盖保存的响应或摘录；不是全网无主文、穷尽路线或当前在售证明。 摘录不保证全页或</t>
    </r>
    <r>
      <rPr>
        <sz val="11"/>
        <color rgb="FF20334A"/>
        <rFont val="Arial"/>
        <family val="2"/>
        <charset val="1"/>
      </rPr>
      <t xml:space="preserve">JavaScript</t>
    </r>
    <r>
      <rPr>
        <sz val="11"/>
        <color rgb="FF20334A"/>
        <rFont val="Noto Sans CJK SC"/>
        <family val="2"/>
        <charset val="1"/>
      </rPr>
      <t xml:space="preserve">链接覆盖；搜索原查询未全保存。</t>
    </r>
  </si>
  <si>
    <r>
      <rPr>
        <sz val="11"/>
        <color rgb="FF20334A"/>
        <rFont val="Noto Sans CJK SC"/>
        <family val="2"/>
        <charset val="1"/>
      </rPr>
      <t xml:space="preserve">百年傳承終身保險計劃 </t>
    </r>
    <r>
      <rPr>
        <sz val="11"/>
        <color rgb="FF20334A"/>
        <rFont val="Arial"/>
        <family val="0"/>
        <charset val="1"/>
      </rPr>
      <t xml:space="preserve">II</t>
    </r>
  </si>
  <si>
    <r>
      <rPr>
        <sz val="11"/>
        <color rgb="FF20334A"/>
        <rFont val="Noto Sans CJK SC"/>
        <family val="2"/>
        <charset val="1"/>
      </rPr>
      <t xml:space="preserve">保存的官方公开响应：</t>
    </r>
    <r>
      <rPr>
        <sz val="11"/>
        <color rgb="FF20334A"/>
        <rFont val="Arial"/>
        <family val="2"/>
        <charset val="1"/>
      </rPr>
      <t xml:space="preserve">HTTP 200</t>
    </r>
    <r>
      <rPr>
        <sz val="11"/>
        <color rgb="FF20334A"/>
        <rFont val="Noto Sans CJK SC"/>
        <family val="2"/>
        <charset val="1"/>
      </rPr>
      <t xml:space="preserve">；观测时间</t>
    </r>
    <r>
      <rPr>
        <sz val="11"/>
        <color rgb="FF20334A"/>
        <rFont val="Arial"/>
        <family val="2"/>
        <charset val="1"/>
      </rPr>
      <t xml:space="preserve">2026-10-26T04:53:28.855026+00:00</t>
    </r>
    <r>
      <rPr>
        <sz val="11"/>
        <color rgb="FF20334A"/>
        <rFont val="Noto Sans CJK SC"/>
        <family val="2"/>
        <charset val="1"/>
      </rPr>
      <t xml:space="preserve">。仅</t>
    </r>
    <r>
      <rPr>
        <sz val="11"/>
        <color rgb="FF20334A"/>
        <rFont val="Arial"/>
        <family val="2"/>
        <charset val="1"/>
      </rPr>
      <t xml:space="preserve">294</t>
    </r>
    <r>
      <rPr>
        <sz val="11"/>
        <color rgb="FF20334A"/>
        <rFont val="Noto Sans CJK SC"/>
        <family val="2"/>
        <charset val="1"/>
      </rPr>
      <t xml:space="preserve">身份投影中指定</t>
    </r>
    <r>
      <rPr>
        <sz val="11"/>
        <color rgb="FF20334A"/>
        <rFont val="Arial"/>
        <family val="2"/>
        <charset val="1"/>
      </rPr>
      <t xml:space="preserve">12</t>
    </r>
    <r>
      <rPr>
        <sz val="11"/>
        <color rgb="FF20334A"/>
        <rFont val="Noto Sans CJK SC"/>
        <family val="2"/>
        <charset val="1"/>
      </rPr>
      <t xml:space="preserve">族；不是较窄</t>
    </r>
    <r>
      <rPr>
        <sz val="11"/>
        <color rgb="FF20334A"/>
        <rFont val="Arial"/>
        <family val="2"/>
        <charset val="1"/>
      </rPr>
      <t xml:space="preserve">144</t>
    </r>
    <r>
      <rPr>
        <sz val="11"/>
        <color rgb="FF20334A"/>
        <rFont val="Noto Sans CJK SC"/>
        <family val="2"/>
        <charset val="1"/>
      </rPr>
      <t xml:space="preserve">范围或全市场分母。</t>
    </r>
    <r>
      <rPr>
        <sz val="11"/>
        <color rgb="FF20334A"/>
        <rFont val="Arial"/>
        <family val="2"/>
        <charset val="1"/>
      </rPr>
      <t xml:space="preserve">11</t>
    </r>
    <r>
      <rPr>
        <sz val="11"/>
        <color rgb="FF20334A"/>
        <rFont val="Noto Sans CJK SC"/>
        <family val="2"/>
        <charset val="1"/>
      </rPr>
      <t xml:space="preserve">个唯一官方</t>
    </r>
    <r>
      <rPr>
        <sz val="11"/>
        <color rgb="FF20334A"/>
        <rFont val="Arial"/>
        <family val="2"/>
        <charset val="1"/>
      </rPr>
      <t xml:space="preserve">URL</t>
    </r>
    <r>
      <rPr>
        <sz val="11"/>
        <color rgb="FF20334A"/>
        <rFont val="Noto Sans CJK SC"/>
        <family val="2"/>
        <charset val="1"/>
      </rPr>
      <t xml:space="preserve">对应</t>
    </r>
    <r>
      <rPr>
        <sz val="11"/>
        <color rgb="FF20334A"/>
        <rFont val="Arial"/>
        <family val="2"/>
        <charset val="1"/>
      </rPr>
      <t xml:space="preserve">12</t>
    </r>
    <r>
      <rPr>
        <sz val="11"/>
        <color rgb="FF20334A"/>
        <rFont val="Noto Sans CJK SC"/>
        <family val="2"/>
        <charset val="1"/>
      </rPr>
      <t xml:space="preserve">任务；未下载</t>
    </r>
    <r>
      <rPr>
        <sz val="11"/>
        <color rgb="FF20334A"/>
        <rFont val="Arial"/>
        <family val="2"/>
        <charset val="1"/>
      </rPr>
      <t xml:space="preserve">PDF</t>
    </r>
    <r>
      <rPr>
        <sz val="11"/>
        <color rgb="FF20334A"/>
        <rFont val="Noto Sans CJK SC"/>
        <family val="2"/>
        <charset val="1"/>
      </rPr>
      <t xml:space="preserve">。</t>
    </r>
    <r>
      <rPr>
        <sz val="11"/>
        <color rgb="FF20334A"/>
        <rFont val="Arial"/>
        <family val="2"/>
        <charset val="1"/>
      </rPr>
      <t xml:space="preserve">SingSaver</t>
    </r>
    <r>
      <rPr>
        <sz val="11"/>
        <color rgb="FF20334A"/>
        <rFont val="Noto Sans CJK SC"/>
        <family val="2"/>
        <charset val="1"/>
      </rPr>
      <t xml:space="preserve">编辑页及页脚自述不证明本目标销售授权。</t>
    </r>
  </si>
  <si>
    <r>
      <rPr>
        <sz val="11"/>
        <color rgb="FF20334A"/>
        <rFont val="Noto Sans CJK SC"/>
        <family val="2"/>
        <charset val="1"/>
      </rPr>
      <t xml:space="preserve">保存的官方公开响应：</t>
    </r>
    <r>
      <rPr>
        <sz val="11"/>
        <color rgb="FF20334A"/>
        <rFont val="Arial"/>
        <family val="2"/>
        <charset val="1"/>
      </rPr>
      <t xml:space="preserve">HTTP 200</t>
    </r>
    <r>
      <rPr>
        <sz val="11"/>
        <color rgb="FF20334A"/>
        <rFont val="Noto Sans CJK SC"/>
        <family val="2"/>
        <charset val="1"/>
      </rPr>
      <t xml:space="preserve">；观测时间</t>
    </r>
    <r>
      <rPr>
        <sz val="11"/>
        <color rgb="FF20334A"/>
        <rFont val="Arial"/>
        <family val="2"/>
        <charset val="1"/>
      </rPr>
      <t xml:space="preserve">2026-10-26T04:53:28.855601+00:00</t>
    </r>
    <r>
      <rPr>
        <sz val="11"/>
        <color rgb="FF20334A"/>
        <rFont val="Noto Sans CJK SC"/>
        <family val="2"/>
        <charset val="1"/>
      </rPr>
      <t xml:space="preserve">。仅</t>
    </r>
    <r>
      <rPr>
        <sz val="11"/>
        <color rgb="FF20334A"/>
        <rFont val="Arial"/>
        <family val="2"/>
        <charset val="1"/>
      </rPr>
      <t xml:space="preserve">294</t>
    </r>
    <r>
      <rPr>
        <sz val="11"/>
        <color rgb="FF20334A"/>
        <rFont val="Noto Sans CJK SC"/>
        <family val="2"/>
        <charset val="1"/>
      </rPr>
      <t xml:space="preserve">身份投影中指定</t>
    </r>
    <r>
      <rPr>
        <sz val="11"/>
        <color rgb="FF20334A"/>
        <rFont val="Arial"/>
        <family val="2"/>
        <charset val="1"/>
      </rPr>
      <t xml:space="preserve">12</t>
    </r>
    <r>
      <rPr>
        <sz val="11"/>
        <color rgb="FF20334A"/>
        <rFont val="Noto Sans CJK SC"/>
        <family val="2"/>
        <charset val="1"/>
      </rPr>
      <t xml:space="preserve">族；不是较窄</t>
    </r>
    <r>
      <rPr>
        <sz val="11"/>
        <color rgb="FF20334A"/>
        <rFont val="Arial"/>
        <family val="2"/>
        <charset val="1"/>
      </rPr>
      <t xml:space="preserve">144</t>
    </r>
    <r>
      <rPr>
        <sz val="11"/>
        <color rgb="FF20334A"/>
        <rFont val="Noto Sans CJK SC"/>
        <family val="2"/>
        <charset val="1"/>
      </rPr>
      <t xml:space="preserve">范围或全市场分母。</t>
    </r>
    <r>
      <rPr>
        <sz val="11"/>
        <color rgb="FF20334A"/>
        <rFont val="Arial"/>
        <family val="2"/>
        <charset val="1"/>
      </rPr>
      <t xml:space="preserve">11</t>
    </r>
    <r>
      <rPr>
        <sz val="11"/>
        <color rgb="FF20334A"/>
        <rFont val="Noto Sans CJK SC"/>
        <family val="2"/>
        <charset val="1"/>
      </rPr>
      <t xml:space="preserve">个唯一官方</t>
    </r>
    <r>
      <rPr>
        <sz val="11"/>
        <color rgb="FF20334A"/>
        <rFont val="Arial"/>
        <family val="2"/>
        <charset val="1"/>
      </rPr>
      <t xml:space="preserve">URL</t>
    </r>
    <r>
      <rPr>
        <sz val="11"/>
        <color rgb="FF20334A"/>
        <rFont val="Noto Sans CJK SC"/>
        <family val="2"/>
        <charset val="1"/>
      </rPr>
      <t xml:space="preserve">对应</t>
    </r>
    <r>
      <rPr>
        <sz val="11"/>
        <color rgb="FF20334A"/>
        <rFont val="Arial"/>
        <family val="2"/>
        <charset val="1"/>
      </rPr>
      <t xml:space="preserve">12</t>
    </r>
    <r>
      <rPr>
        <sz val="11"/>
        <color rgb="FF20334A"/>
        <rFont val="Noto Sans CJK SC"/>
        <family val="2"/>
        <charset val="1"/>
      </rPr>
      <t xml:space="preserve">任务；未下载</t>
    </r>
    <r>
      <rPr>
        <sz val="11"/>
        <color rgb="FF20334A"/>
        <rFont val="Arial"/>
        <family val="2"/>
        <charset val="1"/>
      </rPr>
      <t xml:space="preserve">PDF</t>
    </r>
    <r>
      <rPr>
        <sz val="11"/>
        <color rgb="FF20334A"/>
        <rFont val="Noto Sans CJK SC"/>
        <family val="2"/>
        <charset val="1"/>
      </rPr>
      <t xml:space="preserve">。</t>
    </r>
    <r>
      <rPr>
        <sz val="11"/>
        <color rgb="FF20334A"/>
        <rFont val="Arial"/>
        <family val="2"/>
        <charset val="1"/>
      </rPr>
      <t xml:space="preserve">SingSaver</t>
    </r>
    <r>
      <rPr>
        <sz val="11"/>
        <color rgb="FF20334A"/>
        <rFont val="Noto Sans CJK SC"/>
        <family val="2"/>
        <charset val="1"/>
      </rPr>
      <t xml:space="preserve">编辑页及页脚自述不证明本目标销售授权。</t>
    </r>
  </si>
  <si>
    <r>
      <rPr>
        <sz val="11"/>
        <color rgb="FF20334A"/>
        <rFont val="Noto Sans CJK SC"/>
        <family val="2"/>
        <charset val="1"/>
      </rPr>
      <t xml:space="preserve">保存的官方公开响应：</t>
    </r>
    <r>
      <rPr>
        <sz val="11"/>
        <color rgb="FF20334A"/>
        <rFont val="Arial"/>
        <family val="2"/>
        <charset val="1"/>
      </rPr>
      <t xml:space="preserve">HTTP 200</t>
    </r>
    <r>
      <rPr>
        <sz val="11"/>
        <color rgb="FF20334A"/>
        <rFont val="Noto Sans CJK SC"/>
        <family val="2"/>
        <charset val="1"/>
      </rPr>
      <t xml:space="preserve">；观测时间</t>
    </r>
    <r>
      <rPr>
        <sz val="11"/>
        <color rgb="FF20334A"/>
        <rFont val="Arial"/>
        <family val="2"/>
        <charset val="1"/>
      </rPr>
      <t xml:space="preserve">2026-10-26T04:53:28.856034+00:00</t>
    </r>
    <r>
      <rPr>
        <sz val="11"/>
        <color rgb="FF20334A"/>
        <rFont val="Noto Sans CJK SC"/>
        <family val="2"/>
        <charset val="1"/>
      </rPr>
      <t xml:space="preserve">。仅</t>
    </r>
    <r>
      <rPr>
        <sz val="11"/>
        <color rgb="FF20334A"/>
        <rFont val="Arial"/>
        <family val="2"/>
        <charset val="1"/>
      </rPr>
      <t xml:space="preserve">294</t>
    </r>
    <r>
      <rPr>
        <sz val="11"/>
        <color rgb="FF20334A"/>
        <rFont val="Noto Sans CJK SC"/>
        <family val="2"/>
        <charset val="1"/>
      </rPr>
      <t xml:space="preserve">身份投影中指定</t>
    </r>
    <r>
      <rPr>
        <sz val="11"/>
        <color rgb="FF20334A"/>
        <rFont val="Arial"/>
        <family val="2"/>
        <charset val="1"/>
      </rPr>
      <t xml:space="preserve">12</t>
    </r>
    <r>
      <rPr>
        <sz val="11"/>
        <color rgb="FF20334A"/>
        <rFont val="Noto Sans CJK SC"/>
        <family val="2"/>
        <charset val="1"/>
      </rPr>
      <t xml:space="preserve">族；不是较窄</t>
    </r>
    <r>
      <rPr>
        <sz val="11"/>
        <color rgb="FF20334A"/>
        <rFont val="Arial"/>
        <family val="2"/>
        <charset val="1"/>
      </rPr>
      <t xml:space="preserve">144</t>
    </r>
    <r>
      <rPr>
        <sz val="11"/>
        <color rgb="FF20334A"/>
        <rFont val="Noto Sans CJK SC"/>
        <family val="2"/>
        <charset val="1"/>
      </rPr>
      <t xml:space="preserve">范围或全市场分母。</t>
    </r>
    <r>
      <rPr>
        <sz val="11"/>
        <color rgb="FF20334A"/>
        <rFont val="Arial"/>
        <family val="2"/>
        <charset val="1"/>
      </rPr>
      <t xml:space="preserve">11</t>
    </r>
    <r>
      <rPr>
        <sz val="11"/>
        <color rgb="FF20334A"/>
        <rFont val="Noto Sans CJK SC"/>
        <family val="2"/>
        <charset val="1"/>
      </rPr>
      <t xml:space="preserve">个唯一官方</t>
    </r>
    <r>
      <rPr>
        <sz val="11"/>
        <color rgb="FF20334A"/>
        <rFont val="Arial"/>
        <family val="2"/>
        <charset val="1"/>
      </rPr>
      <t xml:space="preserve">URL</t>
    </r>
    <r>
      <rPr>
        <sz val="11"/>
        <color rgb="FF20334A"/>
        <rFont val="Noto Sans CJK SC"/>
        <family val="2"/>
        <charset val="1"/>
      </rPr>
      <t xml:space="preserve">对应</t>
    </r>
    <r>
      <rPr>
        <sz val="11"/>
        <color rgb="FF20334A"/>
        <rFont val="Arial"/>
        <family val="2"/>
        <charset val="1"/>
      </rPr>
      <t xml:space="preserve">12</t>
    </r>
    <r>
      <rPr>
        <sz val="11"/>
        <color rgb="FF20334A"/>
        <rFont val="Noto Sans CJK SC"/>
        <family val="2"/>
        <charset val="1"/>
      </rPr>
      <t xml:space="preserve">任务；未下载</t>
    </r>
    <r>
      <rPr>
        <sz val="11"/>
        <color rgb="FF20334A"/>
        <rFont val="Arial"/>
        <family val="2"/>
        <charset val="1"/>
      </rPr>
      <t xml:space="preserve">PDF</t>
    </r>
    <r>
      <rPr>
        <sz val="11"/>
        <color rgb="FF20334A"/>
        <rFont val="Noto Sans CJK SC"/>
        <family val="2"/>
        <charset val="1"/>
      </rPr>
      <t xml:space="preserve">。</t>
    </r>
    <r>
      <rPr>
        <sz val="11"/>
        <color rgb="FF20334A"/>
        <rFont val="Arial"/>
        <family val="2"/>
        <charset val="1"/>
      </rPr>
      <t xml:space="preserve">SingSaver</t>
    </r>
    <r>
      <rPr>
        <sz val="11"/>
        <color rgb="FF20334A"/>
        <rFont val="Noto Sans CJK SC"/>
        <family val="2"/>
        <charset val="1"/>
      </rPr>
      <t xml:space="preserve">编辑页及页脚自述不证明本目标销售授权。</t>
    </r>
  </si>
  <si>
    <r>
      <rPr>
        <sz val="11"/>
        <color rgb="FF20334A"/>
        <rFont val="Noto Sans CJK SC"/>
        <family val="2"/>
        <charset val="1"/>
      </rPr>
      <t xml:space="preserve">保存的官方公开响应：</t>
    </r>
    <r>
      <rPr>
        <sz val="11"/>
        <color rgb="FF20334A"/>
        <rFont val="Arial"/>
        <family val="2"/>
        <charset val="1"/>
      </rPr>
      <t xml:space="preserve">HTTP 200</t>
    </r>
    <r>
      <rPr>
        <sz val="11"/>
        <color rgb="FF20334A"/>
        <rFont val="Noto Sans CJK SC"/>
        <family val="2"/>
        <charset val="1"/>
      </rPr>
      <t xml:space="preserve">；观测时间</t>
    </r>
    <r>
      <rPr>
        <sz val="11"/>
        <color rgb="FF20334A"/>
        <rFont val="Arial"/>
        <family val="2"/>
        <charset val="1"/>
      </rPr>
      <t xml:space="preserve">2026-10-26T04:53:28.856581+00:00</t>
    </r>
    <r>
      <rPr>
        <sz val="11"/>
        <color rgb="FF20334A"/>
        <rFont val="Noto Sans CJK SC"/>
        <family val="2"/>
        <charset val="1"/>
      </rPr>
      <t xml:space="preserve">。仅</t>
    </r>
    <r>
      <rPr>
        <sz val="11"/>
        <color rgb="FF20334A"/>
        <rFont val="Arial"/>
        <family val="2"/>
        <charset val="1"/>
      </rPr>
      <t xml:space="preserve">294</t>
    </r>
    <r>
      <rPr>
        <sz val="11"/>
        <color rgb="FF20334A"/>
        <rFont val="Noto Sans CJK SC"/>
        <family val="2"/>
        <charset val="1"/>
      </rPr>
      <t xml:space="preserve">身份投影中指定</t>
    </r>
    <r>
      <rPr>
        <sz val="11"/>
        <color rgb="FF20334A"/>
        <rFont val="Arial"/>
        <family val="2"/>
        <charset val="1"/>
      </rPr>
      <t xml:space="preserve">12</t>
    </r>
    <r>
      <rPr>
        <sz val="11"/>
        <color rgb="FF20334A"/>
        <rFont val="Noto Sans CJK SC"/>
        <family val="2"/>
        <charset val="1"/>
      </rPr>
      <t xml:space="preserve">族；不是较窄</t>
    </r>
    <r>
      <rPr>
        <sz val="11"/>
        <color rgb="FF20334A"/>
        <rFont val="Arial"/>
        <family val="2"/>
        <charset val="1"/>
      </rPr>
      <t xml:space="preserve">144</t>
    </r>
    <r>
      <rPr>
        <sz val="11"/>
        <color rgb="FF20334A"/>
        <rFont val="Noto Sans CJK SC"/>
        <family val="2"/>
        <charset val="1"/>
      </rPr>
      <t xml:space="preserve">范围或全市场分母。</t>
    </r>
    <r>
      <rPr>
        <sz val="11"/>
        <color rgb="FF20334A"/>
        <rFont val="Arial"/>
        <family val="2"/>
        <charset val="1"/>
      </rPr>
      <t xml:space="preserve">11</t>
    </r>
    <r>
      <rPr>
        <sz val="11"/>
        <color rgb="FF20334A"/>
        <rFont val="Noto Sans CJK SC"/>
        <family val="2"/>
        <charset val="1"/>
      </rPr>
      <t xml:space="preserve">个唯一官方</t>
    </r>
    <r>
      <rPr>
        <sz val="11"/>
        <color rgb="FF20334A"/>
        <rFont val="Arial"/>
        <family val="2"/>
        <charset val="1"/>
      </rPr>
      <t xml:space="preserve">URL</t>
    </r>
    <r>
      <rPr>
        <sz val="11"/>
        <color rgb="FF20334A"/>
        <rFont val="Noto Sans CJK SC"/>
        <family val="2"/>
        <charset val="1"/>
      </rPr>
      <t xml:space="preserve">对应</t>
    </r>
    <r>
      <rPr>
        <sz val="11"/>
        <color rgb="FF20334A"/>
        <rFont val="Arial"/>
        <family val="2"/>
        <charset val="1"/>
      </rPr>
      <t xml:space="preserve">12</t>
    </r>
    <r>
      <rPr>
        <sz val="11"/>
        <color rgb="FF20334A"/>
        <rFont val="Noto Sans CJK SC"/>
        <family val="2"/>
        <charset val="1"/>
      </rPr>
      <t xml:space="preserve">任务；未下载</t>
    </r>
    <r>
      <rPr>
        <sz val="11"/>
        <color rgb="FF20334A"/>
        <rFont val="Arial"/>
        <family val="2"/>
        <charset val="1"/>
      </rPr>
      <t xml:space="preserve">PDF</t>
    </r>
    <r>
      <rPr>
        <sz val="11"/>
        <color rgb="FF20334A"/>
        <rFont val="Noto Sans CJK SC"/>
        <family val="2"/>
        <charset val="1"/>
      </rPr>
      <t xml:space="preserve">。</t>
    </r>
    <r>
      <rPr>
        <sz val="11"/>
        <color rgb="FF20334A"/>
        <rFont val="Arial"/>
        <family val="2"/>
        <charset val="1"/>
      </rPr>
      <t xml:space="preserve">SingSaver</t>
    </r>
    <r>
      <rPr>
        <sz val="11"/>
        <color rgb="FF20334A"/>
        <rFont val="Noto Sans CJK SC"/>
        <family val="2"/>
        <charset val="1"/>
      </rPr>
      <t xml:space="preserve">编辑页及页脚自述不证明本目标销售授权。</t>
    </r>
  </si>
  <si>
    <r>
      <rPr>
        <sz val="11"/>
        <color rgb="FF20334A"/>
        <rFont val="Noto Sans CJK SC"/>
        <family val="2"/>
        <charset val="1"/>
      </rPr>
      <t xml:space="preserve">保存的官方公开响应：</t>
    </r>
    <r>
      <rPr>
        <sz val="11"/>
        <color rgb="FF20334A"/>
        <rFont val="Arial"/>
        <family val="2"/>
        <charset val="1"/>
      </rPr>
      <t xml:space="preserve">HTTP 200</t>
    </r>
    <r>
      <rPr>
        <sz val="11"/>
        <color rgb="FF20334A"/>
        <rFont val="Noto Sans CJK SC"/>
        <family val="2"/>
        <charset val="1"/>
      </rPr>
      <t xml:space="preserve">；观测时间</t>
    </r>
    <r>
      <rPr>
        <sz val="11"/>
        <color rgb="FF20334A"/>
        <rFont val="Arial"/>
        <family val="2"/>
        <charset val="1"/>
      </rPr>
      <t xml:space="preserve">2026-10-26T04:53:35.136430+00:00</t>
    </r>
    <r>
      <rPr>
        <sz val="11"/>
        <color rgb="FF20334A"/>
        <rFont val="Noto Sans CJK SC"/>
        <family val="2"/>
        <charset val="1"/>
      </rPr>
      <t xml:space="preserve">。仅</t>
    </r>
    <r>
      <rPr>
        <sz val="11"/>
        <color rgb="FF20334A"/>
        <rFont val="Arial"/>
        <family val="2"/>
        <charset val="1"/>
      </rPr>
      <t xml:space="preserve">294</t>
    </r>
    <r>
      <rPr>
        <sz val="11"/>
        <color rgb="FF20334A"/>
        <rFont val="Noto Sans CJK SC"/>
        <family val="2"/>
        <charset val="1"/>
      </rPr>
      <t xml:space="preserve">身份投影中指定</t>
    </r>
    <r>
      <rPr>
        <sz val="11"/>
        <color rgb="FF20334A"/>
        <rFont val="Arial"/>
        <family val="2"/>
        <charset val="1"/>
      </rPr>
      <t xml:space="preserve">12</t>
    </r>
    <r>
      <rPr>
        <sz val="11"/>
        <color rgb="FF20334A"/>
        <rFont val="Noto Sans CJK SC"/>
        <family val="2"/>
        <charset val="1"/>
      </rPr>
      <t xml:space="preserve">族；不是较窄</t>
    </r>
    <r>
      <rPr>
        <sz val="11"/>
        <color rgb="FF20334A"/>
        <rFont val="Arial"/>
        <family val="2"/>
        <charset val="1"/>
      </rPr>
      <t xml:space="preserve">144</t>
    </r>
    <r>
      <rPr>
        <sz val="11"/>
        <color rgb="FF20334A"/>
        <rFont val="Noto Sans CJK SC"/>
        <family val="2"/>
        <charset val="1"/>
      </rPr>
      <t xml:space="preserve">范围或全市场分母。</t>
    </r>
    <r>
      <rPr>
        <sz val="11"/>
        <color rgb="FF20334A"/>
        <rFont val="Arial"/>
        <family val="2"/>
        <charset val="1"/>
      </rPr>
      <t xml:space="preserve">11</t>
    </r>
    <r>
      <rPr>
        <sz val="11"/>
        <color rgb="FF20334A"/>
        <rFont val="Noto Sans CJK SC"/>
        <family val="2"/>
        <charset val="1"/>
      </rPr>
      <t xml:space="preserve">个唯一官方</t>
    </r>
    <r>
      <rPr>
        <sz val="11"/>
        <color rgb="FF20334A"/>
        <rFont val="Arial"/>
        <family val="2"/>
        <charset val="1"/>
      </rPr>
      <t xml:space="preserve">URL</t>
    </r>
    <r>
      <rPr>
        <sz val="11"/>
        <color rgb="FF20334A"/>
        <rFont val="Noto Sans CJK SC"/>
        <family val="2"/>
        <charset val="1"/>
      </rPr>
      <t xml:space="preserve">对应</t>
    </r>
    <r>
      <rPr>
        <sz val="11"/>
        <color rgb="FF20334A"/>
        <rFont val="Arial"/>
        <family val="2"/>
        <charset val="1"/>
      </rPr>
      <t xml:space="preserve">12</t>
    </r>
    <r>
      <rPr>
        <sz val="11"/>
        <color rgb="FF20334A"/>
        <rFont val="Noto Sans CJK SC"/>
        <family val="2"/>
        <charset val="1"/>
      </rPr>
      <t xml:space="preserve">任务；未下载</t>
    </r>
    <r>
      <rPr>
        <sz val="11"/>
        <color rgb="FF20334A"/>
        <rFont val="Arial"/>
        <family val="2"/>
        <charset val="1"/>
      </rPr>
      <t xml:space="preserve">PDF</t>
    </r>
    <r>
      <rPr>
        <sz val="11"/>
        <color rgb="FF20334A"/>
        <rFont val="Noto Sans CJK SC"/>
        <family val="2"/>
        <charset val="1"/>
      </rPr>
      <t xml:space="preserve">。</t>
    </r>
    <r>
      <rPr>
        <sz val="11"/>
        <color rgb="FF20334A"/>
        <rFont val="Arial"/>
        <family val="2"/>
        <charset val="1"/>
      </rPr>
      <t xml:space="preserve">SingSaver</t>
    </r>
    <r>
      <rPr>
        <sz val="11"/>
        <color rgb="FF20334A"/>
        <rFont val="Noto Sans CJK SC"/>
        <family val="2"/>
        <charset val="1"/>
      </rPr>
      <t xml:space="preserve">编辑页及页脚自述不证明本目标销售授权。</t>
    </r>
  </si>
  <si>
    <r>
      <rPr>
        <sz val="11"/>
        <color rgb="FF20334A"/>
        <rFont val="Noto Sans CJK SC"/>
        <family val="2"/>
        <charset val="1"/>
      </rPr>
      <t xml:space="preserve">保存的官方公开响应：</t>
    </r>
    <r>
      <rPr>
        <sz val="11"/>
        <color rgb="FF20334A"/>
        <rFont val="Arial"/>
        <family val="2"/>
        <charset val="1"/>
      </rPr>
      <t xml:space="preserve">HTTP 200</t>
    </r>
    <r>
      <rPr>
        <sz val="11"/>
        <color rgb="FF20334A"/>
        <rFont val="Noto Sans CJK SC"/>
        <family val="2"/>
        <charset val="1"/>
      </rPr>
      <t xml:space="preserve">；观测时间</t>
    </r>
    <r>
      <rPr>
        <sz val="11"/>
        <color rgb="FF20334A"/>
        <rFont val="Arial"/>
        <family val="2"/>
        <charset val="1"/>
      </rPr>
      <t xml:space="preserve">2026-10-26T04:53:35.164613+00:00</t>
    </r>
    <r>
      <rPr>
        <sz val="11"/>
        <color rgb="FF20334A"/>
        <rFont val="Noto Sans CJK SC"/>
        <family val="2"/>
        <charset val="1"/>
      </rPr>
      <t xml:space="preserve">。仅</t>
    </r>
    <r>
      <rPr>
        <sz val="11"/>
        <color rgb="FF20334A"/>
        <rFont val="Arial"/>
        <family val="2"/>
        <charset val="1"/>
      </rPr>
      <t xml:space="preserve">294</t>
    </r>
    <r>
      <rPr>
        <sz val="11"/>
        <color rgb="FF20334A"/>
        <rFont val="Noto Sans CJK SC"/>
        <family val="2"/>
        <charset val="1"/>
      </rPr>
      <t xml:space="preserve">身份投影中指定</t>
    </r>
    <r>
      <rPr>
        <sz val="11"/>
        <color rgb="FF20334A"/>
        <rFont val="Arial"/>
        <family val="2"/>
        <charset val="1"/>
      </rPr>
      <t xml:space="preserve">12</t>
    </r>
    <r>
      <rPr>
        <sz val="11"/>
        <color rgb="FF20334A"/>
        <rFont val="Noto Sans CJK SC"/>
        <family val="2"/>
        <charset val="1"/>
      </rPr>
      <t xml:space="preserve">族；不是较窄</t>
    </r>
    <r>
      <rPr>
        <sz val="11"/>
        <color rgb="FF20334A"/>
        <rFont val="Arial"/>
        <family val="2"/>
        <charset val="1"/>
      </rPr>
      <t xml:space="preserve">144</t>
    </r>
    <r>
      <rPr>
        <sz val="11"/>
        <color rgb="FF20334A"/>
        <rFont val="Noto Sans CJK SC"/>
        <family val="2"/>
        <charset val="1"/>
      </rPr>
      <t xml:space="preserve">范围或全市场分母。</t>
    </r>
    <r>
      <rPr>
        <sz val="11"/>
        <color rgb="FF20334A"/>
        <rFont val="Arial"/>
        <family val="2"/>
        <charset val="1"/>
      </rPr>
      <t xml:space="preserve">11</t>
    </r>
    <r>
      <rPr>
        <sz val="11"/>
        <color rgb="FF20334A"/>
        <rFont val="Noto Sans CJK SC"/>
        <family val="2"/>
        <charset val="1"/>
      </rPr>
      <t xml:space="preserve">个唯一官方</t>
    </r>
    <r>
      <rPr>
        <sz val="11"/>
        <color rgb="FF20334A"/>
        <rFont val="Arial"/>
        <family val="2"/>
        <charset val="1"/>
      </rPr>
      <t xml:space="preserve">URL</t>
    </r>
    <r>
      <rPr>
        <sz val="11"/>
        <color rgb="FF20334A"/>
        <rFont val="Noto Sans CJK SC"/>
        <family val="2"/>
        <charset val="1"/>
      </rPr>
      <t xml:space="preserve">对应</t>
    </r>
    <r>
      <rPr>
        <sz val="11"/>
        <color rgb="FF20334A"/>
        <rFont val="Arial"/>
        <family val="2"/>
        <charset val="1"/>
      </rPr>
      <t xml:space="preserve">12</t>
    </r>
    <r>
      <rPr>
        <sz val="11"/>
        <color rgb="FF20334A"/>
        <rFont val="Noto Sans CJK SC"/>
        <family val="2"/>
        <charset val="1"/>
      </rPr>
      <t xml:space="preserve">任务；未下载</t>
    </r>
    <r>
      <rPr>
        <sz val="11"/>
        <color rgb="FF20334A"/>
        <rFont val="Arial"/>
        <family val="2"/>
        <charset val="1"/>
      </rPr>
      <t xml:space="preserve">PDF</t>
    </r>
    <r>
      <rPr>
        <sz val="11"/>
        <color rgb="FF20334A"/>
        <rFont val="Noto Sans CJK SC"/>
        <family val="2"/>
        <charset val="1"/>
      </rPr>
      <t xml:space="preserve">。</t>
    </r>
    <r>
      <rPr>
        <sz val="11"/>
        <color rgb="FF20334A"/>
        <rFont val="Arial"/>
        <family val="2"/>
        <charset val="1"/>
      </rPr>
      <t xml:space="preserve">SingSaver</t>
    </r>
    <r>
      <rPr>
        <sz val="11"/>
        <color rgb="FF20334A"/>
        <rFont val="Noto Sans CJK SC"/>
        <family val="2"/>
        <charset val="1"/>
      </rPr>
      <t xml:space="preserve">编辑页及页脚自述不证明本目标销售授权。</t>
    </r>
  </si>
  <si>
    <r>
      <rPr>
        <sz val="11"/>
        <color rgb="FF20334A"/>
        <rFont val="Noto Sans CJK SC"/>
        <family val="2"/>
        <charset val="1"/>
      </rPr>
      <t xml:space="preserve">保存的官方公开响应：</t>
    </r>
    <r>
      <rPr>
        <sz val="11"/>
        <color rgb="FF20334A"/>
        <rFont val="Arial"/>
        <family val="2"/>
        <charset val="1"/>
      </rPr>
      <t xml:space="preserve">HTTP 200</t>
    </r>
    <r>
      <rPr>
        <sz val="11"/>
        <color rgb="FF20334A"/>
        <rFont val="Noto Sans CJK SC"/>
        <family val="2"/>
        <charset val="1"/>
      </rPr>
      <t xml:space="preserve">；观测时间</t>
    </r>
    <r>
      <rPr>
        <sz val="11"/>
        <color rgb="FF20334A"/>
        <rFont val="Arial"/>
        <family val="2"/>
        <charset val="1"/>
      </rPr>
      <t xml:space="preserve">2026-10-26T04:53:35.372514+00:00</t>
    </r>
    <r>
      <rPr>
        <sz val="11"/>
        <color rgb="FF20334A"/>
        <rFont val="Noto Sans CJK SC"/>
        <family val="2"/>
        <charset val="1"/>
      </rPr>
      <t xml:space="preserve">。仅</t>
    </r>
    <r>
      <rPr>
        <sz val="11"/>
        <color rgb="FF20334A"/>
        <rFont val="Arial"/>
        <family val="2"/>
        <charset val="1"/>
      </rPr>
      <t xml:space="preserve">294</t>
    </r>
    <r>
      <rPr>
        <sz val="11"/>
        <color rgb="FF20334A"/>
        <rFont val="Noto Sans CJK SC"/>
        <family val="2"/>
        <charset val="1"/>
      </rPr>
      <t xml:space="preserve">身份投影中指定</t>
    </r>
    <r>
      <rPr>
        <sz val="11"/>
        <color rgb="FF20334A"/>
        <rFont val="Arial"/>
        <family val="2"/>
        <charset val="1"/>
      </rPr>
      <t xml:space="preserve">12</t>
    </r>
    <r>
      <rPr>
        <sz val="11"/>
        <color rgb="FF20334A"/>
        <rFont val="Noto Sans CJK SC"/>
        <family val="2"/>
        <charset val="1"/>
      </rPr>
      <t xml:space="preserve">族；不是较窄</t>
    </r>
    <r>
      <rPr>
        <sz val="11"/>
        <color rgb="FF20334A"/>
        <rFont val="Arial"/>
        <family val="2"/>
        <charset val="1"/>
      </rPr>
      <t xml:space="preserve">144</t>
    </r>
    <r>
      <rPr>
        <sz val="11"/>
        <color rgb="FF20334A"/>
        <rFont val="Noto Sans CJK SC"/>
        <family val="2"/>
        <charset val="1"/>
      </rPr>
      <t xml:space="preserve">范围或全市场分母。</t>
    </r>
    <r>
      <rPr>
        <sz val="11"/>
        <color rgb="FF20334A"/>
        <rFont val="Arial"/>
        <family val="2"/>
        <charset val="1"/>
      </rPr>
      <t xml:space="preserve">11</t>
    </r>
    <r>
      <rPr>
        <sz val="11"/>
        <color rgb="FF20334A"/>
        <rFont val="Noto Sans CJK SC"/>
        <family val="2"/>
        <charset val="1"/>
      </rPr>
      <t xml:space="preserve">个唯一官方</t>
    </r>
    <r>
      <rPr>
        <sz val="11"/>
        <color rgb="FF20334A"/>
        <rFont val="Arial"/>
        <family val="2"/>
        <charset val="1"/>
      </rPr>
      <t xml:space="preserve">URL</t>
    </r>
    <r>
      <rPr>
        <sz val="11"/>
        <color rgb="FF20334A"/>
        <rFont val="Noto Sans CJK SC"/>
        <family val="2"/>
        <charset val="1"/>
      </rPr>
      <t xml:space="preserve">对应</t>
    </r>
    <r>
      <rPr>
        <sz val="11"/>
        <color rgb="FF20334A"/>
        <rFont val="Arial"/>
        <family val="2"/>
        <charset val="1"/>
      </rPr>
      <t xml:space="preserve">12</t>
    </r>
    <r>
      <rPr>
        <sz val="11"/>
        <color rgb="FF20334A"/>
        <rFont val="Noto Sans CJK SC"/>
        <family val="2"/>
        <charset val="1"/>
      </rPr>
      <t xml:space="preserve">任务；未下载</t>
    </r>
    <r>
      <rPr>
        <sz val="11"/>
        <color rgb="FF20334A"/>
        <rFont val="Arial"/>
        <family val="2"/>
        <charset val="1"/>
      </rPr>
      <t xml:space="preserve">PDF</t>
    </r>
    <r>
      <rPr>
        <sz val="11"/>
        <color rgb="FF20334A"/>
        <rFont val="Noto Sans CJK SC"/>
        <family val="2"/>
        <charset val="1"/>
      </rPr>
      <t xml:space="preserve">。</t>
    </r>
    <r>
      <rPr>
        <sz val="11"/>
        <color rgb="FF20334A"/>
        <rFont val="Arial"/>
        <family val="2"/>
        <charset val="1"/>
      </rPr>
      <t xml:space="preserve">SingSaver</t>
    </r>
    <r>
      <rPr>
        <sz val="11"/>
        <color rgb="FF20334A"/>
        <rFont val="Noto Sans CJK SC"/>
        <family val="2"/>
        <charset val="1"/>
      </rPr>
      <t xml:space="preserve">编辑页及页脚自述不证明本目标销售授权。</t>
    </r>
  </si>
  <si>
    <r>
      <rPr>
        <sz val="11"/>
        <color rgb="FF20334A"/>
        <rFont val="Noto Sans CJK SC"/>
        <family val="2"/>
        <charset val="1"/>
      </rPr>
      <t xml:space="preserve">保存的官方公开响应：</t>
    </r>
    <r>
      <rPr>
        <sz val="11"/>
        <color rgb="FF20334A"/>
        <rFont val="Arial"/>
        <family val="2"/>
        <charset val="1"/>
      </rPr>
      <t xml:space="preserve">HTTP 200</t>
    </r>
    <r>
      <rPr>
        <sz val="11"/>
        <color rgb="FF20334A"/>
        <rFont val="Noto Sans CJK SC"/>
        <family val="2"/>
        <charset val="1"/>
      </rPr>
      <t xml:space="preserve">；观测时间</t>
    </r>
    <r>
      <rPr>
        <sz val="11"/>
        <color rgb="FF20334A"/>
        <rFont val="Arial"/>
        <family val="2"/>
        <charset val="1"/>
      </rPr>
      <t xml:space="preserve">2026-10-26T04:53:35.416498+00:00</t>
    </r>
    <r>
      <rPr>
        <sz val="11"/>
        <color rgb="FF20334A"/>
        <rFont val="Noto Sans CJK SC"/>
        <family val="2"/>
        <charset val="1"/>
      </rPr>
      <t xml:space="preserve">。仅</t>
    </r>
    <r>
      <rPr>
        <sz val="11"/>
        <color rgb="FF20334A"/>
        <rFont val="Arial"/>
        <family val="2"/>
        <charset val="1"/>
      </rPr>
      <t xml:space="preserve">294</t>
    </r>
    <r>
      <rPr>
        <sz val="11"/>
        <color rgb="FF20334A"/>
        <rFont val="Noto Sans CJK SC"/>
        <family val="2"/>
        <charset val="1"/>
      </rPr>
      <t xml:space="preserve">身份投影中指定</t>
    </r>
    <r>
      <rPr>
        <sz val="11"/>
        <color rgb="FF20334A"/>
        <rFont val="Arial"/>
        <family val="2"/>
        <charset val="1"/>
      </rPr>
      <t xml:space="preserve">12</t>
    </r>
    <r>
      <rPr>
        <sz val="11"/>
        <color rgb="FF20334A"/>
        <rFont val="Noto Sans CJK SC"/>
        <family val="2"/>
        <charset val="1"/>
      </rPr>
      <t xml:space="preserve">族；不是较窄</t>
    </r>
    <r>
      <rPr>
        <sz val="11"/>
        <color rgb="FF20334A"/>
        <rFont val="Arial"/>
        <family val="2"/>
        <charset val="1"/>
      </rPr>
      <t xml:space="preserve">144</t>
    </r>
    <r>
      <rPr>
        <sz val="11"/>
        <color rgb="FF20334A"/>
        <rFont val="Noto Sans CJK SC"/>
        <family val="2"/>
        <charset val="1"/>
      </rPr>
      <t xml:space="preserve">范围或全市场分母。</t>
    </r>
    <r>
      <rPr>
        <sz val="11"/>
        <color rgb="FF20334A"/>
        <rFont val="Arial"/>
        <family val="2"/>
        <charset val="1"/>
      </rPr>
      <t xml:space="preserve">11</t>
    </r>
    <r>
      <rPr>
        <sz val="11"/>
        <color rgb="FF20334A"/>
        <rFont val="Noto Sans CJK SC"/>
        <family val="2"/>
        <charset val="1"/>
      </rPr>
      <t xml:space="preserve">个唯一官方</t>
    </r>
    <r>
      <rPr>
        <sz val="11"/>
        <color rgb="FF20334A"/>
        <rFont val="Arial"/>
        <family val="2"/>
        <charset val="1"/>
      </rPr>
      <t xml:space="preserve">URL</t>
    </r>
    <r>
      <rPr>
        <sz val="11"/>
        <color rgb="FF20334A"/>
        <rFont val="Noto Sans CJK SC"/>
        <family val="2"/>
        <charset val="1"/>
      </rPr>
      <t xml:space="preserve">对应</t>
    </r>
    <r>
      <rPr>
        <sz val="11"/>
        <color rgb="FF20334A"/>
        <rFont val="Arial"/>
        <family val="2"/>
        <charset val="1"/>
      </rPr>
      <t xml:space="preserve">12</t>
    </r>
    <r>
      <rPr>
        <sz val="11"/>
        <color rgb="FF20334A"/>
        <rFont val="Noto Sans CJK SC"/>
        <family val="2"/>
        <charset val="1"/>
      </rPr>
      <t xml:space="preserve">任务；未下载</t>
    </r>
    <r>
      <rPr>
        <sz val="11"/>
        <color rgb="FF20334A"/>
        <rFont val="Arial"/>
        <family val="2"/>
        <charset val="1"/>
      </rPr>
      <t xml:space="preserve">PDF</t>
    </r>
    <r>
      <rPr>
        <sz val="11"/>
        <color rgb="FF20334A"/>
        <rFont val="Noto Sans CJK SC"/>
        <family val="2"/>
        <charset val="1"/>
      </rPr>
      <t xml:space="preserve">。</t>
    </r>
    <r>
      <rPr>
        <sz val="11"/>
        <color rgb="FF20334A"/>
        <rFont val="Arial"/>
        <family val="2"/>
        <charset val="1"/>
      </rPr>
      <t xml:space="preserve">SingSaver</t>
    </r>
    <r>
      <rPr>
        <sz val="11"/>
        <color rgb="FF20334A"/>
        <rFont val="Noto Sans CJK SC"/>
        <family val="2"/>
        <charset val="1"/>
      </rPr>
      <t xml:space="preserve">编辑页及页脚自述不证明本目标销售授权。</t>
    </r>
  </si>
  <si>
    <r>
      <rPr>
        <sz val="11"/>
        <color rgb="FF20334A"/>
        <rFont val="Noto Sans CJK SC"/>
        <family val="2"/>
        <charset val="1"/>
      </rPr>
      <t xml:space="preserve">保存的官方公开响应：</t>
    </r>
    <r>
      <rPr>
        <sz val="11"/>
        <color rgb="FF20334A"/>
        <rFont val="Arial"/>
        <family val="2"/>
        <charset val="1"/>
      </rPr>
      <t xml:space="preserve">HTTP 200</t>
    </r>
    <r>
      <rPr>
        <sz val="11"/>
        <color rgb="FF20334A"/>
        <rFont val="Noto Sans CJK SC"/>
        <family val="2"/>
        <charset val="1"/>
      </rPr>
      <t xml:space="preserve">；观测时间</t>
    </r>
    <r>
      <rPr>
        <sz val="11"/>
        <color rgb="FF20334A"/>
        <rFont val="Arial"/>
        <family val="2"/>
        <charset val="1"/>
      </rPr>
      <t xml:space="preserve">2026-10-26T04:53:39.520944+00:00</t>
    </r>
    <r>
      <rPr>
        <sz val="11"/>
        <color rgb="FF20334A"/>
        <rFont val="Noto Sans CJK SC"/>
        <family val="2"/>
        <charset val="1"/>
      </rPr>
      <t xml:space="preserve">。仅</t>
    </r>
    <r>
      <rPr>
        <sz val="11"/>
        <color rgb="FF20334A"/>
        <rFont val="Arial"/>
        <family val="2"/>
        <charset val="1"/>
      </rPr>
      <t xml:space="preserve">294</t>
    </r>
    <r>
      <rPr>
        <sz val="11"/>
        <color rgb="FF20334A"/>
        <rFont val="Noto Sans CJK SC"/>
        <family val="2"/>
        <charset val="1"/>
      </rPr>
      <t xml:space="preserve">身份投影中指定</t>
    </r>
    <r>
      <rPr>
        <sz val="11"/>
        <color rgb="FF20334A"/>
        <rFont val="Arial"/>
        <family val="2"/>
        <charset val="1"/>
      </rPr>
      <t xml:space="preserve">12</t>
    </r>
    <r>
      <rPr>
        <sz val="11"/>
        <color rgb="FF20334A"/>
        <rFont val="Noto Sans CJK SC"/>
        <family val="2"/>
        <charset val="1"/>
      </rPr>
      <t xml:space="preserve">族；不是较窄</t>
    </r>
    <r>
      <rPr>
        <sz val="11"/>
        <color rgb="FF20334A"/>
        <rFont val="Arial"/>
        <family val="2"/>
        <charset val="1"/>
      </rPr>
      <t xml:space="preserve">144</t>
    </r>
    <r>
      <rPr>
        <sz val="11"/>
        <color rgb="FF20334A"/>
        <rFont val="Noto Sans CJK SC"/>
        <family val="2"/>
        <charset val="1"/>
      </rPr>
      <t xml:space="preserve">范围或全市场分母。</t>
    </r>
    <r>
      <rPr>
        <sz val="11"/>
        <color rgb="FF20334A"/>
        <rFont val="Arial"/>
        <family val="2"/>
        <charset val="1"/>
      </rPr>
      <t xml:space="preserve">11</t>
    </r>
    <r>
      <rPr>
        <sz val="11"/>
        <color rgb="FF20334A"/>
        <rFont val="Noto Sans CJK SC"/>
        <family val="2"/>
        <charset val="1"/>
      </rPr>
      <t xml:space="preserve">个唯一官方</t>
    </r>
    <r>
      <rPr>
        <sz val="11"/>
        <color rgb="FF20334A"/>
        <rFont val="Arial"/>
        <family val="2"/>
        <charset val="1"/>
      </rPr>
      <t xml:space="preserve">URL</t>
    </r>
    <r>
      <rPr>
        <sz val="11"/>
        <color rgb="FF20334A"/>
        <rFont val="Noto Sans CJK SC"/>
        <family val="2"/>
        <charset val="1"/>
      </rPr>
      <t xml:space="preserve">对应</t>
    </r>
    <r>
      <rPr>
        <sz val="11"/>
        <color rgb="FF20334A"/>
        <rFont val="Arial"/>
        <family val="2"/>
        <charset val="1"/>
      </rPr>
      <t xml:space="preserve">12</t>
    </r>
    <r>
      <rPr>
        <sz val="11"/>
        <color rgb="FF20334A"/>
        <rFont val="Noto Sans CJK SC"/>
        <family val="2"/>
        <charset val="1"/>
      </rPr>
      <t xml:space="preserve">任务；未下载</t>
    </r>
    <r>
      <rPr>
        <sz val="11"/>
        <color rgb="FF20334A"/>
        <rFont val="Arial"/>
        <family val="2"/>
        <charset val="1"/>
      </rPr>
      <t xml:space="preserve">PDF</t>
    </r>
    <r>
      <rPr>
        <sz val="11"/>
        <color rgb="FF20334A"/>
        <rFont val="Noto Sans CJK SC"/>
        <family val="2"/>
        <charset val="1"/>
      </rPr>
      <t xml:space="preserve">。</t>
    </r>
    <r>
      <rPr>
        <sz val="11"/>
        <color rgb="FF20334A"/>
        <rFont val="Arial"/>
        <family val="2"/>
        <charset val="1"/>
      </rPr>
      <t xml:space="preserve">SingSaver</t>
    </r>
    <r>
      <rPr>
        <sz val="11"/>
        <color rgb="FF20334A"/>
        <rFont val="Noto Sans CJK SC"/>
        <family val="2"/>
        <charset val="1"/>
      </rPr>
      <t xml:space="preserve">编辑页及页脚自述不证明本目标销售授权。</t>
    </r>
  </si>
  <si>
    <r>
      <rPr>
        <sz val="11"/>
        <color rgb="FF20334A"/>
        <rFont val="Noto Sans CJK SC"/>
        <family val="2"/>
        <charset val="1"/>
      </rPr>
      <t xml:space="preserve">保存的官方公开响应：</t>
    </r>
    <r>
      <rPr>
        <sz val="11"/>
        <color rgb="FF20334A"/>
        <rFont val="Arial"/>
        <family val="2"/>
        <charset val="1"/>
      </rPr>
      <t xml:space="preserve">HTTP 200</t>
    </r>
    <r>
      <rPr>
        <sz val="11"/>
        <color rgb="FF20334A"/>
        <rFont val="Noto Sans CJK SC"/>
        <family val="2"/>
        <charset val="1"/>
      </rPr>
      <t xml:space="preserve">；观测时间</t>
    </r>
    <r>
      <rPr>
        <sz val="11"/>
        <color rgb="FF20334A"/>
        <rFont val="Arial"/>
        <family val="2"/>
        <charset val="1"/>
      </rPr>
      <t xml:space="preserve">2026-10-26T04:53:42.229925+00:00</t>
    </r>
    <r>
      <rPr>
        <sz val="11"/>
        <color rgb="FF20334A"/>
        <rFont val="Noto Sans CJK SC"/>
        <family val="2"/>
        <charset val="1"/>
      </rPr>
      <t xml:space="preserve">。仅</t>
    </r>
    <r>
      <rPr>
        <sz val="11"/>
        <color rgb="FF20334A"/>
        <rFont val="Arial"/>
        <family val="2"/>
        <charset val="1"/>
      </rPr>
      <t xml:space="preserve">294</t>
    </r>
    <r>
      <rPr>
        <sz val="11"/>
        <color rgb="FF20334A"/>
        <rFont val="Noto Sans CJK SC"/>
        <family val="2"/>
        <charset val="1"/>
      </rPr>
      <t xml:space="preserve">身份投影中指定</t>
    </r>
    <r>
      <rPr>
        <sz val="11"/>
        <color rgb="FF20334A"/>
        <rFont val="Arial"/>
        <family val="2"/>
        <charset val="1"/>
      </rPr>
      <t xml:space="preserve">12</t>
    </r>
    <r>
      <rPr>
        <sz val="11"/>
        <color rgb="FF20334A"/>
        <rFont val="Noto Sans CJK SC"/>
        <family val="2"/>
        <charset val="1"/>
      </rPr>
      <t xml:space="preserve">族；不是较窄</t>
    </r>
    <r>
      <rPr>
        <sz val="11"/>
        <color rgb="FF20334A"/>
        <rFont val="Arial"/>
        <family val="2"/>
        <charset val="1"/>
      </rPr>
      <t xml:space="preserve">144</t>
    </r>
    <r>
      <rPr>
        <sz val="11"/>
        <color rgb="FF20334A"/>
        <rFont val="Noto Sans CJK SC"/>
        <family val="2"/>
        <charset val="1"/>
      </rPr>
      <t xml:space="preserve">范围或全市场分母。</t>
    </r>
    <r>
      <rPr>
        <sz val="11"/>
        <color rgb="FF20334A"/>
        <rFont val="Arial"/>
        <family val="2"/>
        <charset val="1"/>
      </rPr>
      <t xml:space="preserve">11</t>
    </r>
    <r>
      <rPr>
        <sz val="11"/>
        <color rgb="FF20334A"/>
        <rFont val="Noto Sans CJK SC"/>
        <family val="2"/>
        <charset val="1"/>
      </rPr>
      <t xml:space="preserve">个唯一官方</t>
    </r>
    <r>
      <rPr>
        <sz val="11"/>
        <color rgb="FF20334A"/>
        <rFont val="Arial"/>
        <family val="2"/>
        <charset val="1"/>
      </rPr>
      <t xml:space="preserve">URL</t>
    </r>
    <r>
      <rPr>
        <sz val="11"/>
        <color rgb="FF20334A"/>
        <rFont val="Noto Sans CJK SC"/>
        <family val="2"/>
        <charset val="1"/>
      </rPr>
      <t xml:space="preserve">对应</t>
    </r>
    <r>
      <rPr>
        <sz val="11"/>
        <color rgb="FF20334A"/>
        <rFont val="Arial"/>
        <family val="2"/>
        <charset val="1"/>
      </rPr>
      <t xml:space="preserve">12</t>
    </r>
    <r>
      <rPr>
        <sz val="11"/>
        <color rgb="FF20334A"/>
        <rFont val="Noto Sans CJK SC"/>
        <family val="2"/>
        <charset val="1"/>
      </rPr>
      <t xml:space="preserve">任务；未下载</t>
    </r>
    <r>
      <rPr>
        <sz val="11"/>
        <color rgb="FF20334A"/>
        <rFont val="Arial"/>
        <family val="2"/>
        <charset val="1"/>
      </rPr>
      <t xml:space="preserve">PDF</t>
    </r>
    <r>
      <rPr>
        <sz val="11"/>
        <color rgb="FF20334A"/>
        <rFont val="Noto Sans CJK SC"/>
        <family val="2"/>
        <charset val="1"/>
      </rPr>
      <t xml:space="preserve">。</t>
    </r>
    <r>
      <rPr>
        <sz val="11"/>
        <color rgb="FF20334A"/>
        <rFont val="Arial"/>
        <family val="2"/>
        <charset val="1"/>
      </rPr>
      <t xml:space="preserve">SingSaver</t>
    </r>
    <r>
      <rPr>
        <sz val="11"/>
        <color rgb="FF20334A"/>
        <rFont val="Noto Sans CJK SC"/>
        <family val="2"/>
        <charset val="1"/>
      </rPr>
      <t xml:space="preserve">编辑页及页脚自述不证明本目标销售授权。</t>
    </r>
  </si>
  <si>
    <r>
      <rPr>
        <sz val="11"/>
        <color rgb="FF20334A"/>
        <rFont val="Noto Sans CJK SC"/>
        <family val="2"/>
        <charset val="1"/>
      </rPr>
      <t xml:space="preserve">保存的官方公开响应：</t>
    </r>
    <r>
      <rPr>
        <sz val="11"/>
        <color rgb="FF20334A"/>
        <rFont val="Arial"/>
        <family val="2"/>
        <charset val="1"/>
      </rPr>
      <t xml:space="preserve">HTTP 200</t>
    </r>
    <r>
      <rPr>
        <sz val="11"/>
        <color rgb="FF20334A"/>
        <rFont val="Noto Sans CJK SC"/>
        <family val="2"/>
        <charset val="1"/>
      </rPr>
      <t xml:space="preserve">；观测时间</t>
    </r>
    <r>
      <rPr>
        <sz val="11"/>
        <color rgb="FF20334A"/>
        <rFont val="Arial"/>
        <family val="2"/>
        <charset val="1"/>
      </rPr>
      <t xml:space="preserve">2026-10-26T04:53:42.330335+00:00</t>
    </r>
    <r>
      <rPr>
        <sz val="11"/>
        <color rgb="FF20334A"/>
        <rFont val="Noto Sans CJK SC"/>
        <family val="2"/>
        <charset val="1"/>
      </rPr>
      <t xml:space="preserve">。仅</t>
    </r>
    <r>
      <rPr>
        <sz val="11"/>
        <color rgb="FF20334A"/>
        <rFont val="Arial"/>
        <family val="2"/>
        <charset val="1"/>
      </rPr>
      <t xml:space="preserve">294</t>
    </r>
    <r>
      <rPr>
        <sz val="11"/>
        <color rgb="FF20334A"/>
        <rFont val="Noto Sans CJK SC"/>
        <family val="2"/>
        <charset val="1"/>
      </rPr>
      <t xml:space="preserve">身份投影中指定</t>
    </r>
    <r>
      <rPr>
        <sz val="11"/>
        <color rgb="FF20334A"/>
        <rFont val="Arial"/>
        <family val="2"/>
        <charset val="1"/>
      </rPr>
      <t xml:space="preserve">12</t>
    </r>
    <r>
      <rPr>
        <sz val="11"/>
        <color rgb="FF20334A"/>
        <rFont val="Noto Sans CJK SC"/>
        <family val="2"/>
        <charset val="1"/>
      </rPr>
      <t xml:space="preserve">族；不是较窄</t>
    </r>
    <r>
      <rPr>
        <sz val="11"/>
        <color rgb="FF20334A"/>
        <rFont val="Arial"/>
        <family val="2"/>
        <charset val="1"/>
      </rPr>
      <t xml:space="preserve">144</t>
    </r>
    <r>
      <rPr>
        <sz val="11"/>
        <color rgb="FF20334A"/>
        <rFont val="Noto Sans CJK SC"/>
        <family val="2"/>
        <charset val="1"/>
      </rPr>
      <t xml:space="preserve">范围或全市场分母。</t>
    </r>
    <r>
      <rPr>
        <sz val="11"/>
        <color rgb="FF20334A"/>
        <rFont val="Arial"/>
        <family val="2"/>
        <charset val="1"/>
      </rPr>
      <t xml:space="preserve">11</t>
    </r>
    <r>
      <rPr>
        <sz val="11"/>
        <color rgb="FF20334A"/>
        <rFont val="Noto Sans CJK SC"/>
        <family val="2"/>
        <charset val="1"/>
      </rPr>
      <t xml:space="preserve">个唯一官方</t>
    </r>
    <r>
      <rPr>
        <sz val="11"/>
        <color rgb="FF20334A"/>
        <rFont val="Arial"/>
        <family val="2"/>
        <charset val="1"/>
      </rPr>
      <t xml:space="preserve">URL</t>
    </r>
    <r>
      <rPr>
        <sz val="11"/>
        <color rgb="FF20334A"/>
        <rFont val="Noto Sans CJK SC"/>
        <family val="2"/>
        <charset val="1"/>
      </rPr>
      <t xml:space="preserve">对应</t>
    </r>
    <r>
      <rPr>
        <sz val="11"/>
        <color rgb="FF20334A"/>
        <rFont val="Arial"/>
        <family val="2"/>
        <charset val="1"/>
      </rPr>
      <t xml:space="preserve">12</t>
    </r>
    <r>
      <rPr>
        <sz val="11"/>
        <color rgb="FF20334A"/>
        <rFont val="Noto Sans CJK SC"/>
        <family val="2"/>
        <charset val="1"/>
      </rPr>
      <t xml:space="preserve">任务；未下载</t>
    </r>
    <r>
      <rPr>
        <sz val="11"/>
        <color rgb="FF20334A"/>
        <rFont val="Arial"/>
        <family val="2"/>
        <charset val="1"/>
      </rPr>
      <t xml:space="preserve">PDF</t>
    </r>
    <r>
      <rPr>
        <sz val="11"/>
        <color rgb="FF20334A"/>
        <rFont val="Noto Sans CJK SC"/>
        <family val="2"/>
        <charset val="1"/>
      </rPr>
      <t xml:space="preserve">。</t>
    </r>
    <r>
      <rPr>
        <sz val="11"/>
        <color rgb="FF20334A"/>
        <rFont val="Arial"/>
        <family val="2"/>
        <charset val="1"/>
      </rPr>
      <t xml:space="preserve">SingSaver</t>
    </r>
    <r>
      <rPr>
        <sz val="11"/>
        <color rgb="FF20334A"/>
        <rFont val="Noto Sans CJK SC"/>
        <family val="2"/>
        <charset val="1"/>
      </rPr>
      <t xml:space="preserve">编辑页及页脚自述不证明本目标销售授权。</t>
    </r>
  </si>
  <si>
    <t xml:space="preserve">既存官方原件／历史来源</t>
  </si>
  <si>
    <r>
      <rPr>
        <sz val="11"/>
        <color rgb="FF20334A"/>
        <rFont val="Noto Sans CJK SC"/>
        <family val="2"/>
        <charset val="1"/>
      </rPr>
      <t xml:space="preserve">历史取得／核验日期沿用原记录；本批未联网重取。全文仅指确切</t>
    </r>
    <r>
      <rPr>
        <sz val="11"/>
        <color rgb="FF20334A"/>
        <rFont val="Arial"/>
        <family val="2"/>
        <charset val="1"/>
      </rPr>
      <t xml:space="preserve">SHA</t>
    </r>
    <r>
      <rPr>
        <sz val="11"/>
        <color rgb="FF20334A"/>
        <rFont val="Noto Sans CJK SC"/>
        <family val="2"/>
        <charset val="1"/>
      </rPr>
      <t xml:space="preserve">现存全部页面。文件角色、严格状态、当前采用／现售、通用公开合同包和个人齐套独立判断。</t>
    </r>
  </si>
  <si>
    <t xml:space="preserve">CL383 / 01/01/2009 (printed clause edition)</t>
  </si>
  <si>
    <t xml:space="preserve">CL.254 / 1/1/82 (printed clause edition)</t>
  </si>
  <si>
    <t xml:space="preserve">CL382 / 01/01/2009 (printed clause edition)</t>
  </si>
  <si>
    <t xml:space="preserve">CL.280 / 1/10/83 (printed clause edition)</t>
  </si>
  <si>
    <t xml:space="preserve">CL.285 / 1/10/83 (printed clause edition)</t>
  </si>
  <si>
    <t xml:space="preserve">限定公开来源证据</t>
  </si>
  <si>
    <r>
      <rPr>
        <sz val="11"/>
        <color rgb="FF20334A"/>
        <rFont val="Noto Sans CJK SC"/>
        <family val="2"/>
        <charset val="1"/>
      </rPr>
      <t xml:space="preserve">「樂怡人生」保障計劃 </t>
    </r>
    <r>
      <rPr>
        <sz val="11"/>
        <color rgb="FF20334A"/>
        <rFont val="Arial"/>
        <family val="0"/>
        <charset val="1"/>
      </rPr>
      <t xml:space="preserve">/</t>
    </r>
    <r>
      <rPr>
        <sz val="11"/>
        <color rgb="FF20334A"/>
        <rFont val="Noto Sans CJK SC"/>
        <family val="2"/>
        <charset val="1"/>
      </rPr>
      <t xml:space="preserve">「樂怡人生」保障計劃 </t>
    </r>
    <r>
      <rPr>
        <sz val="11"/>
        <color rgb="FF20334A"/>
        <rFont val="Arial"/>
        <family val="0"/>
        <charset val="1"/>
      </rPr>
      <t xml:space="preserve">(</t>
    </r>
    <r>
      <rPr>
        <sz val="11"/>
        <color rgb="FF20334A"/>
        <rFont val="Noto Sans CJK SC"/>
        <family val="2"/>
        <charset val="1"/>
      </rPr>
      <t xml:space="preserve">週年紅利</t>
    </r>
    <r>
      <rPr>
        <sz val="11"/>
        <color rgb="FF20334A"/>
        <rFont val="Arial"/>
        <family val="0"/>
        <charset val="1"/>
      </rPr>
      <t xml:space="preserve">)</t>
    </r>
  </si>
  <si>
    <r>
      <rPr>
        <sz val="11"/>
        <color rgb="FF20334A"/>
        <rFont val="Noto Sans CJK SC"/>
        <family val="2"/>
        <charset val="1"/>
      </rPr>
      <t xml:space="preserve">访问日期和时点按保存证据；未记录的</t>
    </r>
    <r>
      <rPr>
        <sz val="11"/>
        <color rgb="FF20334A"/>
        <rFont val="Arial"/>
        <family val="2"/>
        <charset val="1"/>
      </rPr>
      <t xml:space="preserve">HTTP</t>
    </r>
    <r>
      <rPr>
        <sz val="11"/>
        <color rgb="FF20334A"/>
        <rFont val="Noto Sans CJK SC"/>
        <family val="2"/>
        <charset val="1"/>
      </rPr>
      <t xml:space="preserve">／时刻不推断。仅保存的路线／响应证据，不证明全网不存在、当前采用或现售；不同缴费版本不互换。</t>
    </r>
  </si>
  <si>
    <r>
      <rPr>
        <sz val="11"/>
        <color rgb="FF20334A"/>
        <rFont val="Noto Sans CJK SC"/>
        <family val="2"/>
        <charset val="1"/>
      </rPr>
      <t xml:space="preserve">愛無憂長享儲蓄保險計劃</t>
    </r>
    <r>
      <rPr>
        <sz val="11"/>
        <color rgb="FF20334A"/>
        <rFont val="Arial"/>
        <family val="0"/>
        <charset val="1"/>
      </rPr>
      <t xml:space="preserve">5</t>
    </r>
  </si>
  <si>
    <r>
      <rPr>
        <sz val="11"/>
        <color rgb="FF20334A"/>
        <rFont val="Noto Sans CJK SC"/>
        <family val="2"/>
        <charset val="1"/>
      </rPr>
      <t xml:space="preserve">「諾享」儲蓄保險計劃</t>
    </r>
    <r>
      <rPr>
        <sz val="11"/>
        <color rgb="FF20334A"/>
        <rFont val="Arial"/>
        <family val="0"/>
        <charset val="1"/>
      </rPr>
      <t xml:space="preserve">2</t>
    </r>
  </si>
  <si>
    <r>
      <rPr>
        <sz val="11"/>
        <color rgb="FF20334A"/>
        <rFont val="Noto Sans CJK SC"/>
        <family val="2"/>
        <charset val="1"/>
      </rPr>
      <t xml:space="preserve">「裕滿人生」保險計劃</t>
    </r>
    <r>
      <rPr>
        <sz val="11"/>
        <color rgb="FF20334A"/>
        <rFont val="Arial"/>
        <family val="0"/>
        <charset val="1"/>
      </rPr>
      <t xml:space="preserve">2</t>
    </r>
  </si>
  <si>
    <r>
      <rPr>
        <sz val="11"/>
        <color rgb="FF20334A"/>
        <rFont val="Noto Sans CJK SC"/>
        <family val="2"/>
        <charset val="1"/>
      </rPr>
      <t xml:space="preserve">豐收樂享保險計劃（整付保費，</t>
    </r>
    <r>
      <rPr>
        <sz val="11"/>
        <color rgb="FF20334A"/>
        <rFont val="Arial"/>
        <family val="0"/>
        <charset val="1"/>
      </rPr>
      <t xml:space="preserve">3</t>
    </r>
    <r>
      <rPr>
        <sz val="11"/>
        <color rgb="FF20334A"/>
        <rFont val="Noto Sans CJK SC"/>
        <family val="2"/>
        <charset val="1"/>
      </rPr>
      <t xml:space="preserve">年期滿）</t>
    </r>
  </si>
  <si>
    <r>
      <rPr>
        <sz val="11"/>
        <color rgb="FF20334A"/>
        <rFont val="Noto Sans CJK SC"/>
        <family val="2"/>
        <charset val="1"/>
      </rPr>
      <t xml:space="preserve">访问日期和时点按保存证据；未记录的</t>
    </r>
    <r>
      <rPr>
        <sz val="11"/>
        <color rgb="FF20334A"/>
        <rFont val="Arial"/>
        <family val="2"/>
        <charset val="1"/>
      </rPr>
      <t xml:space="preserve">HTTP</t>
    </r>
    <r>
      <rPr>
        <sz val="11"/>
        <color rgb="FF20334A"/>
        <rFont val="Noto Sans CJK SC"/>
        <family val="2"/>
        <charset val="1"/>
      </rPr>
      <t xml:space="preserve">／时刻不推断。仅一条未归一化变体线索；不是额外独立产品。</t>
    </r>
    <r>
      <rPr>
        <sz val="11"/>
        <color rgb="FF20334A"/>
        <rFont val="Arial"/>
        <family val="2"/>
        <charset val="1"/>
      </rPr>
      <t xml:space="preserve">403</t>
    </r>
    <r>
      <rPr>
        <sz val="11"/>
        <color rgb="FF20334A"/>
        <rFont val="Noto Sans CJK SC"/>
        <family val="2"/>
        <charset val="1"/>
      </rPr>
      <t xml:space="preserve">来源层未定，未换渠道绕过。</t>
    </r>
  </si>
  <si>
    <r>
      <rPr>
        <sz val="11"/>
        <color rgb="FF20334A"/>
        <rFont val="Noto Sans CJK SC"/>
        <family val="2"/>
        <charset val="1"/>
      </rPr>
      <t xml:space="preserve">历史取得／核验日期沿用原记录；本批未联网重取。非合同信息支持；</t>
    </r>
    <r>
      <rPr>
        <sz val="11"/>
        <color rgb="FF20334A"/>
        <rFont val="Arial"/>
        <family val="2"/>
        <charset val="1"/>
      </rPr>
      <t xml:space="preserve">4</t>
    </r>
    <r>
      <rPr>
        <sz val="11"/>
        <color rgb="FF20334A"/>
        <rFont val="Noto Sans CJK SC"/>
        <family val="2"/>
        <charset val="1"/>
      </rPr>
      <t xml:space="preserve">份全审不升主文。</t>
    </r>
    <r>
      <rPr>
        <sz val="11"/>
        <color rgb="FF20334A"/>
        <rFont val="Arial"/>
        <family val="2"/>
        <charset val="1"/>
      </rPr>
      <t xml:space="preserve">1</t>
    </r>
    <r>
      <rPr>
        <sz val="11"/>
        <color rgb="FF20334A"/>
        <rFont val="Noto Sans CJK SC"/>
        <family val="2"/>
        <charset val="1"/>
      </rPr>
      <t xml:space="preserve">项历史解释关联与</t>
    </r>
    <r>
      <rPr>
        <sz val="11"/>
        <color rgb="FF20334A"/>
        <rFont val="Arial"/>
        <family val="2"/>
        <charset val="1"/>
      </rPr>
      <t xml:space="preserve">3</t>
    </r>
    <r>
      <rPr>
        <sz val="11"/>
        <color rgb="FF20334A"/>
        <rFont val="Noto Sans CJK SC"/>
        <family val="2"/>
        <charset val="1"/>
      </rPr>
      <t xml:space="preserve">项未定候选分开；不认定合同并入、同版或当前采用。</t>
    </r>
  </si>
  <si>
    <r>
      <rPr>
        <sz val="11"/>
        <color rgb="FF20334A"/>
        <rFont val="Noto Sans CJK SC"/>
        <family val="2"/>
        <charset val="1"/>
      </rPr>
      <t xml:space="preserve">访问日期和时点按保存证据；未记录的</t>
    </r>
    <r>
      <rPr>
        <sz val="11"/>
        <color rgb="FF20334A"/>
        <rFont val="Arial"/>
        <family val="2"/>
        <charset val="1"/>
      </rPr>
      <t xml:space="preserve">HTTP</t>
    </r>
    <r>
      <rPr>
        <sz val="11"/>
        <color rgb="FF20334A"/>
        <rFont val="Noto Sans CJK SC"/>
        <family val="2"/>
        <charset val="1"/>
      </rPr>
      <t xml:space="preserve">／时刻不推断。未保存响应正文及正文哈希。浏览器说明为转录／重建，无原始轨迹可独立回放；不是视觉</t>
    </r>
    <r>
      <rPr>
        <sz val="11"/>
        <color rgb="FF20334A"/>
        <rFont val="Arial"/>
        <family val="2"/>
        <charset val="1"/>
      </rPr>
      <t xml:space="preserve">QA</t>
    </r>
    <r>
      <rPr>
        <sz val="11"/>
        <color rgb="FF20334A"/>
        <rFont val="Noto Sans CJK SC"/>
        <family val="2"/>
        <charset val="1"/>
      </rPr>
      <t xml:space="preserve">或穷尽证明。</t>
    </r>
  </si>
  <si>
    <r>
      <rPr>
        <sz val="11"/>
        <color rgb="FF20334A"/>
        <rFont val="Noto Sans CJK SC"/>
        <family val="2"/>
        <charset val="1"/>
      </rPr>
      <t xml:space="preserve">访问日期和时点按保存证据；未记录的</t>
    </r>
    <r>
      <rPr>
        <sz val="11"/>
        <color rgb="FF20334A"/>
        <rFont val="Arial"/>
        <family val="2"/>
        <charset val="1"/>
      </rPr>
      <t xml:space="preserve">HTTP</t>
    </r>
    <r>
      <rPr>
        <sz val="11"/>
        <color rgb="FF20334A"/>
        <rFont val="Noto Sans CJK SC"/>
        <family val="2"/>
        <charset val="1"/>
      </rPr>
      <t xml:space="preserve">／时刻不推断。保存的是工具元数据摘录，不是完整原始轨迹。时间为动作前后／等待完成上界；截图未保存供独立视觉复核。 </t>
    </r>
    <r>
      <rPr>
        <sz val="11"/>
        <color rgb="FF20334A"/>
        <rFont val="Arial"/>
        <family val="2"/>
        <charset val="1"/>
      </rPr>
      <t xml:space="preserve">UTC</t>
    </r>
    <r>
      <rPr>
        <sz val="11"/>
        <color rgb="FF20334A"/>
        <rFont val="Noto Sans CJK SC"/>
        <family val="2"/>
        <charset val="1"/>
      </rPr>
      <t xml:space="preserve">动作前后界限</t>
    </r>
    <r>
      <rPr>
        <sz val="11"/>
        <color rgb="FF20334A"/>
        <rFont val="Arial"/>
        <family val="2"/>
        <charset val="1"/>
      </rPr>
      <t xml:space="preserve">[2026-10-26T06:40:58.557Z, 2026-10-26T06:40:58.865Z]</t>
    </r>
    <r>
      <rPr>
        <sz val="11"/>
        <color rgb="FF20334A"/>
        <rFont val="Noto Sans CJK SC"/>
        <family val="2"/>
        <charset val="1"/>
      </rPr>
      <t xml:space="preserve">；等待完成不晚于</t>
    </r>
    <r>
      <rPr>
        <sz val="11"/>
        <color rgb="FF20334A"/>
        <rFont val="Arial"/>
        <family val="2"/>
        <charset val="1"/>
      </rPr>
      <t xml:space="preserve">2026-10-26T06:41:08.927Z</t>
    </r>
    <r>
      <rPr>
        <sz val="11"/>
        <color rgb="FF20334A"/>
        <rFont val="Noto Sans CJK SC"/>
        <family val="2"/>
        <charset val="1"/>
      </rPr>
      <t xml:space="preserve">；后续截图捕获区间</t>
    </r>
    <r>
      <rPr>
        <sz val="11"/>
        <color rgb="FF20334A"/>
        <rFont val="Arial"/>
        <family val="2"/>
        <charset val="1"/>
      </rPr>
      <t xml:space="preserve">[2026-10-26T06:41:22.914Z, 2026-10-26T06:41:23.660Z]</t>
    </r>
    <r>
      <rPr>
        <sz val="11"/>
        <color rgb="FF20334A"/>
        <rFont val="Noto Sans CJK SC"/>
        <family val="2"/>
        <charset val="1"/>
      </rPr>
      <t xml:space="preserve">。这些不是精确事件时间。</t>
    </r>
  </si>
  <si>
    <r>
      <rPr>
        <sz val="11"/>
        <color rgb="FF20334A"/>
        <rFont val="Noto Sans CJK SC"/>
        <family val="2"/>
        <charset val="1"/>
      </rPr>
      <t xml:space="preserve">访问日期和时点按保存证据；未记录的</t>
    </r>
    <r>
      <rPr>
        <sz val="11"/>
        <color rgb="FF20334A"/>
        <rFont val="Arial"/>
        <family val="2"/>
        <charset val="1"/>
      </rPr>
      <t xml:space="preserve">HTTP</t>
    </r>
    <r>
      <rPr>
        <sz val="11"/>
        <color rgb="FF20334A"/>
        <rFont val="Noto Sans CJK SC"/>
        <family val="2"/>
        <charset val="1"/>
      </rPr>
      <t xml:space="preserve">／时刻不推断。保存的是工具元数据摘录，不是完整原始轨迹。时间为动作前后／等待完成上界；截图未保存供独立视觉复核。 </t>
    </r>
    <r>
      <rPr>
        <sz val="11"/>
        <color rgb="FF20334A"/>
        <rFont val="Arial"/>
        <family val="2"/>
        <charset val="1"/>
      </rPr>
      <t xml:space="preserve">UTC</t>
    </r>
    <r>
      <rPr>
        <sz val="11"/>
        <color rgb="FF20334A"/>
        <rFont val="Noto Sans CJK SC"/>
        <family val="2"/>
        <charset val="1"/>
      </rPr>
      <t xml:space="preserve">动作前后界限</t>
    </r>
    <r>
      <rPr>
        <sz val="11"/>
        <color rgb="FF20334A"/>
        <rFont val="Arial"/>
        <family val="2"/>
        <charset val="1"/>
      </rPr>
      <t xml:space="preserve">[2026-10-26T06:42:06.668Z, 2026-10-26T06:42:06.953Z]</t>
    </r>
    <r>
      <rPr>
        <sz val="11"/>
        <color rgb="FF20334A"/>
        <rFont val="Noto Sans CJK SC"/>
        <family val="2"/>
        <charset val="1"/>
      </rPr>
      <t xml:space="preserve">；等待完成不晚于</t>
    </r>
    <r>
      <rPr>
        <sz val="11"/>
        <color rgb="FF20334A"/>
        <rFont val="Arial"/>
        <family val="2"/>
        <charset val="1"/>
      </rPr>
      <t xml:space="preserve">2026-10-26T06:42:16.682Z</t>
    </r>
    <r>
      <rPr>
        <sz val="11"/>
        <color rgb="FF20334A"/>
        <rFont val="Noto Sans CJK SC"/>
        <family val="2"/>
        <charset val="1"/>
      </rPr>
      <t xml:space="preserve">；后续截图捕获区间</t>
    </r>
    <r>
      <rPr>
        <sz val="11"/>
        <color rgb="FF20334A"/>
        <rFont val="Arial"/>
        <family val="2"/>
        <charset val="1"/>
      </rPr>
      <t xml:space="preserve">[2026-10-26T06:42:27.082Z, 2026-10-26T06:42:28.149Z]</t>
    </r>
    <r>
      <rPr>
        <sz val="11"/>
        <color rgb="FF20334A"/>
        <rFont val="Noto Sans CJK SC"/>
        <family val="2"/>
        <charset val="1"/>
      </rPr>
      <t xml:space="preserve">。这些不是精确事件时间。</t>
    </r>
  </si>
  <si>
    <t xml:space="preserve">项目</t>
  </si>
  <si>
    <t xml:space="preserve">口径／动作</t>
  </si>
  <si>
    <t xml:space="preserve">验收必备</t>
  </si>
  <si>
    <t xml:space="preserve">计数边界</t>
  </si>
  <si>
    <t xml:space="preserve">冻结范围</t>
  </si>
  <si>
    <t xml:space="preserve">原258工单及历史数据保留；B28新增1条状态纠正工单，累计259。</t>
  </si>
  <si>
    <t xml:space="preserve">任务ID、原始ID及来源ID保持稳定。各批冻结期初不写成验收结果。</t>
  </si>
  <si>
    <r>
      <rPr>
        <sz val="11"/>
        <color rgb="FF20334A"/>
        <rFont val="Arial"/>
        <family val="0"/>
        <charset val="1"/>
      </rPr>
      <t xml:space="preserve">259</t>
    </r>
    <r>
      <rPr>
        <sz val="11"/>
        <color rgb="FF20334A"/>
        <rFont val="Noto Sans CJK SC"/>
        <family val="2"/>
        <charset val="1"/>
      </rPr>
      <t xml:space="preserve">为限定工单，不是独立产品。</t>
    </r>
    <r>
      <rPr>
        <sz val="11"/>
        <color rgb="FF20334A"/>
        <rFont val="Arial"/>
        <family val="0"/>
        <charset val="1"/>
      </rPr>
      <t xml:space="preserve">B28</t>
    </r>
    <r>
      <rPr>
        <sz val="11"/>
        <color rgb="FF20334A"/>
        <rFont val="Noto Sans CJK SC"/>
        <family val="2"/>
        <charset val="1"/>
      </rPr>
      <t xml:space="preserve">无新增全文，窄核</t>
    </r>
    <r>
      <rPr>
        <sz val="11"/>
        <color rgb="FF20334A"/>
        <rFont val="Arial"/>
        <family val="0"/>
        <charset val="1"/>
      </rPr>
      <t xml:space="preserve">45</t>
    </r>
    <r>
      <rPr>
        <sz val="11"/>
        <color rgb="FF20334A"/>
        <rFont val="Noto Sans CJK SC"/>
        <family val="2"/>
        <charset val="1"/>
      </rPr>
      <t xml:space="preserve">页不计入</t>
    </r>
    <r>
      <rPr>
        <sz val="11"/>
        <color rgb="FF20334A"/>
        <rFont val="Arial"/>
        <family val="0"/>
        <charset val="1"/>
      </rPr>
      <t xml:space="preserve">4250</t>
    </r>
    <r>
      <rPr>
        <sz val="11"/>
        <color rgb="FF20334A"/>
        <rFont val="Noto Sans CJK SC"/>
        <family val="2"/>
        <charset val="1"/>
      </rPr>
      <t xml:space="preserve">全审页。</t>
    </r>
  </si>
  <si>
    <t xml:space="preserve">证据验收与内容、文件主角色、产品主文可得、当前包齐备及严格通过分别记录。</t>
  </si>
  <si>
    <t xml:space="preserve">复核通过、证据非空、有效处理日及唯一冻结范围匹配。</t>
  </si>
  <si>
    <t xml:space="preserve">只有已验收明确增量纳入。部分语言审读、通用组件和材料映射不得自动升格。</t>
  </si>
  <si>
    <t xml:space="preserve">完整主文</t>
  </si>
  <si>
    <t xml:space="preserve">正文应具备可读完整内容、连续页序与准确身份，不以文件名、宣传册、文本提取成功或可下载代替。</t>
  </si>
  <si>
    <t xml:space="preserve">逐页页码及内容记录；法律主体、渠道、文档角色、版本或未知标记；依赖组件与缺件。</t>
  </si>
  <si>
    <t xml:space="preserve">严格通过按文件计，不直接等于独立产品或整套合同齐备。</t>
  </si>
  <si>
    <t xml:space="preserve">版本与采用</t>
  </si>
  <si>
    <r>
      <rPr>
        <sz val="11"/>
        <color rgb="FF20334A"/>
        <rFont val="Noto Sans CJK SC"/>
        <family val="2"/>
        <charset val="1"/>
      </rPr>
      <t xml:space="preserve">正文印载版本、官方当前采用与产品现售状态分别核验。</t>
    </r>
    <r>
      <rPr>
        <sz val="11"/>
        <color rgb="FF20334A"/>
        <rFont val="Arial"/>
        <family val="0"/>
        <charset val="1"/>
      </rPr>
      <t xml:space="preserve">URL</t>
    </r>
    <r>
      <rPr>
        <sz val="11"/>
        <color rgb="FF20334A"/>
        <rFont val="Noto Sans CJK SC"/>
        <family val="2"/>
        <charset val="1"/>
      </rPr>
      <t xml:space="preserve">目录年份不能替代版次。</t>
    </r>
  </si>
  <si>
    <t xml:space="preserve">精确版本／组件及明确采用依据。没有证据时保持未知。</t>
  </si>
  <si>
    <r>
      <rPr>
        <sz val="11"/>
        <color rgb="FF20334A"/>
        <rFont val="Arial"/>
        <family val="0"/>
        <charset val="1"/>
      </rPr>
      <t xml:space="preserve">Home Protector 360 </t>
    </r>
    <r>
      <rPr>
        <sz val="11"/>
        <color rgb="FF20334A"/>
        <rFont val="Noto Sans CJK SC"/>
        <family val="2"/>
        <charset val="1"/>
      </rPr>
      <t xml:space="preserve">与 </t>
    </r>
    <r>
      <rPr>
        <sz val="11"/>
        <color rgb="FF20334A"/>
        <rFont val="Arial"/>
        <family val="0"/>
        <charset val="1"/>
      </rPr>
      <t xml:space="preserve">Basic </t>
    </r>
    <r>
      <rPr>
        <sz val="11"/>
        <color rgb="FF20334A"/>
        <rFont val="Noto Sans CJK SC"/>
        <family val="2"/>
        <charset val="1"/>
      </rPr>
      <t xml:space="preserve">分开。</t>
    </r>
    <r>
      <rPr>
        <sz val="11"/>
        <color rgb="FF20334A"/>
        <rFont val="Arial"/>
        <family val="0"/>
        <charset val="1"/>
      </rPr>
      <t xml:space="preserve">FOCUS 21</t>
    </r>
    <r>
      <rPr>
        <sz val="11"/>
        <color rgb="FF20334A"/>
        <rFont val="Noto Sans CJK SC"/>
        <family val="2"/>
        <charset val="1"/>
      </rPr>
      <t xml:space="preserve">物理页／</t>
    </r>
    <r>
      <rPr>
        <sz val="11"/>
        <color rgb="FF20334A"/>
        <rFont val="Arial"/>
        <family val="0"/>
        <charset val="1"/>
      </rPr>
      <t xml:space="preserve">24</t>
    </r>
    <r>
      <rPr>
        <sz val="11"/>
        <color rgb="FF20334A"/>
        <rFont val="Noto Sans CJK SC"/>
        <family val="2"/>
        <charset val="1"/>
      </rPr>
      <t xml:space="preserve">页脚疑点未解除前不得升级完整。</t>
    </r>
  </si>
  <si>
    <t xml:space="preserve">马来西亚文档</t>
  </si>
  <si>
    <t xml:space="preserve">D1冻结5份原件114页，B2另核5份原件187页，不重复计数。Assurance与Takaful分开，团体与个人不混用。</t>
  </si>
  <si>
    <t xml:space="preserve">按原始文档身份和哈希核全文；保留英文／马来文判断依据及疑点页码。</t>
  </si>
  <si>
    <r>
      <rPr>
        <sz val="11"/>
        <color rgb="FF20334A"/>
        <rFont val="Arial"/>
        <family val="0"/>
        <charset val="1"/>
      </rPr>
      <t xml:space="preserve">Master </t>
    </r>
    <r>
      <rPr>
        <sz val="11"/>
        <color rgb="FF20334A"/>
        <rFont val="Noto Sans CJK SC"/>
        <family val="2"/>
        <charset val="1"/>
      </rPr>
      <t xml:space="preserve">文档核验不等于具名产品锁定、现行主文采用或整套齐备。</t>
    </r>
  </si>
  <si>
    <t xml:space="preserve">来源日期</t>
  </si>
  <si>
    <t xml:space="preserve">各批均于2026-10-26冻结。历史来源保持原检查日；新公开响应观测日另列，不把全文审读日当作重新取得日。</t>
  </si>
  <si>
    <r>
      <rPr>
        <sz val="11"/>
        <color rgb="FF20334A"/>
        <rFont val="Noto Sans CJK SC"/>
        <family val="2"/>
        <charset val="1"/>
      </rPr>
      <t xml:space="preserve">新执行证据另记实际访问／核验时间、官方 </t>
    </r>
    <r>
      <rPr>
        <sz val="11"/>
        <color rgb="FF20334A"/>
        <rFont val="Arial"/>
        <family val="0"/>
        <charset val="1"/>
      </rPr>
      <t xml:space="preserve">URL </t>
    </r>
    <r>
      <rPr>
        <sz val="11"/>
        <color rgb="FF20334A"/>
        <rFont val="Noto Sans CJK SC"/>
        <family val="2"/>
        <charset val="1"/>
      </rPr>
      <t xml:space="preserve">和结果。</t>
    </r>
  </si>
  <si>
    <r>
      <rPr>
        <sz val="11"/>
        <color rgb="FF20334A"/>
        <rFont val="Arial"/>
        <family val="0"/>
        <charset val="1"/>
      </rPr>
      <t xml:space="preserve">v89 </t>
    </r>
    <r>
      <rPr>
        <sz val="11"/>
        <color rgb="FF20334A"/>
        <rFont val="Noto Sans CJK SC"/>
        <family val="2"/>
        <charset val="1"/>
      </rPr>
      <t xml:space="preserve">历史原件、全文、严格通过与隔离文件，不计入本批新增。</t>
    </r>
  </si>
  <si>
    <t xml:space="preserve">公开入口边界</t>
  </si>
  <si>
    <r>
      <rPr>
        <sz val="11"/>
        <color rgb="FF20334A"/>
        <rFont val="Noto Sans CJK SC"/>
        <family val="2"/>
        <charset val="1"/>
      </rPr>
      <t xml:space="preserve">只检查固定范围的公开官方入口及明确匹配来源。遇</t>
    </r>
    <r>
      <rPr>
        <sz val="11"/>
        <color rgb="FF20334A"/>
        <rFont val="Arial"/>
        <family val="0"/>
        <charset val="1"/>
      </rPr>
      <t xml:space="preserve">403</t>
    </r>
    <r>
      <rPr>
        <sz val="11"/>
        <color rgb="FF20334A"/>
        <rFont val="Noto Sans CJK SC"/>
        <family val="2"/>
        <charset val="1"/>
      </rPr>
      <t xml:space="preserve">、登录、验证码或</t>
    </r>
    <r>
      <rPr>
        <sz val="11"/>
        <color rgb="FF20334A"/>
        <rFont val="Arial"/>
        <family val="0"/>
        <charset val="1"/>
      </rPr>
      <t xml:space="preserve">WAF</t>
    </r>
    <r>
      <rPr>
        <sz val="11"/>
        <color rgb="FF20334A"/>
        <rFont val="Noto Sans CJK SC"/>
        <family val="2"/>
        <charset val="1"/>
      </rPr>
      <t xml:space="preserve">停止该入口。</t>
    </r>
  </si>
  <si>
    <t xml:space="preserve">保留已查路线、访问结果和停止原因；不猜路径、不绕过限制、不外联、不搜索真实个人保单。</t>
  </si>
  <si>
    <t xml:space="preserve">受阻或未取得保留原任务，不删除、不升级为已齐备。</t>
  </si>
  <si>
    <t xml:space="preserve">未知与零</t>
  </si>
  <si>
    <t xml:space="preserve">缺少经核验的统计时留空并注明。零仅用于已确认范围内的真实零。</t>
  </si>
  <si>
    <t xml:space="preserve">列明统计对象、单位、来源和分母。家族范围不是全市场产品数。</t>
  </si>
  <si>
    <t xml:space="preserve">全市场独立产品分母尚未核定；不据此计算全市场覆盖率。</t>
  </si>
  <si>
    <t xml:space="preserve">校验项</t>
  </si>
  <si>
    <t xml:space="preserve">实际值</t>
  </si>
  <si>
    <t xml:space="preserve">冻结基数</t>
  </si>
  <si>
    <t xml:space="preserve">判定</t>
  </si>
  <si>
    <t xml:space="preserve">地区行数</t>
  </si>
  <si>
    <t xml:space="preserve">任务行数</t>
  </si>
  <si>
    <t xml:space="preserve">来源行数</t>
  </si>
  <si>
    <t xml:space="preserve">正式文件合计</t>
  </si>
  <si>
    <t xml:space="preserve">已全文审阅合计</t>
  </si>
  <si>
    <t xml:space="preserve">严格通过合计</t>
  </si>
  <si>
    <t xml:space="preserve">隔离文件合计</t>
  </si>
  <si>
    <r>
      <rPr>
        <b val="true"/>
        <sz val="11"/>
        <color rgb="FFFFFFFF"/>
        <rFont val="Noto Sans CJK SC"/>
        <family val="2"/>
        <charset val="1"/>
      </rPr>
      <t xml:space="preserve">冻结任务</t>
    </r>
    <r>
      <rPr>
        <b val="true"/>
        <sz val="11"/>
        <color rgb="FFFFFFFF"/>
        <rFont val="Arial"/>
        <family val="2"/>
        <charset val="1"/>
      </rPr>
      <t xml:space="preserve">ID</t>
    </r>
  </si>
  <si>
    <t xml:space="preserve">冻结表出现次数</t>
  </si>
  <si>
    <t xml:space="preserve">执行表出现次数</t>
  </si>
  <si>
    <t xml:space="preserve">范围判定</t>
  </si>
  <si>
    <r>
      <rPr>
        <sz val="11"/>
        <color rgb="FF20334A"/>
        <rFont val="Arial"/>
        <family val="2"/>
        <charset val="1"/>
      </rPr>
      <t xml:space="preserve">B2</t>
    </r>
    <r>
      <rPr>
        <sz val="11"/>
        <color rgb="FF20334A"/>
        <rFont val="Noto Sans CJK SC"/>
        <family val="2"/>
        <charset val="1"/>
      </rPr>
      <t xml:space="preserve">内容分层</t>
    </r>
  </si>
  <si>
    <r>
      <rPr>
        <sz val="11"/>
        <color rgb="FF20334A"/>
        <rFont val="Arial"/>
        <family val="2"/>
        <charset val="1"/>
      </rPr>
      <t xml:space="preserve">6</t>
    </r>
    <r>
      <rPr>
        <sz val="11"/>
        <color rgb="FF20334A"/>
        <rFont val="Noto Sans CJK SC"/>
        <family val="2"/>
        <charset val="1"/>
      </rPr>
      <t xml:space="preserve">份现存全文</t>
    </r>
    <r>
      <rPr>
        <sz val="11"/>
        <color rgb="FF20334A"/>
        <rFont val="Arial"/>
        <family val="2"/>
        <charset val="1"/>
      </rPr>
      <t xml:space="preserve">205</t>
    </r>
    <r>
      <rPr>
        <sz val="11"/>
        <color rgb="FF20334A"/>
        <rFont val="Noto Sans CJK SC"/>
        <family val="2"/>
        <charset val="1"/>
      </rPr>
      <t xml:space="preserve">页。</t>
    </r>
    <r>
      <rPr>
        <sz val="11"/>
        <color rgb="FF20334A"/>
        <rFont val="Arial"/>
        <family val="2"/>
        <charset val="1"/>
      </rPr>
      <t xml:space="preserve">4</t>
    </r>
    <r>
      <rPr>
        <sz val="11"/>
        <color rgb="FF20334A"/>
        <rFont val="Noto Sans CJK SC"/>
        <family val="2"/>
        <charset val="1"/>
      </rPr>
      <t xml:space="preserve">份主文角色确认后仍待核验。</t>
    </r>
  </si>
  <si>
    <r>
      <rPr>
        <sz val="11"/>
        <color rgb="FF20334A"/>
        <rFont val="Arial"/>
        <family val="2"/>
        <charset val="1"/>
      </rPr>
      <t xml:space="preserve">32</t>
    </r>
    <r>
      <rPr>
        <sz val="11"/>
        <color rgb="FF20334A"/>
        <rFont val="Noto Sans CJK SC"/>
        <family val="2"/>
        <charset val="1"/>
      </rPr>
      <t xml:space="preserve">页</t>
    </r>
    <r>
      <rPr>
        <sz val="11"/>
        <color rgb="FF20334A"/>
        <rFont val="Arial"/>
        <family val="2"/>
        <charset val="1"/>
      </rPr>
      <t xml:space="preserve">EASYCare</t>
    </r>
    <r>
      <rPr>
        <sz val="11"/>
        <color rgb="FF20334A"/>
        <rFont val="Noto Sans CJK SC"/>
        <family val="2"/>
        <charset val="1"/>
      </rPr>
      <t xml:space="preserve">视觉结构证据独立保存，不计全文。</t>
    </r>
  </si>
  <si>
    <r>
      <rPr>
        <sz val="11"/>
        <color rgb="FF20334A"/>
        <rFont val="Noto Sans CJK SC"/>
        <family val="2"/>
        <charset val="1"/>
      </rPr>
      <t xml:space="preserve">新原件</t>
    </r>
    <r>
      <rPr>
        <sz val="11"/>
        <color rgb="FF20334A"/>
        <rFont val="Arial"/>
        <family val="2"/>
        <charset val="1"/>
      </rPr>
      <t xml:space="preserve">0</t>
    </r>
    <r>
      <rPr>
        <sz val="11"/>
        <color rgb="FF20334A"/>
        <rFont val="Noto Sans CJK SC"/>
        <family val="2"/>
        <charset val="1"/>
      </rPr>
      <t xml:space="preserve">、严格新增</t>
    </r>
    <r>
      <rPr>
        <sz val="11"/>
        <color rgb="FF20334A"/>
        <rFont val="Arial"/>
        <family val="2"/>
        <charset val="1"/>
      </rPr>
      <t xml:space="preserve">0</t>
    </r>
    <r>
      <rPr>
        <sz val="11"/>
        <color rgb="FF20334A"/>
        <rFont val="Noto Sans CJK SC"/>
        <family val="2"/>
        <charset val="1"/>
      </rPr>
      <t xml:space="preserve">、独立产品缺口关闭</t>
    </r>
    <r>
      <rPr>
        <sz val="11"/>
        <color rgb="FF20334A"/>
        <rFont val="Arial"/>
        <family val="2"/>
        <charset val="1"/>
      </rPr>
      <t xml:space="preserve">0</t>
    </r>
    <r>
      <rPr>
        <sz val="11"/>
        <color rgb="FF20334A"/>
        <rFont val="Noto Sans CJK SC"/>
        <family val="2"/>
        <charset val="1"/>
      </rPr>
      <t xml:space="preserve">。</t>
    </r>
  </si>
  <si>
    <t xml:space="preserve">D1/B2历史发布</t>
  </si>
  <si>
    <t xml:space="preserve">两批已发布至线上版本115。网站已更新第二批核验状态。</t>
  </si>
  <si>
    <r>
      <rPr>
        <sz val="11"/>
        <color rgb="FF20334A"/>
        <rFont val="Noto Sans CJK SC"/>
        <family val="2"/>
        <charset val="1"/>
      </rPr>
      <t xml:space="preserve">正式原件</t>
    </r>
    <r>
      <rPr>
        <sz val="11"/>
        <color rgb="FF20334A"/>
        <rFont val="Arial"/>
        <family val="2"/>
        <charset val="1"/>
      </rPr>
      <t xml:space="preserve">4713</t>
    </r>
    <r>
      <rPr>
        <sz val="11"/>
        <color rgb="FF20334A"/>
        <rFont val="Noto Sans CJK SC"/>
        <family val="2"/>
        <charset val="1"/>
      </rPr>
      <t xml:space="preserve">、公开</t>
    </r>
    <r>
      <rPr>
        <sz val="11"/>
        <color rgb="FF20334A"/>
        <rFont val="Arial"/>
        <family val="2"/>
        <charset val="1"/>
      </rPr>
      <t xml:space="preserve">4662</t>
    </r>
    <r>
      <rPr>
        <sz val="11"/>
        <color rgb="FF20334A"/>
        <rFont val="Noto Sans CJK SC"/>
        <family val="2"/>
        <charset val="1"/>
      </rPr>
      <t xml:space="preserve">、全文</t>
    </r>
    <r>
      <rPr>
        <sz val="11"/>
        <color rgb="FF20334A"/>
        <rFont val="Arial"/>
        <family val="2"/>
        <charset val="1"/>
      </rPr>
      <t xml:space="preserve">2256</t>
    </r>
    <r>
      <rPr>
        <sz val="11"/>
        <color rgb="FF20334A"/>
        <rFont val="Noto Sans CJK SC"/>
        <family val="2"/>
        <charset val="1"/>
      </rPr>
      <t xml:space="preserve">、部分核验</t>
    </r>
    <r>
      <rPr>
        <sz val="11"/>
        <color rgb="FF20334A"/>
        <rFont val="Arial"/>
        <family val="2"/>
        <charset val="1"/>
      </rPr>
      <t xml:space="preserve">14</t>
    </r>
    <r>
      <rPr>
        <sz val="11"/>
        <color rgb="FF20334A"/>
        <rFont val="Noto Sans CJK SC"/>
        <family val="2"/>
        <charset val="1"/>
      </rPr>
      <t xml:space="preserve">、严格</t>
    </r>
    <r>
      <rPr>
        <sz val="11"/>
        <color rgb="FF20334A"/>
        <rFont val="Arial"/>
        <family val="2"/>
        <charset val="1"/>
      </rPr>
      <t xml:space="preserve">411</t>
    </r>
    <r>
      <rPr>
        <sz val="11"/>
        <color rgb="FF20334A"/>
        <rFont val="Noto Sans CJK SC"/>
        <family val="2"/>
        <charset val="1"/>
      </rPr>
      <t xml:space="preserve">、隔离</t>
    </r>
    <r>
      <rPr>
        <sz val="11"/>
        <color rgb="FF20334A"/>
        <rFont val="Arial"/>
        <family val="2"/>
        <charset val="1"/>
      </rPr>
      <t xml:space="preserve">51</t>
    </r>
    <r>
      <rPr>
        <sz val="11"/>
        <color rgb="FF20334A"/>
        <rFont val="Noto Sans CJK SC"/>
        <family val="2"/>
        <charset val="1"/>
      </rPr>
      <t xml:space="preserve">。</t>
    </r>
  </si>
  <si>
    <r>
      <rPr>
        <sz val="11"/>
        <color rgb="FF20334A"/>
        <rFont val="Arial"/>
        <family val="2"/>
        <charset val="1"/>
      </rPr>
      <t xml:space="preserve">B2</t>
    </r>
    <r>
      <rPr>
        <sz val="11"/>
        <color rgb="FF20334A"/>
        <rFont val="Noto Sans CJK SC"/>
        <family val="2"/>
        <charset val="1"/>
      </rPr>
      <t xml:space="preserve">新增</t>
    </r>
    <r>
      <rPr>
        <sz val="11"/>
        <color rgb="FF20334A"/>
        <rFont val="Arial"/>
        <family val="2"/>
        <charset val="1"/>
      </rPr>
      <t xml:space="preserve">6</t>
    </r>
    <r>
      <rPr>
        <sz val="11"/>
        <color rgb="FF20334A"/>
        <rFont val="Noto Sans CJK SC"/>
        <family val="2"/>
        <charset val="1"/>
      </rPr>
      <t xml:space="preserve">份全文已在线。原件与详审证据私有留存。</t>
    </r>
  </si>
  <si>
    <r>
      <rPr>
        <sz val="11"/>
        <color rgb="FF20334A"/>
        <rFont val="Arial"/>
        <family val="2"/>
        <charset val="1"/>
      </rPr>
      <t xml:space="preserve">B3/B4/B5/B6</t>
    </r>
    <r>
      <rPr>
        <sz val="11"/>
        <color rgb="FF20334A"/>
        <rFont val="Noto Sans CJK SC"/>
        <family val="2"/>
        <charset val="1"/>
      </rPr>
      <t xml:space="preserve">见新增验收与审计区；不把旧候选状态视为当前。</t>
    </r>
  </si>
  <si>
    <t xml:space="preserve">历史23、67、108、198、203、210、218、238、258保留；B28追加后259。</t>
  </si>
  <si>
    <t xml:space="preserve">完整原始文件数、全文、角色、严格和产品闭合分层计量。</t>
  </si>
  <si>
    <t xml:space="preserve">使用权限</t>
  </si>
  <si>
    <t xml:space="preserve">全文审读表示内容检查，不代表允许复制、再发布或商业复用。</t>
  </si>
  <si>
    <t xml:space="preserve">受限文件不提供可自动使用的提取文本。</t>
  </si>
  <si>
    <t xml:space="preserve">原件及审计历史保持。</t>
  </si>
  <si>
    <t xml:space="preserve">追加批次审计</t>
  </si>
  <si>
    <t xml:space="preserve">冻结表次数</t>
  </si>
  <si>
    <t xml:space="preserve">执行表次数</t>
  </si>
  <si>
    <r>
      <rPr>
        <sz val="11"/>
        <color rgb="FF20334A"/>
        <rFont val="Arial"/>
        <family val="2"/>
        <charset val="1"/>
      </rPr>
      <t xml:space="preserve">B3</t>
    </r>
    <r>
      <rPr>
        <sz val="11"/>
        <color rgb="FF20334A"/>
        <rFont val="Noto Sans CJK SC"/>
        <family val="2"/>
        <charset val="1"/>
      </rPr>
      <t xml:space="preserve">验收</t>
    </r>
  </si>
  <si>
    <r>
      <rPr>
        <sz val="11"/>
        <color rgb="FF20334A"/>
        <rFont val="Arial"/>
        <family val="2"/>
        <charset val="1"/>
      </rPr>
      <t xml:space="preserve">10</t>
    </r>
    <r>
      <rPr>
        <sz val="11"/>
        <color rgb="FF20334A"/>
        <rFont val="Noto Sans CJK SC"/>
        <family val="2"/>
        <charset val="1"/>
      </rPr>
      <t xml:space="preserve">任务；</t>
    </r>
    <r>
      <rPr>
        <sz val="11"/>
        <color rgb="FF20334A"/>
        <rFont val="Arial"/>
        <family val="2"/>
        <charset val="1"/>
      </rPr>
      <t xml:space="preserve">5</t>
    </r>
    <r>
      <rPr>
        <sz val="11"/>
        <color rgb="FF20334A"/>
        <rFont val="Noto Sans CJK SC"/>
        <family val="2"/>
        <charset val="1"/>
      </rPr>
      <t xml:space="preserve">份现存全文</t>
    </r>
    <r>
      <rPr>
        <sz val="11"/>
        <color rgb="FF20334A"/>
        <rFont val="Arial"/>
        <family val="2"/>
        <charset val="1"/>
      </rPr>
      <t xml:space="preserve">184</t>
    </r>
    <r>
      <rPr>
        <sz val="11"/>
        <color rgb="FF20334A"/>
        <rFont val="Noto Sans CJK SC"/>
        <family val="2"/>
        <charset val="1"/>
      </rPr>
      <t xml:space="preserve">页；主文净</t>
    </r>
    <r>
      <rPr>
        <sz val="11"/>
        <color rgb="FF20334A"/>
        <rFont val="Arial"/>
        <family val="2"/>
        <charset val="1"/>
      </rPr>
      <t xml:space="preserve">+4</t>
    </r>
    <r>
      <rPr>
        <sz val="11"/>
        <color rgb="FF20334A"/>
        <rFont val="Noto Sans CJK SC"/>
        <family val="2"/>
        <charset val="1"/>
      </rPr>
      <t xml:space="preserve">。</t>
    </r>
  </si>
  <si>
    <r>
      <rPr>
        <sz val="11"/>
        <color rgb="FF20334A"/>
        <rFont val="Arial"/>
        <family val="2"/>
        <charset val="1"/>
      </rPr>
      <t xml:space="preserve">VN</t>
    </r>
    <r>
      <rPr>
        <sz val="11"/>
        <color rgb="FF20334A"/>
        <rFont val="Noto Sans CJK SC"/>
        <family val="2"/>
        <charset val="1"/>
      </rPr>
      <t xml:space="preserve">两个任务共</t>
    </r>
    <r>
      <rPr>
        <sz val="11"/>
        <color rgb="FF20334A"/>
        <rFont val="Arial"/>
        <family val="2"/>
        <charset val="1"/>
      </rPr>
      <t xml:space="preserve">4</t>
    </r>
    <r>
      <rPr>
        <sz val="11"/>
        <color rgb="FF20334A"/>
        <rFont val="Noto Sans CJK SC"/>
        <family val="2"/>
        <charset val="1"/>
      </rPr>
      <t xml:space="preserve">项历史关联，现行采用仍待核。</t>
    </r>
  </si>
  <si>
    <r>
      <rPr>
        <sz val="11"/>
        <color rgb="FF20334A"/>
        <rFont val="Arial"/>
        <family val="2"/>
        <charset val="1"/>
      </rPr>
      <t xml:space="preserve">KH</t>
    </r>
    <r>
      <rPr>
        <sz val="11"/>
        <color rgb="FF20334A"/>
        <rFont val="Noto Sans CJK SC"/>
        <family val="2"/>
        <charset val="1"/>
      </rPr>
      <t xml:space="preserve">英文</t>
    </r>
    <r>
      <rPr>
        <sz val="11"/>
        <color rgb="FF20334A"/>
        <rFont val="Arial"/>
        <family val="2"/>
        <charset val="1"/>
      </rPr>
      <t xml:space="preserve">13</t>
    </r>
    <r>
      <rPr>
        <sz val="11"/>
        <color rgb="FF20334A"/>
        <rFont val="Noto Sans CJK SC"/>
        <family val="2"/>
        <charset val="1"/>
      </rPr>
      <t xml:space="preserve">页不升整份全文；高棉语</t>
    </r>
    <r>
      <rPr>
        <sz val="11"/>
        <color rgb="FF20334A"/>
        <rFont val="Arial"/>
        <family val="2"/>
        <charset val="1"/>
      </rPr>
      <t xml:space="preserve">12</t>
    </r>
    <r>
      <rPr>
        <sz val="11"/>
        <color rgb="FF20334A"/>
        <rFont val="Noto Sans CJK SC"/>
        <family val="2"/>
        <charset val="1"/>
      </rPr>
      <t xml:space="preserve">页语义未核。</t>
    </r>
  </si>
  <si>
    <r>
      <rPr>
        <sz val="11"/>
        <color rgb="FF20334A"/>
        <rFont val="Arial"/>
        <family val="2"/>
        <charset val="1"/>
      </rPr>
      <t xml:space="preserve">B4</t>
    </r>
    <r>
      <rPr>
        <sz val="11"/>
        <color rgb="FF20334A"/>
        <rFont val="Noto Sans CJK SC"/>
        <family val="2"/>
        <charset val="1"/>
      </rPr>
      <t xml:space="preserve">验收</t>
    </r>
  </si>
  <si>
    <r>
      <rPr>
        <sz val="11"/>
        <color rgb="FF20334A"/>
        <rFont val="Arial"/>
        <family val="2"/>
        <charset val="1"/>
      </rPr>
      <t xml:space="preserve">7</t>
    </r>
    <r>
      <rPr>
        <sz val="11"/>
        <color rgb="FF20334A"/>
        <rFont val="Noto Sans CJK SC"/>
        <family val="2"/>
        <charset val="1"/>
      </rPr>
      <t xml:space="preserve">份全文</t>
    </r>
    <r>
      <rPr>
        <sz val="11"/>
        <color rgb="FF20334A"/>
        <rFont val="Arial"/>
        <family val="2"/>
        <charset val="1"/>
      </rPr>
      <t xml:space="preserve">213</t>
    </r>
    <r>
      <rPr>
        <sz val="11"/>
        <color rgb="FF20334A"/>
        <rFont val="Noto Sans CJK SC"/>
        <family val="2"/>
        <charset val="1"/>
      </rPr>
      <t xml:space="preserve">页；</t>
    </r>
    <r>
      <rPr>
        <sz val="11"/>
        <color rgb="FF20334A"/>
        <rFont val="Arial"/>
        <family val="2"/>
        <charset val="1"/>
      </rPr>
      <t xml:space="preserve">ID18</t>
    </r>
    <r>
      <rPr>
        <sz val="11"/>
        <color rgb="FF20334A"/>
        <rFont val="Noto Sans CJK SC"/>
        <family val="2"/>
        <charset val="1"/>
      </rPr>
      <t xml:space="preserve">页</t>
    </r>
    <r>
      <rPr>
        <sz val="11"/>
        <color rgb="FF20334A"/>
        <rFont val="Arial"/>
        <family val="2"/>
        <charset val="1"/>
      </rPr>
      <t xml:space="preserve">partial</t>
    </r>
    <r>
      <rPr>
        <sz val="11"/>
        <color rgb="FF20334A"/>
        <rFont val="Noto Sans CJK SC"/>
        <family val="2"/>
        <charset val="1"/>
      </rPr>
      <t xml:space="preserve">，主文</t>
    </r>
    <r>
      <rPr>
        <sz val="11"/>
        <color rgb="FF20334A"/>
        <rFont val="Arial"/>
        <family val="2"/>
        <charset val="1"/>
      </rPr>
      <t xml:space="preserve">0</t>
    </r>
    <r>
      <rPr>
        <sz val="11"/>
        <color rgb="FF20334A"/>
        <rFont val="Noto Sans CJK SC"/>
        <family val="2"/>
        <charset val="1"/>
      </rPr>
      <t xml:space="preserve">；</t>
    </r>
    <r>
      <rPr>
        <sz val="11"/>
        <color rgb="FF20334A"/>
        <rFont val="Arial"/>
        <family val="2"/>
        <charset val="1"/>
      </rPr>
      <t xml:space="preserve">MY</t>
    </r>
    <r>
      <rPr>
        <sz val="11"/>
        <color rgb="FF20334A"/>
        <rFont val="Noto Sans CJK SC"/>
        <family val="2"/>
        <charset val="1"/>
      </rPr>
      <t xml:space="preserve">主文</t>
    </r>
    <r>
      <rPr>
        <sz val="11"/>
        <color rgb="FF20334A"/>
        <rFont val="Arial"/>
        <family val="2"/>
        <charset val="1"/>
      </rPr>
      <t xml:space="preserve">+5</t>
    </r>
    <r>
      <rPr>
        <sz val="11"/>
        <color rgb="FF20334A"/>
        <rFont val="Noto Sans CJK SC"/>
        <family val="2"/>
        <charset val="1"/>
      </rPr>
      <t xml:space="preserve">。</t>
    </r>
  </si>
  <si>
    <r>
      <rPr>
        <sz val="11"/>
        <color rgb="FF20334A"/>
        <rFont val="Noto Sans CJK SC"/>
        <family val="2"/>
        <charset val="1"/>
      </rPr>
      <t xml:space="preserve">身份</t>
    </r>
    <r>
      <rPr>
        <sz val="11"/>
        <color rgb="FF20334A"/>
        <rFont val="Arial"/>
        <family val="2"/>
        <charset val="1"/>
      </rPr>
      <t xml:space="preserve">2</t>
    </r>
    <r>
      <rPr>
        <sz val="11"/>
        <color rgb="FF20334A"/>
        <rFont val="Noto Sans CJK SC"/>
        <family val="2"/>
        <charset val="1"/>
      </rPr>
      <t xml:space="preserve">工作单、</t>
    </r>
    <r>
      <rPr>
        <sz val="11"/>
        <color rgb="FF20334A"/>
        <rFont val="Arial"/>
        <family val="2"/>
        <charset val="1"/>
      </rPr>
      <t xml:space="preserve">4</t>
    </r>
    <r>
      <rPr>
        <sz val="11"/>
        <color rgb="FF20334A"/>
        <rFont val="Noto Sans CJK SC"/>
        <family val="2"/>
        <charset val="1"/>
      </rPr>
      <t xml:space="preserve">版本及</t>
    </r>
    <r>
      <rPr>
        <sz val="11"/>
        <color rgb="FF20334A"/>
        <rFont val="Arial"/>
        <family val="2"/>
        <charset val="1"/>
      </rPr>
      <t xml:space="preserve">31</t>
    </r>
    <r>
      <rPr>
        <sz val="11"/>
        <color rgb="FF20334A"/>
        <rFont val="Noto Sans CJK SC"/>
        <family val="2"/>
        <charset val="1"/>
      </rPr>
      <t xml:space="preserve">关系，均不产生新全文／主文。</t>
    </r>
  </si>
  <si>
    <r>
      <rPr>
        <sz val="11"/>
        <color rgb="FF20334A"/>
        <rFont val="Arial"/>
        <family val="2"/>
        <charset val="1"/>
      </rPr>
      <t xml:space="preserve">MM</t>
    </r>
    <r>
      <rPr>
        <sz val="11"/>
        <color rgb="FF20334A"/>
        <rFont val="Noto Sans CJK SC"/>
        <family val="2"/>
        <charset val="1"/>
      </rPr>
      <t xml:space="preserve">组件全文不变成主合同；</t>
    </r>
    <r>
      <rPr>
        <sz val="11"/>
        <color rgb="FF20334A"/>
        <rFont val="Arial"/>
        <family val="2"/>
        <charset val="1"/>
      </rPr>
      <t xml:space="preserve">ID</t>
    </r>
    <r>
      <rPr>
        <sz val="11"/>
        <color rgb="FF20334A"/>
        <rFont val="Noto Sans CJK SC"/>
        <family val="2"/>
        <charset val="1"/>
      </rPr>
      <t xml:space="preserve">印尼语优先未全审；目录名不证明具名采用。</t>
    </r>
  </si>
  <si>
    <r>
      <rPr>
        <sz val="11"/>
        <color rgb="FF20334A"/>
        <rFont val="Arial"/>
        <family val="2"/>
        <charset val="1"/>
      </rPr>
      <t xml:space="preserve">B5</t>
    </r>
    <r>
      <rPr>
        <sz val="11"/>
        <color rgb="FF20334A"/>
        <rFont val="Noto Sans CJK SC"/>
        <family val="2"/>
        <charset val="1"/>
      </rPr>
      <t xml:space="preserve">来源</t>
    </r>
  </si>
  <si>
    <r>
      <rPr>
        <sz val="11"/>
        <color rgb="FF20334A"/>
        <rFont val="Arial"/>
        <family val="2"/>
        <charset val="1"/>
      </rPr>
      <t xml:space="preserve">7</t>
    </r>
    <r>
      <rPr>
        <sz val="11"/>
        <color rgb="FF20334A"/>
        <rFont val="Noto Sans CJK SC"/>
        <family val="2"/>
        <charset val="1"/>
      </rPr>
      <t xml:space="preserve">份产品页</t>
    </r>
    <r>
      <rPr>
        <sz val="11"/>
        <color rgb="FF20334A"/>
        <rFont val="Arial"/>
        <family val="2"/>
        <charset val="1"/>
      </rPr>
      <t xml:space="preserve">live HTTP 200</t>
    </r>
    <r>
      <rPr>
        <sz val="11"/>
        <color rgb="FF20334A"/>
        <rFont val="Noto Sans CJK SC"/>
        <family val="2"/>
        <charset val="1"/>
      </rPr>
      <t xml:space="preserve">；</t>
    </r>
    <r>
      <rPr>
        <sz val="11"/>
        <color rgb="FF20334A"/>
        <rFont val="Arial"/>
        <family val="2"/>
        <charset val="1"/>
      </rPr>
      <t xml:space="preserve">5</t>
    </r>
    <r>
      <rPr>
        <sz val="11"/>
        <color rgb="FF20334A"/>
        <rFont val="Noto Sans CJK SC"/>
        <family val="2"/>
        <charset val="1"/>
      </rPr>
      <t xml:space="preserve">份摘录</t>
    </r>
    <r>
      <rPr>
        <sz val="11"/>
        <color rgb="FF20334A"/>
        <rFont val="Arial"/>
        <family val="2"/>
        <charset val="1"/>
      </rPr>
      <t xml:space="preserve">HTTP</t>
    </r>
    <r>
      <rPr>
        <sz val="11"/>
        <color rgb="FF20334A"/>
        <rFont val="Noto Sans CJK SC"/>
        <family val="2"/>
        <charset val="1"/>
      </rPr>
      <t xml:space="preserve">未知。</t>
    </r>
  </si>
  <si>
    <r>
      <rPr>
        <sz val="11"/>
        <color rgb="FF20334A"/>
        <rFont val="Arial"/>
        <family val="2"/>
        <charset val="1"/>
      </rPr>
      <t xml:space="preserve">HSBC</t>
    </r>
    <r>
      <rPr>
        <sz val="11"/>
        <color rgb="FF20334A"/>
        <rFont val="Noto Sans CJK SC"/>
        <family val="2"/>
        <charset val="1"/>
      </rPr>
      <t xml:space="preserve">含</t>
    </r>
    <r>
      <rPr>
        <sz val="11"/>
        <color rgb="FF20334A"/>
        <rFont val="Arial"/>
        <family val="2"/>
        <charset val="1"/>
      </rPr>
      <t xml:space="preserve">policy</t>
    </r>
    <r>
      <rPr>
        <sz val="11"/>
        <color rgb="FF20334A"/>
        <rFont val="Noto Sans CJK SC"/>
        <family val="2"/>
        <charset val="1"/>
      </rPr>
      <t xml:space="preserve">文件名仍是产品册或服务表格。</t>
    </r>
  </si>
  <si>
    <r>
      <rPr>
        <sz val="11"/>
        <color rgb="FF20334A"/>
        <rFont val="Arial"/>
        <family val="2"/>
        <charset val="1"/>
      </rPr>
      <t xml:space="preserve">10Life</t>
    </r>
    <r>
      <rPr>
        <sz val="11"/>
        <color rgb="FF20334A"/>
        <rFont val="Noto Sans CJK SC"/>
        <family val="2"/>
        <charset val="1"/>
      </rPr>
      <t xml:space="preserve">旧版广告主供稿，非独立佐证或恒生授权销售证据。</t>
    </r>
  </si>
  <si>
    <t xml:space="preserve">访问边界</t>
  </si>
  <si>
    <r>
      <rPr>
        <sz val="11"/>
        <color rgb="FF20334A"/>
        <rFont val="Arial"/>
        <family val="2"/>
        <charset val="1"/>
      </rPr>
      <t xml:space="preserve">BOCHK</t>
    </r>
    <r>
      <rPr>
        <sz val="11"/>
        <color rgb="FF20334A"/>
        <rFont val="Noto Sans CJK SC"/>
        <family val="2"/>
        <charset val="1"/>
      </rPr>
      <t xml:space="preserve">工具超时不是来源</t>
    </r>
    <r>
      <rPr>
        <sz val="11"/>
        <color rgb="FF20334A"/>
        <rFont val="Arial"/>
        <family val="2"/>
        <charset val="1"/>
      </rPr>
      <t xml:space="preserve">HTTP 400</t>
    </r>
    <r>
      <rPr>
        <sz val="11"/>
        <color rgb="FF20334A"/>
        <rFont val="Noto Sans CJK SC"/>
        <family val="2"/>
        <charset val="1"/>
      </rPr>
      <t xml:space="preserve">。</t>
    </r>
  </si>
  <si>
    <t xml:space="preserve">缓存年龄不是本次来源核验日期，摘录不保证全页。</t>
  </si>
  <si>
    <t xml:space="preserve">未取得不等于不存在；不声称全部公开路线穷尽。</t>
  </si>
  <si>
    <t xml:space="preserve">实际发布</t>
  </si>
  <si>
    <t xml:space="preserve">实际网站v126／固定私有索引v102。</t>
  </si>
  <si>
    <t xml:space="preserve">网站部署、三个固定索引精确远端回验、独立终态及双私有指针均确认。</t>
  </si>
  <si>
    <r>
      <rPr>
        <sz val="11"/>
        <color rgb="FF20334A"/>
        <rFont val="Arial"/>
        <family val="2"/>
        <charset val="1"/>
      </rPr>
      <t xml:space="preserve">Site126</t>
    </r>
    <r>
      <rPr>
        <sz val="11"/>
        <color rgb="FF20334A"/>
        <rFont val="Noto Sans CJK SC"/>
        <family val="2"/>
        <charset val="1"/>
      </rPr>
      <t xml:space="preserve">／</t>
    </r>
    <r>
      <rPr>
        <sz val="11"/>
        <color rgb="FF20334A"/>
        <rFont val="Arial"/>
        <family val="2"/>
        <charset val="1"/>
      </rPr>
      <t xml:space="preserve">index102</t>
    </r>
    <r>
      <rPr>
        <sz val="11"/>
        <color rgb="FF20334A"/>
        <rFont val="Noto Sans CJK SC"/>
        <family val="2"/>
        <charset val="1"/>
      </rPr>
      <t xml:space="preserve">全文</t>
    </r>
    <r>
      <rPr>
        <sz val="11"/>
        <color rgb="FF20334A"/>
        <rFont val="Arial"/>
        <family val="2"/>
        <charset val="1"/>
      </rPr>
      <t xml:space="preserve">2342</t>
    </r>
    <r>
      <rPr>
        <sz val="11"/>
        <color rgb="FF20334A"/>
        <rFont val="Noto Sans CJK SC"/>
        <family val="2"/>
        <charset val="1"/>
      </rPr>
      <t xml:space="preserve">、部分</t>
    </r>
    <r>
      <rPr>
        <sz val="11"/>
        <color rgb="FF20334A"/>
        <rFont val="Arial"/>
        <family val="2"/>
        <charset val="1"/>
      </rPr>
      <t xml:space="preserve">17</t>
    </r>
    <r>
      <rPr>
        <sz val="11"/>
        <color rgb="FF20334A"/>
        <rFont val="Noto Sans CJK SC"/>
        <family val="2"/>
        <charset val="1"/>
      </rPr>
      <t xml:space="preserve">、主角色</t>
    </r>
    <r>
      <rPr>
        <sz val="11"/>
        <color rgb="FF20334A"/>
        <rFont val="Arial"/>
        <family val="2"/>
        <charset val="1"/>
      </rPr>
      <t xml:space="preserve">2749</t>
    </r>
    <r>
      <rPr>
        <sz val="11"/>
        <color rgb="FF20334A"/>
        <rFont val="Noto Sans CJK SC"/>
        <family val="2"/>
        <charset val="1"/>
      </rPr>
      <t xml:space="preserve">、严格</t>
    </r>
    <r>
      <rPr>
        <sz val="11"/>
        <color rgb="FF20334A"/>
        <rFont val="Arial"/>
        <family val="2"/>
        <charset val="1"/>
      </rPr>
      <t xml:space="preserve">423</t>
    </r>
    <r>
      <rPr>
        <sz val="11"/>
        <color rgb="FF20334A"/>
        <rFont val="Noto Sans CJK SC"/>
        <family val="2"/>
        <charset val="1"/>
      </rPr>
      <t xml:space="preserve">。</t>
    </r>
  </si>
  <si>
    <t xml:space="preserve">权利说明</t>
  </si>
  <si>
    <t xml:space="preserve">全文审读与可读不授予复制、打印、转载、再托管或商用许可。</t>
  </si>
  <si>
    <t xml:space="preserve">历史权限审计单独追加；既有冻结事实不被追溯改写。</t>
  </si>
  <si>
    <t xml:space="preserve">旧提取／渲染证据仅用于审计，不因此新增复用授权。</t>
  </si>
  <si>
    <r>
      <rPr>
        <sz val="11"/>
        <color rgb="FF20334A"/>
        <rFont val="Arial"/>
        <family val="2"/>
        <charset val="1"/>
      </rPr>
      <t xml:space="preserve">B6</t>
    </r>
    <r>
      <rPr>
        <sz val="11"/>
        <color rgb="FF20334A"/>
        <rFont val="Noto Sans CJK SC"/>
        <family val="2"/>
        <charset val="1"/>
      </rPr>
      <t xml:space="preserve">来源</t>
    </r>
  </si>
  <si>
    <r>
      <rPr>
        <sz val="11"/>
        <color rgb="FF20334A"/>
        <rFont val="Arial"/>
        <family val="2"/>
        <charset val="1"/>
      </rPr>
      <t xml:space="preserve">12</t>
    </r>
    <r>
      <rPr>
        <sz val="11"/>
        <color rgb="FF20334A"/>
        <rFont val="Noto Sans CJK SC"/>
        <family val="2"/>
        <charset val="1"/>
      </rPr>
      <t xml:space="preserve">项任务对应</t>
    </r>
    <r>
      <rPr>
        <sz val="11"/>
        <color rgb="FF20334A"/>
        <rFont val="Arial"/>
        <family val="2"/>
        <charset val="1"/>
      </rPr>
      <t xml:space="preserve">11</t>
    </r>
    <r>
      <rPr>
        <sz val="11"/>
        <color rgb="FF20334A"/>
        <rFont val="Noto Sans CJK SC"/>
        <family val="2"/>
        <charset val="1"/>
      </rPr>
      <t xml:space="preserve">个唯一官方</t>
    </r>
    <r>
      <rPr>
        <sz val="11"/>
        <color rgb="FF20334A"/>
        <rFont val="Arial"/>
        <family val="2"/>
        <charset val="1"/>
      </rPr>
      <t xml:space="preserve">URL</t>
    </r>
    <r>
      <rPr>
        <sz val="11"/>
        <color rgb="FF20334A"/>
        <rFont val="Noto Sans CJK SC"/>
        <family val="2"/>
        <charset val="1"/>
      </rPr>
      <t xml:space="preserve">，响应均</t>
    </r>
    <r>
      <rPr>
        <sz val="11"/>
        <color rgb="FF20334A"/>
        <rFont val="Arial"/>
        <family val="2"/>
        <charset val="1"/>
      </rPr>
      <t xml:space="preserve">200</t>
    </r>
    <r>
      <rPr>
        <sz val="11"/>
        <color rgb="FF20334A"/>
        <rFont val="Noto Sans CJK SC"/>
        <family val="2"/>
        <charset val="1"/>
      </rPr>
      <t xml:space="preserve">并校验正文哈希；未下载</t>
    </r>
    <r>
      <rPr>
        <sz val="11"/>
        <color rgb="FF20334A"/>
        <rFont val="Arial"/>
        <family val="2"/>
        <charset val="1"/>
      </rPr>
      <t xml:space="preserve">PDF</t>
    </r>
    <r>
      <rPr>
        <sz val="11"/>
        <color rgb="FF20334A"/>
        <rFont val="Noto Sans CJK SC"/>
        <family val="2"/>
        <charset val="1"/>
      </rPr>
      <t xml:space="preserve">。</t>
    </r>
  </si>
  <si>
    <r>
      <rPr>
        <sz val="11"/>
        <color rgb="FF20334A"/>
        <rFont val="Arial"/>
        <family val="2"/>
        <charset val="1"/>
      </rPr>
      <t xml:space="preserve">294</t>
    </r>
    <r>
      <rPr>
        <sz val="11"/>
        <color rgb="FF20334A"/>
        <rFont val="Noto Sans CJK SC"/>
        <family val="2"/>
        <charset val="1"/>
      </rPr>
      <t xml:space="preserve">身份层与较窄</t>
    </r>
    <r>
      <rPr>
        <sz val="11"/>
        <color rgb="FF20334A"/>
        <rFont val="Arial"/>
        <family val="2"/>
        <charset val="1"/>
      </rPr>
      <t xml:space="preserve">144</t>
    </r>
    <r>
      <rPr>
        <sz val="11"/>
        <color rgb="FF20334A"/>
        <rFont val="Noto Sans CJK SC"/>
        <family val="2"/>
        <charset val="1"/>
      </rPr>
      <t xml:space="preserve">范围均非全市场分母；版本与币种不互换。</t>
    </r>
  </si>
  <si>
    <r>
      <rPr>
        <sz val="11"/>
        <color rgb="FF20334A"/>
        <rFont val="Arial"/>
        <family val="2"/>
        <charset val="1"/>
      </rPr>
      <t xml:space="preserve">SingSaver</t>
    </r>
    <r>
      <rPr>
        <sz val="11"/>
        <color rgb="FF20334A"/>
        <rFont val="Noto Sans CJK SC"/>
        <family val="2"/>
        <charset val="1"/>
      </rPr>
      <t xml:space="preserve">编辑页及页脚自述不确立目标销售授权；</t>
    </r>
    <r>
      <rPr>
        <sz val="11"/>
        <color rgb="FF20334A"/>
        <rFont val="Arial"/>
        <family val="2"/>
        <charset val="1"/>
      </rPr>
      <t xml:space="preserve">403</t>
    </r>
    <r>
      <rPr>
        <sz val="11"/>
        <color rgb="FF20334A"/>
        <rFont val="Noto Sans CJK SC"/>
        <family val="2"/>
        <charset val="1"/>
      </rPr>
      <t xml:space="preserve">拒绝和无主文分开。</t>
    </r>
  </si>
  <si>
    <r>
      <rPr>
        <b val="true"/>
        <sz val="11"/>
        <color rgb="FFFFFFFF"/>
        <rFont val="Arial"/>
        <family val="2"/>
        <charset val="1"/>
      </rPr>
      <t xml:space="preserve">B7–B14</t>
    </r>
    <r>
      <rPr>
        <b val="true"/>
        <sz val="11"/>
        <color rgb="FFFFFFFF"/>
        <rFont val="Noto Sans CJK SC"/>
        <family val="2"/>
        <charset val="1"/>
      </rPr>
      <t xml:space="preserve">追加范围审计</t>
    </r>
  </si>
  <si>
    <t xml:space="preserve">分层验收</t>
  </si>
  <si>
    <t xml:space="preserve">来源路线、文件角色、现存页全审、严格状态分别记录。</t>
  </si>
  <si>
    <t xml:space="preserve">当前采用、公开通用合同包、个人合同齐套分别核证。</t>
  </si>
  <si>
    <r>
      <rPr>
        <sz val="11"/>
        <color rgb="FF20334A"/>
        <rFont val="Noto Sans CJK SC"/>
        <family val="2"/>
        <charset val="1"/>
      </rPr>
      <t xml:space="preserve">当前采用／齐套未证，不阻止符合定义的文件级</t>
    </r>
    <r>
      <rPr>
        <sz val="11"/>
        <color rgb="FF20334A"/>
        <rFont val="Arial"/>
        <family val="2"/>
        <charset val="1"/>
      </rPr>
      <t xml:space="preserve">verified</t>
    </r>
    <r>
      <rPr>
        <sz val="11"/>
        <color rgb="FF20334A"/>
        <rFont val="Noto Sans CJK SC"/>
        <family val="2"/>
        <charset val="1"/>
      </rPr>
      <t xml:space="preserve">；反向亦不能推导闭合。</t>
    </r>
  </si>
  <si>
    <r>
      <rPr>
        <sz val="11"/>
        <color rgb="FF20334A"/>
        <rFont val="Arial"/>
        <family val="2"/>
        <charset val="1"/>
      </rPr>
      <t xml:space="preserve">B7</t>
    </r>
    <r>
      <rPr>
        <sz val="11"/>
        <color rgb="FF20334A"/>
        <rFont val="Noto Sans CJK SC"/>
        <family val="2"/>
        <charset val="1"/>
      </rPr>
      <t xml:space="preserve">组件</t>
    </r>
  </si>
  <si>
    <r>
      <rPr>
        <sz val="11"/>
        <color rgb="FF20334A"/>
        <rFont val="Arial"/>
        <family val="2"/>
        <charset val="1"/>
      </rPr>
      <t xml:space="preserve">8</t>
    </r>
    <r>
      <rPr>
        <sz val="11"/>
        <color rgb="FF20334A"/>
        <rFont val="Noto Sans CJK SC"/>
        <family val="2"/>
        <charset val="1"/>
      </rPr>
      <t xml:space="preserve">份</t>
    </r>
    <r>
      <rPr>
        <sz val="11"/>
        <color rgb="FF20334A"/>
        <rFont val="Arial"/>
        <family val="2"/>
        <charset val="1"/>
      </rPr>
      <t xml:space="preserve">125</t>
    </r>
    <r>
      <rPr>
        <sz val="11"/>
        <color rgb="FF20334A"/>
        <rFont val="Noto Sans CJK SC"/>
        <family val="2"/>
        <charset val="1"/>
      </rPr>
      <t xml:space="preserve">页全审，主角色</t>
    </r>
    <r>
      <rPr>
        <sz val="11"/>
        <color rgb="FF20334A"/>
        <rFont val="Arial"/>
        <family val="2"/>
        <charset val="1"/>
      </rPr>
      <t xml:space="preserve">+3</t>
    </r>
    <r>
      <rPr>
        <sz val="11"/>
        <color rgb="FF20334A"/>
        <rFont val="Noto Sans CJK SC"/>
        <family val="2"/>
        <charset val="1"/>
      </rPr>
      <t xml:space="preserve">。</t>
    </r>
  </si>
  <si>
    <r>
      <rPr>
        <sz val="11"/>
        <color rgb="FF20334A"/>
        <rFont val="Arial"/>
        <family val="2"/>
        <charset val="1"/>
      </rPr>
      <t xml:space="preserve">MM</t>
    </r>
    <r>
      <rPr>
        <sz val="11"/>
        <color rgb="FF20334A"/>
        <rFont val="Noto Sans CJK SC"/>
        <family val="2"/>
        <charset val="1"/>
      </rPr>
      <t xml:space="preserve">五份</t>
    </r>
    <r>
      <rPr>
        <sz val="11"/>
        <color rgb="FF20334A"/>
        <rFont val="Arial"/>
        <family val="2"/>
        <charset val="1"/>
      </rPr>
      <t xml:space="preserve">40</t>
    </r>
    <r>
      <rPr>
        <sz val="11"/>
        <color rgb="FF20334A"/>
        <rFont val="Noto Sans CJK SC"/>
        <family val="2"/>
        <charset val="1"/>
      </rPr>
      <t xml:space="preserve">页仅</t>
    </r>
    <r>
      <rPr>
        <sz val="11"/>
        <color rgb="FF20334A"/>
        <rFont val="Arial"/>
        <family val="2"/>
        <charset val="1"/>
      </rPr>
      <t xml:space="preserve">Institute</t>
    </r>
    <r>
      <rPr>
        <sz val="11"/>
        <color rgb="FF20334A"/>
        <rFont val="Noto Sans CJK SC"/>
        <family val="2"/>
        <charset val="1"/>
      </rPr>
      <t xml:space="preserve">组件；</t>
    </r>
    <r>
      <rPr>
        <sz val="11"/>
        <color rgb="FF20334A"/>
        <rFont val="Arial"/>
        <family val="2"/>
        <charset val="1"/>
      </rPr>
      <t xml:space="preserve">MY</t>
    </r>
    <r>
      <rPr>
        <sz val="11"/>
        <color rgb="FF20334A"/>
        <rFont val="Noto Sans CJK SC"/>
        <family val="2"/>
        <charset val="1"/>
      </rPr>
      <t xml:space="preserve">三份</t>
    </r>
    <r>
      <rPr>
        <sz val="11"/>
        <color rgb="FF20334A"/>
        <rFont val="Arial"/>
        <family val="2"/>
        <charset val="1"/>
      </rPr>
      <t xml:space="preserve">85</t>
    </r>
    <r>
      <rPr>
        <sz val="11"/>
        <color rgb="FF20334A"/>
        <rFont val="Noto Sans CJK SC"/>
        <family val="2"/>
        <charset val="1"/>
      </rPr>
      <t xml:space="preserve">页。</t>
    </r>
  </si>
  <si>
    <r>
      <rPr>
        <sz val="11"/>
        <color rgb="FF20334A"/>
        <rFont val="Noto Sans CJK SC"/>
        <family val="2"/>
        <charset val="1"/>
      </rPr>
      <t xml:space="preserve">不是</t>
    </r>
    <r>
      <rPr>
        <sz val="11"/>
        <color rgb="FF20334A"/>
        <rFont val="Arial"/>
        <family val="2"/>
        <charset val="1"/>
      </rPr>
      <t xml:space="preserve">8</t>
    </r>
    <r>
      <rPr>
        <sz val="11"/>
        <color rgb="FF20334A"/>
        <rFont val="Noto Sans CJK SC"/>
        <family val="2"/>
        <charset val="1"/>
      </rPr>
      <t xml:space="preserve">份独立主合同，也非当前已采用的完整海事保单。</t>
    </r>
  </si>
  <si>
    <r>
      <rPr>
        <sz val="11"/>
        <color rgb="FF20334A"/>
        <rFont val="Arial"/>
        <family val="2"/>
        <charset val="1"/>
      </rPr>
      <t xml:space="preserve">B8</t>
    </r>
    <r>
      <rPr>
        <sz val="11"/>
        <color rgb="FF20334A"/>
        <rFont val="Noto Sans CJK SC"/>
        <family val="2"/>
        <charset val="1"/>
      </rPr>
      <t xml:space="preserve">文件级通过</t>
    </r>
  </si>
  <si>
    <r>
      <rPr>
        <sz val="11"/>
        <color rgb="FF20334A"/>
        <rFont val="Arial"/>
        <family val="2"/>
        <charset val="1"/>
      </rPr>
      <t xml:space="preserve">MY-SUN-068</t>
    </r>
    <r>
      <rPr>
        <sz val="11"/>
        <color rgb="FF20334A"/>
        <rFont val="Noto Sans CJK SC"/>
        <family val="2"/>
        <charset val="1"/>
      </rPr>
      <t xml:space="preserve">和</t>
    </r>
    <r>
      <rPr>
        <sz val="11"/>
        <color rgb="FF20334A"/>
        <rFont val="Arial"/>
        <family val="2"/>
        <charset val="1"/>
      </rPr>
      <t xml:space="preserve">MY-SUN-025</t>
    </r>
    <r>
      <rPr>
        <sz val="11"/>
        <color rgb="FF20334A"/>
        <rFont val="Noto Sans CJK SC"/>
        <family val="2"/>
        <charset val="1"/>
      </rPr>
      <t xml:space="preserve">严格</t>
    </r>
    <r>
      <rPr>
        <sz val="11"/>
        <color rgb="FF20334A"/>
        <rFont val="Arial"/>
        <family val="2"/>
        <charset val="1"/>
      </rPr>
      <t xml:space="preserve">+2</t>
    </r>
    <r>
      <rPr>
        <sz val="11"/>
        <color rgb="FF20334A"/>
        <rFont val="Noto Sans CJK SC"/>
        <family val="2"/>
        <charset val="1"/>
      </rPr>
      <t xml:space="preserve">。</t>
    </r>
  </si>
  <si>
    <r>
      <rPr>
        <sz val="11"/>
        <color rgb="FF20334A"/>
        <rFont val="Noto Sans CJK SC"/>
        <family val="2"/>
        <charset val="1"/>
      </rPr>
      <t xml:space="preserve">其余</t>
    </r>
    <r>
      <rPr>
        <sz val="11"/>
        <color rgb="FF20334A"/>
        <rFont val="Arial"/>
        <family val="2"/>
        <charset val="1"/>
      </rPr>
      <t xml:space="preserve">3</t>
    </r>
    <r>
      <rPr>
        <sz val="11"/>
        <color rgb="FF20334A"/>
        <rFont val="Noto Sans CJK SC"/>
        <family val="2"/>
        <charset val="1"/>
      </rPr>
      <t xml:space="preserve">份主附表／内部引用</t>
    </r>
    <r>
      <rPr>
        <sz val="11"/>
        <color rgb="FF20334A"/>
        <rFont val="Arial"/>
        <family val="2"/>
        <charset val="1"/>
      </rPr>
      <t xml:space="preserve">hold</t>
    </r>
    <r>
      <rPr>
        <sz val="11"/>
        <color rgb="FF20334A"/>
        <rFont val="Noto Sans CJK SC"/>
        <family val="2"/>
        <charset val="1"/>
      </rPr>
      <t xml:space="preserve">保留。</t>
    </r>
  </si>
  <si>
    <t xml:space="preserve">普通视觉阅读不产生复制、打印、再托管或商业复用授权。</t>
  </si>
  <si>
    <r>
      <rPr>
        <sz val="11"/>
        <color rgb="FF20334A"/>
        <rFont val="Arial"/>
        <family val="2"/>
        <charset val="1"/>
      </rPr>
      <t xml:space="preserve">B9/B10</t>
    </r>
    <r>
      <rPr>
        <sz val="11"/>
        <color rgb="FF20334A"/>
        <rFont val="Noto Sans CJK SC"/>
        <family val="2"/>
        <charset val="1"/>
      </rPr>
      <t xml:space="preserve">计数</t>
    </r>
  </si>
  <si>
    <r>
      <rPr>
        <sz val="11"/>
        <color rgb="FF20334A"/>
        <rFont val="Arial"/>
        <family val="2"/>
        <charset val="1"/>
      </rPr>
      <t xml:space="preserve">B9</t>
    </r>
    <r>
      <rPr>
        <sz val="11"/>
        <color rgb="FF20334A"/>
        <rFont val="Noto Sans CJK SC"/>
        <family val="2"/>
        <charset val="1"/>
      </rPr>
      <t xml:space="preserve">十二既有家族＋</t>
    </r>
    <r>
      <rPr>
        <sz val="11"/>
        <color rgb="FF20334A"/>
        <rFont val="Arial"/>
        <family val="2"/>
        <charset val="1"/>
      </rPr>
      <t xml:space="preserve">B10</t>
    </r>
    <r>
      <rPr>
        <sz val="11"/>
        <color rgb="FF20334A"/>
        <rFont val="Noto Sans CJK SC"/>
        <family val="2"/>
        <charset val="1"/>
      </rPr>
      <t xml:space="preserve">一条变体线索为</t>
    </r>
    <r>
      <rPr>
        <sz val="11"/>
        <color rgb="FF20334A"/>
        <rFont val="Arial"/>
        <family val="2"/>
        <charset val="1"/>
      </rPr>
      <t xml:space="preserve">13</t>
    </r>
    <r>
      <rPr>
        <sz val="11"/>
        <color rgb="FF20334A"/>
        <rFont val="Noto Sans CJK SC"/>
        <family val="2"/>
        <charset val="1"/>
      </rPr>
      <t xml:space="preserve">工单。</t>
    </r>
  </si>
  <si>
    <t xml:space="preserve">一次缴费与两年缴费版本不互换。</t>
  </si>
  <si>
    <r>
      <rPr>
        <sz val="11"/>
        <color rgb="FF20334A"/>
        <rFont val="Arial"/>
        <family val="2"/>
        <charset val="1"/>
      </rPr>
      <t xml:space="preserve">HTTP 403</t>
    </r>
    <r>
      <rPr>
        <sz val="11"/>
        <color rgb="FF20334A"/>
        <rFont val="Noto Sans CJK SC"/>
        <family val="2"/>
        <charset val="1"/>
      </rPr>
      <t xml:space="preserve">拒绝与无响应传输不确定分开；不声称全网不存在。</t>
    </r>
  </si>
  <si>
    <r>
      <rPr>
        <sz val="11"/>
        <color rgb="FF20334A"/>
        <rFont val="Arial"/>
        <family val="2"/>
        <charset val="1"/>
      </rPr>
      <t xml:space="preserve">B11</t>
    </r>
    <r>
      <rPr>
        <sz val="11"/>
        <color rgb="FF20334A"/>
        <rFont val="Noto Sans CJK SC"/>
        <family val="2"/>
        <charset val="1"/>
      </rPr>
      <t xml:space="preserve">关系</t>
    </r>
  </si>
  <si>
    <r>
      <rPr>
        <sz val="11"/>
        <color rgb="FF20334A"/>
        <rFont val="Arial"/>
        <family val="2"/>
        <charset val="1"/>
      </rPr>
      <t xml:space="preserve">4</t>
    </r>
    <r>
      <rPr>
        <sz val="11"/>
        <color rgb="FF20334A"/>
        <rFont val="Noto Sans CJK SC"/>
        <family val="2"/>
        <charset val="1"/>
      </rPr>
      <t xml:space="preserve">份</t>
    </r>
    <r>
      <rPr>
        <sz val="11"/>
        <color rgb="FF20334A"/>
        <rFont val="Arial"/>
        <family val="2"/>
        <charset val="1"/>
      </rPr>
      <t xml:space="preserve">103</t>
    </r>
    <r>
      <rPr>
        <sz val="11"/>
        <color rgb="FF20334A"/>
        <rFont val="Noto Sans CJK SC"/>
        <family val="2"/>
        <charset val="1"/>
      </rPr>
      <t xml:space="preserve">页均为非合同信息说明。</t>
    </r>
  </si>
  <si>
    <r>
      <rPr>
        <sz val="11"/>
        <color rgb="FF20334A"/>
        <rFont val="Arial"/>
        <family val="2"/>
        <charset val="1"/>
      </rPr>
      <t xml:space="preserve">1</t>
    </r>
    <r>
      <rPr>
        <sz val="11"/>
        <color rgb="FF20334A"/>
        <rFont val="Noto Sans CJK SC"/>
        <family val="2"/>
        <charset val="1"/>
      </rPr>
      <t xml:space="preserve">项同编号／持有人历史解释关系；另外</t>
    </r>
    <r>
      <rPr>
        <sz val="11"/>
        <color rgb="FF20334A"/>
        <rFont val="Arial"/>
        <family val="2"/>
        <charset val="1"/>
      </rPr>
      <t xml:space="preserve">3</t>
    </r>
    <r>
      <rPr>
        <sz val="11"/>
        <color rgb="FF20334A"/>
        <rFont val="Noto Sans CJK SC"/>
        <family val="2"/>
        <charset val="1"/>
      </rPr>
      <t xml:space="preserve">候选保持未定。</t>
    </r>
  </si>
  <si>
    <t xml:space="preserve">不认定合同并入、补齐主附表、准确版次采用或产品合并。</t>
  </si>
  <si>
    <r>
      <rPr>
        <sz val="11"/>
        <color rgb="FF20334A"/>
        <rFont val="Arial"/>
        <family val="2"/>
        <charset val="1"/>
      </rPr>
      <t xml:space="preserve">B12</t>
    </r>
    <r>
      <rPr>
        <sz val="11"/>
        <color rgb="FF20334A"/>
        <rFont val="Noto Sans CJK SC"/>
        <family val="2"/>
        <charset val="1"/>
      </rPr>
      <t xml:space="preserve">严格</t>
    </r>
  </si>
  <si>
    <r>
      <rPr>
        <sz val="11"/>
        <color rgb="FF20334A"/>
        <rFont val="Arial"/>
        <family val="2"/>
        <charset val="1"/>
      </rPr>
      <t xml:space="preserve">5</t>
    </r>
    <r>
      <rPr>
        <sz val="11"/>
        <color rgb="FF20334A"/>
        <rFont val="Noto Sans CJK SC"/>
        <family val="2"/>
        <charset val="1"/>
      </rPr>
      <t xml:space="preserve">份</t>
    </r>
    <r>
      <rPr>
        <sz val="11"/>
        <color rgb="FF20334A"/>
        <rFont val="Arial"/>
        <family val="2"/>
        <charset val="1"/>
      </rPr>
      <t xml:space="preserve">195</t>
    </r>
    <r>
      <rPr>
        <sz val="11"/>
        <color rgb="FF20334A"/>
        <rFont val="Noto Sans CJK SC"/>
        <family val="2"/>
        <charset val="1"/>
      </rPr>
      <t xml:space="preserve">页均为零售主合同文件。</t>
    </r>
  </si>
  <si>
    <r>
      <rPr>
        <sz val="11"/>
        <color rgb="FF20334A"/>
        <rFont val="Noto Sans CJK SC"/>
        <family val="2"/>
        <charset val="1"/>
      </rPr>
      <t xml:space="preserve">仅</t>
    </r>
    <r>
      <rPr>
        <sz val="11"/>
        <color rgb="FF20334A"/>
        <rFont val="Arial"/>
        <family val="2"/>
        <charset val="1"/>
      </rPr>
      <t xml:space="preserve">PA Direct</t>
    </r>
    <r>
      <rPr>
        <sz val="11"/>
        <color rgb="FF20334A"/>
        <rFont val="Noto Sans CJK SC"/>
        <family val="2"/>
        <charset val="1"/>
      </rPr>
      <t xml:space="preserve">文件级</t>
    </r>
    <r>
      <rPr>
        <sz val="11"/>
        <color rgb="FF20334A"/>
        <rFont val="Arial"/>
        <family val="2"/>
        <charset val="1"/>
      </rPr>
      <t xml:space="preserve">verified</t>
    </r>
    <r>
      <rPr>
        <sz val="11"/>
        <color rgb="FF20334A"/>
        <rFont val="Noto Sans CJK SC"/>
        <family val="2"/>
        <charset val="1"/>
      </rPr>
      <t xml:space="preserve">；</t>
    </r>
    <r>
      <rPr>
        <sz val="11"/>
        <color rgb="FF20334A"/>
        <rFont val="Arial"/>
        <family val="2"/>
        <charset val="1"/>
      </rPr>
      <t xml:space="preserve">Home</t>
    </r>
    <r>
      <rPr>
        <sz val="11"/>
        <color rgb="FF20334A"/>
        <rFont val="Noto Sans CJK SC"/>
        <family val="2"/>
        <charset val="1"/>
      </rPr>
      <t xml:space="preserve">／</t>
    </r>
    <r>
      <rPr>
        <sz val="11"/>
        <color rgb="FF20334A"/>
        <rFont val="Arial"/>
        <family val="2"/>
        <charset val="1"/>
      </rPr>
      <t xml:space="preserve">Travel</t>
    </r>
    <r>
      <rPr>
        <sz val="11"/>
        <color rgb="FF20334A"/>
        <rFont val="Noto Sans CJK SC"/>
        <family val="2"/>
        <charset val="1"/>
      </rPr>
      <t xml:space="preserve">／</t>
    </r>
    <r>
      <rPr>
        <sz val="11"/>
        <color rgb="FF20334A"/>
        <rFont val="Arial"/>
        <family val="2"/>
        <charset val="1"/>
      </rPr>
      <t xml:space="preserve">HealthPro</t>
    </r>
    <r>
      <rPr>
        <sz val="11"/>
        <color rgb="FF20334A"/>
        <rFont val="Noto Sans CJK SC"/>
        <family val="2"/>
        <charset val="1"/>
      </rPr>
      <t xml:space="preserve">／</t>
    </r>
    <r>
      <rPr>
        <sz val="11"/>
        <color rgb="FF20334A"/>
        <rFont val="Arial"/>
        <family val="2"/>
        <charset val="1"/>
      </rPr>
      <t xml:space="preserve">Prime Pro</t>
    </r>
    <r>
      <rPr>
        <sz val="11"/>
        <color rgb="FF20334A"/>
        <rFont val="Noto Sans CJK SC"/>
        <family val="2"/>
        <charset val="1"/>
      </rPr>
      <t xml:space="preserve">保留明确问题。</t>
    </r>
  </si>
  <si>
    <t xml:space="preserve">当前采用、签发、个体齐套与文件级严格独立。</t>
  </si>
  <si>
    <r>
      <rPr>
        <sz val="11"/>
        <color rgb="FF20334A"/>
        <rFont val="Arial"/>
        <family val="2"/>
        <charset val="1"/>
      </rPr>
      <t xml:space="preserve">B13</t>
    </r>
    <r>
      <rPr>
        <sz val="11"/>
        <color rgb="FF20334A"/>
        <rFont val="Noto Sans CJK SC"/>
        <family val="2"/>
        <charset val="1"/>
      </rPr>
      <t xml:space="preserve">证据限制</t>
    </r>
  </si>
  <si>
    <r>
      <rPr>
        <sz val="11"/>
        <color rgb="FF20334A"/>
        <rFont val="Noto Sans CJK SC"/>
        <family val="2"/>
        <charset val="1"/>
      </rPr>
      <t xml:space="preserve">响应正文和正文</t>
    </r>
    <r>
      <rPr>
        <sz val="11"/>
        <color rgb="FF20334A"/>
        <rFont val="Arial"/>
        <family val="2"/>
        <charset val="1"/>
      </rPr>
      <t xml:space="preserve">SHA</t>
    </r>
    <r>
      <rPr>
        <sz val="11"/>
        <color rgb="FF20334A"/>
        <rFont val="Noto Sans CJK SC"/>
        <family val="2"/>
        <charset val="1"/>
      </rPr>
      <t xml:space="preserve">均未保存。</t>
    </r>
  </si>
  <si>
    <r>
      <rPr>
        <sz val="11"/>
        <color rgb="FF20334A"/>
        <rFont val="Noto Sans CJK SC"/>
        <family val="2"/>
        <charset val="1"/>
      </rPr>
      <t xml:space="preserve">浏览器说明由执行者转录／重建，不能独立回放或声称视觉</t>
    </r>
    <r>
      <rPr>
        <sz val="11"/>
        <color rgb="FF20334A"/>
        <rFont val="Arial"/>
        <family val="2"/>
        <charset val="1"/>
      </rPr>
      <t xml:space="preserve">QA</t>
    </r>
    <r>
      <rPr>
        <sz val="11"/>
        <color rgb="FF20334A"/>
        <rFont val="Noto Sans CJK SC"/>
        <family val="2"/>
        <charset val="1"/>
      </rPr>
      <t xml:space="preserve">。</t>
    </r>
  </si>
  <si>
    <r>
      <rPr>
        <sz val="11"/>
        <color rgb="FF20334A"/>
        <rFont val="Arial"/>
        <family val="2"/>
        <charset val="1"/>
      </rPr>
      <t xml:space="preserve">503</t>
    </r>
    <r>
      <rPr>
        <sz val="11"/>
        <color rgb="FF20334A"/>
        <rFont val="Noto Sans CJK SC"/>
        <family val="2"/>
        <charset val="1"/>
      </rPr>
      <t xml:space="preserve">不是权限拒绝；</t>
    </r>
    <r>
      <rPr>
        <sz val="11"/>
        <color rgb="FF20334A"/>
        <rFont val="Arial"/>
        <family val="2"/>
        <charset val="1"/>
      </rPr>
      <t xml:space="preserve">SPAN</t>
    </r>
    <r>
      <rPr>
        <sz val="11"/>
        <color rgb="FF20334A"/>
        <rFont val="Noto Sans CJK SC"/>
        <family val="2"/>
        <charset val="1"/>
      </rPr>
      <t xml:space="preserve">无</t>
    </r>
    <r>
      <rPr>
        <sz val="11"/>
        <color rgb="FF20334A"/>
        <rFont val="Arial"/>
        <family val="2"/>
        <charset val="1"/>
      </rPr>
      <t xml:space="preserve">href</t>
    </r>
    <r>
      <rPr>
        <sz val="11"/>
        <color rgb="FF20334A"/>
        <rFont val="Noto Sans CJK SC"/>
        <family val="2"/>
        <charset val="1"/>
      </rPr>
      <t xml:space="preserve">不能排除点击处理或其他公开条款。</t>
    </r>
  </si>
  <si>
    <r>
      <rPr>
        <sz val="11"/>
        <color rgb="FF20334A"/>
        <rFont val="Arial"/>
        <family val="2"/>
        <charset val="1"/>
      </rPr>
      <t xml:space="preserve">B14</t>
    </r>
    <r>
      <rPr>
        <sz val="11"/>
        <color rgb="FF20334A"/>
        <rFont val="Noto Sans CJK SC"/>
        <family val="2"/>
        <charset val="1"/>
      </rPr>
      <t xml:space="preserve">证据限制</t>
    </r>
  </si>
  <si>
    <t xml:space="preserve">工具元数据摘录及哈希一致，不是完整原始浏览器轨迹。</t>
  </si>
  <si>
    <t xml:space="preserve">点击前后及等待完成为时段／上界；截图未留供独立视觉复核。</t>
  </si>
  <si>
    <r>
      <rPr>
        <sz val="11"/>
        <color rgb="FF20334A"/>
        <rFont val="Noto Sans CJK SC"/>
        <family val="2"/>
        <charset val="1"/>
      </rPr>
      <t xml:space="preserve">两次探测未得文档</t>
    </r>
    <r>
      <rPr>
        <sz val="11"/>
        <color rgb="FF20334A"/>
        <rFont val="Arial"/>
        <family val="2"/>
        <charset val="1"/>
      </rPr>
      <t xml:space="preserve">URL</t>
    </r>
    <r>
      <rPr>
        <sz val="11"/>
        <color rgb="FF20334A"/>
        <rFont val="Noto Sans CJK SC"/>
        <family val="2"/>
        <charset val="1"/>
      </rPr>
      <t xml:space="preserve">／</t>
    </r>
    <r>
      <rPr>
        <sz val="11"/>
        <color rgb="FF20334A"/>
        <rFont val="Arial"/>
        <family val="2"/>
        <charset val="1"/>
      </rPr>
      <t xml:space="preserve">PDF</t>
    </r>
    <r>
      <rPr>
        <sz val="11"/>
        <color rgb="FF20334A"/>
        <rFont val="Noto Sans CJK SC"/>
        <family val="2"/>
        <charset val="1"/>
      </rPr>
      <t xml:space="preserve">。无新原件、主文、全文、严格或产品闭合。</t>
    </r>
  </si>
  <si>
    <t xml:space="preserve">统计重计</t>
  </si>
  <si>
    <r>
      <rPr>
        <sz val="11"/>
        <color rgb="FF20334A"/>
        <rFont val="Arial"/>
        <family val="2"/>
        <charset val="1"/>
      </rPr>
      <t xml:space="preserve">D1–B14</t>
    </r>
    <r>
      <rPr>
        <sz val="11"/>
        <color rgb="FF20334A"/>
        <rFont val="Noto Sans CJK SC"/>
        <family val="2"/>
        <charset val="1"/>
      </rPr>
      <t xml:space="preserve">共</t>
    </r>
    <r>
      <rPr>
        <sz val="11"/>
        <color rgb="FF20334A"/>
        <rFont val="Arial"/>
        <family val="2"/>
        <charset val="1"/>
      </rPr>
      <t xml:space="preserve">108</t>
    </r>
    <r>
      <rPr>
        <sz val="11"/>
        <color rgb="FF20334A"/>
        <rFont val="Noto Sans CJK SC"/>
        <family val="2"/>
        <charset val="1"/>
      </rPr>
      <t xml:space="preserve">工单、</t>
    </r>
    <r>
      <rPr>
        <sz val="11"/>
        <color rgb="FF20334A"/>
        <rFont val="Arial"/>
        <family val="2"/>
        <charset val="1"/>
      </rPr>
      <t xml:space="preserve">45</t>
    </r>
    <r>
      <rPr>
        <sz val="11"/>
        <color rgb="FF20334A"/>
        <rFont val="Noto Sans CJK SC"/>
        <family val="2"/>
        <charset val="1"/>
      </rPr>
      <t xml:space="preserve">份既存全审</t>
    </r>
    <r>
      <rPr>
        <sz val="11"/>
        <color rgb="FF20334A"/>
        <rFont val="Arial"/>
        <family val="2"/>
        <charset val="1"/>
      </rPr>
      <t xml:space="preserve">1243</t>
    </r>
    <r>
      <rPr>
        <sz val="11"/>
        <color rgb="FF20334A"/>
        <rFont val="Noto Sans CJK SC"/>
        <family val="2"/>
        <charset val="1"/>
      </rPr>
      <t xml:space="preserve">页。</t>
    </r>
  </si>
  <si>
    <r>
      <rPr>
        <sz val="11"/>
        <color rgb="FF20334A"/>
        <rFont val="Noto Sans CJK SC"/>
        <family val="2"/>
        <charset val="1"/>
      </rPr>
      <t xml:space="preserve">新支持原件</t>
    </r>
    <r>
      <rPr>
        <sz val="11"/>
        <color rgb="FF20334A"/>
        <rFont val="Arial"/>
        <family val="2"/>
        <charset val="1"/>
      </rPr>
      <t xml:space="preserve">3</t>
    </r>
    <r>
      <rPr>
        <sz val="11"/>
        <color rgb="FF20334A"/>
        <rFont val="Noto Sans CJK SC"/>
        <family val="2"/>
        <charset val="1"/>
      </rPr>
      <t xml:space="preserve">、主角色净</t>
    </r>
    <r>
      <rPr>
        <sz val="11"/>
        <color rgb="FF20334A"/>
        <rFont val="Arial"/>
        <family val="2"/>
        <charset val="1"/>
      </rPr>
      <t xml:space="preserve">+26</t>
    </r>
    <r>
      <rPr>
        <sz val="11"/>
        <color rgb="FF20334A"/>
        <rFont val="Noto Sans CJK SC"/>
        <family val="2"/>
        <charset val="1"/>
      </rPr>
      <t xml:space="preserve">、严格</t>
    </r>
    <r>
      <rPr>
        <sz val="11"/>
        <color rgb="FF20334A"/>
        <rFont val="Arial"/>
        <family val="2"/>
        <charset val="1"/>
      </rPr>
      <t xml:space="preserve">+3</t>
    </r>
    <r>
      <rPr>
        <sz val="11"/>
        <color rgb="FF20334A"/>
        <rFont val="Noto Sans CJK SC"/>
        <family val="2"/>
        <charset val="1"/>
      </rPr>
      <t xml:space="preserve">；产品／包闭合</t>
    </r>
    <r>
      <rPr>
        <sz val="11"/>
        <color rgb="FF20334A"/>
        <rFont val="Arial"/>
        <family val="2"/>
        <charset val="1"/>
      </rPr>
      <t xml:space="preserve">0</t>
    </r>
    <r>
      <rPr>
        <sz val="11"/>
        <color rgb="FF20334A"/>
        <rFont val="Noto Sans CJK SC"/>
        <family val="2"/>
        <charset val="1"/>
      </rPr>
      <t xml:space="preserve">。</t>
    </r>
  </si>
  <si>
    <r>
      <rPr>
        <sz val="11"/>
        <color rgb="FF20334A"/>
        <rFont val="Arial"/>
        <family val="2"/>
        <charset val="1"/>
      </rPr>
      <t xml:space="preserve">B15</t>
    </r>
    <r>
      <rPr>
        <sz val="11"/>
        <color rgb="FF20334A"/>
        <rFont val="Noto Sans CJK SC"/>
        <family val="2"/>
        <charset val="1"/>
      </rPr>
      <t xml:space="preserve">试点排除。不是</t>
    </r>
    <r>
      <rPr>
        <sz val="11"/>
        <color rgb="FF20334A"/>
        <rFont val="Arial"/>
        <family val="2"/>
        <charset val="1"/>
      </rPr>
      <t xml:space="preserve">108</t>
    </r>
    <r>
      <rPr>
        <sz val="11"/>
        <color rgb="FF20334A"/>
        <rFont val="Noto Sans CJK SC"/>
        <family val="2"/>
        <charset val="1"/>
      </rPr>
      <t xml:space="preserve">个或</t>
    </r>
    <r>
      <rPr>
        <sz val="11"/>
        <color rgb="FF20334A"/>
        <rFont val="Arial"/>
        <family val="2"/>
        <charset val="1"/>
      </rPr>
      <t xml:space="preserve">45</t>
    </r>
    <r>
      <rPr>
        <sz val="11"/>
        <color rgb="FF20334A"/>
        <rFont val="Noto Sans CJK SC"/>
        <family val="2"/>
        <charset val="1"/>
      </rPr>
      <t xml:space="preserve">个已完成产品。</t>
    </r>
  </si>
  <si>
    <t xml:space="preserve">发布与验收</t>
  </si>
  <si>
    <t xml:space="preserve">本地内容已验收不等于远端已发布。</t>
  </si>
  <si>
    <t xml:space="preserve">只用成功部署和精确固定索引回验更新当前发布字段。</t>
  </si>
  <si>
    <r>
      <rPr>
        <sz val="11"/>
        <color rgb="FF20334A"/>
        <rFont val="Arial"/>
        <family val="2"/>
        <charset val="1"/>
      </rPr>
      <t xml:space="preserve">B4/B5/B6</t>
    </r>
    <r>
      <rPr>
        <sz val="11"/>
        <color rgb="FF20334A"/>
        <rFont val="Noto Sans CJK SC"/>
        <family val="2"/>
        <charset val="1"/>
      </rPr>
      <t xml:space="preserve">的</t>
    </r>
    <r>
      <rPr>
        <sz val="11"/>
        <color rgb="FF20334A"/>
        <rFont val="Arial"/>
        <family val="2"/>
        <charset val="1"/>
      </rPr>
      <t xml:space="preserve">v117</t>
    </r>
    <r>
      <rPr>
        <sz val="11"/>
        <color rgb="FF20334A"/>
        <rFont val="Noto Sans CJK SC"/>
        <family val="2"/>
        <charset val="1"/>
      </rPr>
      <t xml:space="preserve">／</t>
    </r>
    <r>
      <rPr>
        <sz val="11"/>
        <color rgb="FF20334A"/>
        <rFont val="Arial"/>
        <family val="2"/>
        <charset val="1"/>
      </rPr>
      <t xml:space="preserve">v93</t>
    </r>
    <r>
      <rPr>
        <sz val="11"/>
        <color rgb="FF20334A"/>
        <rFont val="Noto Sans CJK SC"/>
        <family val="2"/>
        <charset val="1"/>
      </rPr>
      <t xml:space="preserve">及早期发布记录作为历史保留。</t>
    </r>
  </si>
  <si>
    <t xml:space="preserve">角色层独立计量</t>
  </si>
  <si>
    <r>
      <rPr>
        <sz val="11"/>
        <color rgb="FF20334A"/>
        <rFont val="Arial"/>
        <family val="2"/>
        <charset val="1"/>
      </rPr>
      <t xml:space="preserve">B15–B18</t>
    </r>
    <r>
      <rPr>
        <sz val="11"/>
        <color rgb="FF20334A"/>
        <rFont val="Noto Sans CJK SC"/>
        <family val="2"/>
        <charset val="1"/>
      </rPr>
      <t xml:space="preserve">共</t>
    </r>
    <r>
      <rPr>
        <sz val="11"/>
        <color rgb="FF20334A"/>
        <rFont val="Arial"/>
        <family val="2"/>
        <charset val="1"/>
      </rPr>
      <t xml:space="preserve">90</t>
    </r>
    <r>
      <rPr>
        <sz val="11"/>
        <color rgb="FF20334A"/>
        <rFont val="Noto Sans CJK SC"/>
        <family val="2"/>
        <charset val="1"/>
      </rPr>
      <t xml:space="preserve">；原</t>
    </r>
    <r>
      <rPr>
        <sz val="11"/>
        <color rgb="FF20334A"/>
        <rFont val="Arial"/>
        <family val="2"/>
        <charset val="1"/>
      </rPr>
      <t xml:space="preserve">D1–B14</t>
    </r>
    <r>
      <rPr>
        <sz val="11"/>
        <color rgb="FF20334A"/>
        <rFont val="Noto Sans CJK SC"/>
        <family val="2"/>
        <charset val="1"/>
      </rPr>
      <t xml:space="preserve">共</t>
    </r>
    <r>
      <rPr>
        <sz val="11"/>
        <color rgb="FF20334A"/>
        <rFont val="Arial"/>
        <family val="2"/>
        <charset val="1"/>
      </rPr>
      <t xml:space="preserve">108</t>
    </r>
    <r>
      <rPr>
        <sz val="11"/>
        <color rgb="FF20334A"/>
        <rFont val="Noto Sans CJK SC"/>
        <family val="2"/>
        <charset val="1"/>
      </rPr>
      <t xml:space="preserve">，合计</t>
    </r>
    <r>
      <rPr>
        <sz val="11"/>
        <color rgb="FF20334A"/>
        <rFont val="Arial"/>
        <family val="2"/>
        <charset val="1"/>
      </rPr>
      <t xml:space="preserve">198</t>
    </r>
    <r>
      <rPr>
        <sz val="11"/>
        <color rgb="FF20334A"/>
        <rFont val="Noto Sans CJK SC"/>
        <family val="2"/>
        <charset val="1"/>
      </rPr>
      <t xml:space="preserve">工单。</t>
    </r>
  </si>
  <si>
    <t xml:space="preserve">90角色记录按原件ID＋SHA匹配，不覆盖历史审读层。</t>
  </si>
  <si>
    <r>
      <rPr>
        <sz val="11"/>
        <color rgb="FF20334A"/>
        <rFont val="Arial"/>
        <family val="2"/>
        <charset val="1"/>
      </rPr>
      <t xml:space="preserve">45</t>
    </r>
    <r>
      <rPr>
        <sz val="11"/>
        <color rgb="FF20334A"/>
        <rFont val="Noto Sans CJK SC"/>
        <family val="2"/>
        <charset val="1"/>
      </rPr>
      <t xml:space="preserve">份全审</t>
    </r>
    <r>
      <rPr>
        <sz val="11"/>
        <color rgb="FF20334A"/>
        <rFont val="Arial"/>
        <family val="2"/>
        <charset val="1"/>
      </rPr>
      <t xml:space="preserve">1243</t>
    </r>
    <r>
      <rPr>
        <sz val="11"/>
        <color rgb="FF20334A"/>
        <rFont val="Noto Sans CJK SC"/>
        <family val="2"/>
        <charset val="1"/>
      </rPr>
      <t xml:space="preserve">页／</t>
    </r>
    <r>
      <rPr>
        <sz val="11"/>
        <color rgb="FF20334A"/>
        <rFont val="Arial"/>
        <family val="2"/>
        <charset val="1"/>
      </rPr>
      <t xml:space="preserve">3</t>
    </r>
    <r>
      <rPr>
        <sz val="11"/>
        <color rgb="FF20334A"/>
        <rFont val="Noto Sans CJK SC"/>
        <family val="2"/>
        <charset val="1"/>
      </rPr>
      <t xml:space="preserve">支持原件及期初</t>
    </r>
    <r>
      <rPr>
        <sz val="11"/>
        <color rgb="FF20334A"/>
        <rFont val="Arial"/>
        <family val="2"/>
        <charset val="1"/>
      </rPr>
      <t xml:space="preserve">138</t>
    </r>
    <r>
      <rPr>
        <sz val="11"/>
        <color rgb="FF20334A"/>
        <rFont val="Noto Sans CJK SC"/>
        <family val="2"/>
        <charset val="1"/>
      </rPr>
      <t xml:space="preserve">不变。</t>
    </r>
  </si>
  <si>
    <t xml:space="preserve">页数口径</t>
  </si>
  <si>
    <r>
      <rPr>
        <sz val="11"/>
        <color rgb="FF20334A"/>
        <rFont val="Noto Sans CJK SC"/>
        <family val="2"/>
        <charset val="1"/>
      </rPr>
      <t xml:space="preserve">库存</t>
    </r>
    <r>
      <rPr>
        <sz val="11"/>
        <color rgb="FF20334A"/>
        <rFont val="Arial"/>
        <family val="2"/>
        <charset val="1"/>
      </rPr>
      <t xml:space="preserve">5186</t>
    </r>
    <r>
      <rPr>
        <sz val="11"/>
        <color rgb="FF20334A"/>
        <rFont val="Noto Sans CJK SC"/>
        <family val="2"/>
        <charset val="1"/>
      </rPr>
      <t xml:space="preserve">；执行有限锚点</t>
    </r>
    <r>
      <rPr>
        <sz val="11"/>
        <color rgb="FF20334A"/>
        <rFont val="Arial"/>
        <family val="2"/>
        <charset val="1"/>
      </rPr>
      <t xml:space="preserve">945</t>
    </r>
    <r>
      <rPr>
        <sz val="11"/>
        <color rgb="FF20334A"/>
        <rFont val="Noto Sans CJK SC"/>
        <family val="2"/>
        <charset val="1"/>
      </rPr>
      <t xml:space="preserve">；独立</t>
    </r>
    <r>
      <rPr>
        <sz val="11"/>
        <color rgb="FF20334A"/>
        <rFont val="Arial"/>
        <family val="2"/>
        <charset val="1"/>
      </rPr>
      <t xml:space="preserve">QA</t>
    </r>
    <r>
      <rPr>
        <sz val="11"/>
        <color rgb="FF20334A"/>
        <rFont val="Noto Sans CJK SC"/>
        <family val="2"/>
        <charset val="1"/>
      </rPr>
      <t xml:space="preserve">有限锚点</t>
    </r>
    <r>
      <rPr>
        <sz val="11"/>
        <color rgb="FF20334A"/>
        <rFont val="Arial"/>
        <family val="2"/>
        <charset val="1"/>
      </rPr>
      <t xml:space="preserve">627</t>
    </r>
    <r>
      <rPr>
        <sz val="11"/>
        <color rgb="FF20334A"/>
        <rFont val="Noto Sans CJK SC"/>
        <family val="2"/>
        <charset val="1"/>
      </rPr>
      <t xml:space="preserve">。</t>
    </r>
  </si>
  <si>
    <t xml:space="preserve">执行和QA页码分别列明；二者重叠，不相加。</t>
  </si>
  <si>
    <t xml:space="preserve">锚点检查不等于选中页通读，更不等于全文。</t>
  </si>
  <si>
    <t xml:space="preserve">角色主文提议</t>
  </si>
  <si>
    <r>
      <rPr>
        <sz val="11"/>
        <color rgb="FF20334A"/>
        <rFont val="Arial"/>
        <family val="2"/>
        <charset val="1"/>
      </rPr>
      <t xml:space="preserve">77</t>
    </r>
    <r>
      <rPr>
        <sz val="11"/>
        <color rgb="FF20334A"/>
        <rFont val="Noto Sans CJK SC"/>
        <family val="2"/>
        <charset val="1"/>
      </rPr>
      <t xml:space="preserve">份＝</t>
    </r>
    <r>
      <rPr>
        <sz val="11"/>
        <color rgb="FF20334A"/>
        <rFont val="Arial"/>
        <family val="2"/>
        <charset val="1"/>
      </rPr>
      <t xml:space="preserve">B15 3</t>
    </r>
    <r>
      <rPr>
        <sz val="11"/>
        <color rgb="FF20334A"/>
        <rFont val="Noto Sans CJK SC"/>
        <family val="2"/>
        <charset val="1"/>
      </rPr>
      <t xml:space="preserve">＋</t>
    </r>
    <r>
      <rPr>
        <sz val="11"/>
        <color rgb="FF20334A"/>
        <rFont val="Arial"/>
        <family val="2"/>
        <charset val="1"/>
      </rPr>
      <t xml:space="preserve">B16 27</t>
    </r>
    <r>
      <rPr>
        <sz val="11"/>
        <color rgb="FF20334A"/>
        <rFont val="Noto Sans CJK SC"/>
        <family val="2"/>
        <charset val="1"/>
      </rPr>
      <t xml:space="preserve">＋</t>
    </r>
    <r>
      <rPr>
        <sz val="11"/>
        <color rgb="FF20334A"/>
        <rFont val="Arial"/>
        <family val="2"/>
        <charset val="1"/>
      </rPr>
      <t xml:space="preserve">B17 30</t>
    </r>
    <r>
      <rPr>
        <sz val="11"/>
        <color rgb="FF20334A"/>
        <rFont val="Noto Sans CJK SC"/>
        <family val="2"/>
        <charset val="1"/>
      </rPr>
      <t xml:space="preserve">＋</t>
    </r>
    <r>
      <rPr>
        <sz val="11"/>
        <color rgb="FF20334A"/>
        <rFont val="Arial"/>
        <family val="2"/>
        <charset val="1"/>
      </rPr>
      <t xml:space="preserve">B18 17</t>
    </r>
    <r>
      <rPr>
        <sz val="11"/>
        <color rgb="FF20334A"/>
        <rFont val="Noto Sans CJK SC"/>
        <family val="2"/>
        <charset val="1"/>
      </rPr>
      <t xml:space="preserve">。</t>
    </r>
  </si>
  <si>
    <t xml:space="preserve">每个原件保留来源标签、正文身份及版次／附表限制。</t>
  </si>
  <si>
    <t xml:space="preserve">不自动建立产品、持有人、版次、当前采用或家族闭合。</t>
  </si>
  <si>
    <r>
      <rPr>
        <sz val="11"/>
        <color rgb="FF20334A"/>
        <rFont val="Arial"/>
        <family val="2"/>
        <charset val="1"/>
      </rPr>
      <t xml:space="preserve">B15</t>
    </r>
    <r>
      <rPr>
        <sz val="11"/>
        <color rgb="FF20334A"/>
        <rFont val="Noto Sans CJK SC"/>
        <family val="2"/>
        <charset val="1"/>
      </rPr>
      <t xml:space="preserve">七份非合同信息说明。</t>
    </r>
  </si>
  <si>
    <t xml:space="preserve">与真正主合同分开；不能填补主合同缺口。</t>
  </si>
  <si>
    <t xml:space="preserve">角色验收不产生全文／严格／齐套增量。</t>
  </si>
  <si>
    <t xml:space="preserve">六项映射保留</t>
  </si>
  <si>
    <r>
      <rPr>
        <sz val="11"/>
        <color rgb="FF20334A"/>
        <rFont val="Arial"/>
        <family val="2"/>
        <charset val="1"/>
      </rPr>
      <t xml:space="preserve">B16-MY-004</t>
    </r>
    <r>
      <rPr>
        <sz val="11"/>
        <color rgb="FF20334A"/>
        <rFont val="Noto Sans CJK SC"/>
        <family val="2"/>
        <charset val="1"/>
      </rPr>
      <t xml:space="preserve">／</t>
    </r>
    <r>
      <rPr>
        <sz val="11"/>
        <color rgb="FF20334A"/>
        <rFont val="Arial"/>
        <family val="2"/>
        <charset val="1"/>
      </rPr>
      <t xml:space="preserve">022</t>
    </r>
    <r>
      <rPr>
        <sz val="11"/>
        <color rgb="FF20334A"/>
        <rFont val="Noto Sans CJK SC"/>
        <family val="2"/>
        <charset val="1"/>
      </rPr>
      <t xml:space="preserve">／</t>
    </r>
    <r>
      <rPr>
        <sz val="11"/>
        <color rgb="FF20334A"/>
        <rFont val="Arial"/>
        <family val="2"/>
        <charset val="1"/>
      </rPr>
      <t xml:space="preserve">027</t>
    </r>
    <r>
      <rPr>
        <sz val="11"/>
        <color rgb="FF20334A"/>
        <rFont val="Noto Sans CJK SC"/>
        <family val="2"/>
        <charset val="1"/>
      </rPr>
      <t xml:space="preserve">；</t>
    </r>
    <r>
      <rPr>
        <sz val="11"/>
        <color rgb="FF20334A"/>
        <rFont val="Arial"/>
        <family val="2"/>
        <charset val="1"/>
      </rPr>
      <t xml:space="preserve">B18-MY-011</t>
    </r>
    <r>
      <rPr>
        <sz val="11"/>
        <color rgb="FF20334A"/>
        <rFont val="Noto Sans CJK SC"/>
        <family val="2"/>
        <charset val="1"/>
      </rPr>
      <t xml:space="preserve">／</t>
    </r>
    <r>
      <rPr>
        <sz val="11"/>
        <color rgb="FF20334A"/>
        <rFont val="Arial"/>
        <family val="2"/>
        <charset val="1"/>
      </rPr>
      <t xml:space="preserve">016</t>
    </r>
    <r>
      <rPr>
        <sz val="11"/>
        <color rgb="FF20334A"/>
        <rFont val="Noto Sans CJK SC"/>
        <family val="2"/>
        <charset val="1"/>
      </rPr>
      <t xml:space="preserve">；</t>
    </r>
    <r>
      <rPr>
        <sz val="11"/>
        <color rgb="FF20334A"/>
        <rFont val="Arial"/>
        <family val="2"/>
        <charset val="1"/>
      </rPr>
      <t xml:space="preserve">B18-KH-018</t>
    </r>
    <r>
      <rPr>
        <sz val="11"/>
        <color rgb="FF20334A"/>
        <rFont val="Noto Sans CJK SC"/>
        <family val="2"/>
        <charset val="1"/>
      </rPr>
      <t xml:space="preserve">。</t>
    </r>
  </si>
  <si>
    <t xml:space="preserve">保留来源与正文冲突，不强制主角色提议。</t>
  </si>
  <si>
    <r>
      <rPr>
        <sz val="11"/>
        <color rgb="FF20334A"/>
        <rFont val="Noto Sans CJK SC"/>
        <family val="2"/>
        <charset val="1"/>
      </rPr>
      <t xml:space="preserve">具体原因见角色明细</t>
    </r>
    <r>
      <rPr>
        <sz val="11"/>
        <color rgb="FF20334A"/>
        <rFont val="Arial"/>
        <family val="2"/>
        <charset val="1"/>
      </rPr>
      <t xml:space="preserve">Z</t>
    </r>
    <r>
      <rPr>
        <sz val="11"/>
        <color rgb="FF20334A"/>
        <rFont val="Noto Sans CJK SC"/>
        <family val="2"/>
        <charset val="1"/>
      </rPr>
      <t xml:space="preserve">列及相应私有元数据包。</t>
    </r>
  </si>
  <si>
    <t xml:space="preserve">B17身份限定</t>
  </si>
  <si>
    <r>
      <rPr>
        <sz val="11"/>
        <color rgb="FF20334A"/>
        <rFont val="Arial"/>
        <family val="2"/>
        <charset val="1"/>
      </rPr>
      <t xml:space="preserve">30</t>
    </r>
    <r>
      <rPr>
        <sz val="11"/>
        <color rgb="FF20334A"/>
        <rFont val="Noto Sans CJK SC"/>
        <family val="2"/>
        <charset val="1"/>
      </rPr>
      <t xml:space="preserve">份均仅为带限定条件的主文文件角色。</t>
    </r>
  </si>
  <si>
    <t xml:space="preserve">所有来源具名持有人、变体、版次或现行身份仍须独立证据。</t>
  </si>
  <si>
    <r>
      <rPr>
        <sz val="11"/>
        <color rgb="FF20334A"/>
        <rFont val="Noto Sans CJK SC"/>
        <family val="2"/>
        <charset val="1"/>
      </rPr>
      <t xml:space="preserve">无条件来源身份采用</t>
    </r>
    <r>
      <rPr>
        <sz val="11"/>
        <color rgb="FF20334A"/>
        <rFont val="Arial"/>
        <family val="2"/>
        <charset val="1"/>
      </rPr>
      <t xml:space="preserve">0</t>
    </r>
    <r>
      <rPr>
        <sz val="11"/>
        <color rgb="FF20334A"/>
        <rFont val="Noto Sans CJK SC"/>
        <family val="2"/>
        <charset val="1"/>
      </rPr>
      <t xml:space="preserve">；不从角色主文观察推导产品映射。</t>
    </r>
  </si>
  <si>
    <t xml:space="preserve">B17精确纠正</t>
  </si>
  <si>
    <r>
      <rPr>
        <sz val="11"/>
        <color rgb="FF20334A"/>
        <rFont val="Arial"/>
        <family val="2"/>
        <charset val="1"/>
      </rPr>
      <t xml:space="preserve">002</t>
    </r>
    <r>
      <rPr>
        <sz val="11"/>
        <color rgb="FF20334A"/>
        <rFont val="Noto Sans CJK SC"/>
        <family val="2"/>
        <charset val="1"/>
      </rPr>
      <t xml:space="preserve">页脚</t>
    </r>
    <r>
      <rPr>
        <sz val="11"/>
        <color rgb="FF20334A"/>
        <rFont val="Arial"/>
        <family val="2"/>
        <charset val="1"/>
      </rPr>
      <t xml:space="preserve">13/19</t>
    </r>
    <r>
      <rPr>
        <sz val="11"/>
        <color rgb="FF20334A"/>
        <rFont val="Noto Sans CJK SC"/>
        <family val="2"/>
        <charset val="1"/>
      </rPr>
      <t xml:space="preserve">；</t>
    </r>
    <r>
      <rPr>
        <sz val="11"/>
        <color rgb="FF20334A"/>
        <rFont val="Arial"/>
        <family val="2"/>
        <charset val="1"/>
      </rPr>
      <t xml:space="preserve">012</t>
    </r>
    <r>
      <rPr>
        <sz val="11"/>
        <color rgb="FF20334A"/>
        <rFont val="Noto Sans CJK SC"/>
        <family val="2"/>
        <charset val="1"/>
      </rPr>
      <t xml:space="preserve">与</t>
    </r>
    <r>
      <rPr>
        <sz val="11"/>
        <color rgb="FF20334A"/>
        <rFont val="Arial"/>
        <family val="2"/>
        <charset val="1"/>
      </rPr>
      <t xml:space="preserve">017</t>
    </r>
    <r>
      <rPr>
        <sz val="11"/>
        <color rgb="FF20334A"/>
        <rFont val="Noto Sans CJK SC"/>
        <family val="2"/>
        <charset val="1"/>
      </rPr>
      <t xml:space="preserve">局部跳页及嵌入</t>
    </r>
    <r>
      <rPr>
        <sz val="11"/>
        <color rgb="FF20334A"/>
        <rFont val="Arial"/>
        <family val="2"/>
        <charset val="1"/>
      </rPr>
      <t xml:space="preserve">Combo A</t>
    </r>
    <r>
      <rPr>
        <sz val="11"/>
        <color rgb="FF20334A"/>
        <rFont val="Noto Sans CJK SC"/>
        <family val="2"/>
        <charset val="1"/>
      </rPr>
      <t xml:space="preserve">表；</t>
    </r>
    <r>
      <rPr>
        <sz val="11"/>
        <color rgb="FF20334A"/>
        <rFont val="Arial"/>
        <family val="2"/>
        <charset val="1"/>
      </rPr>
      <t xml:space="preserve">029</t>
    </r>
    <r>
      <rPr>
        <sz val="11"/>
        <color rgb="FF20334A"/>
        <rFont val="Noto Sans CJK SC"/>
        <family val="2"/>
        <charset val="1"/>
      </rPr>
      <t xml:space="preserve">物理</t>
    </r>
    <r>
      <rPr>
        <sz val="11"/>
        <color rgb="FF20334A"/>
        <rFont val="Arial"/>
        <family val="2"/>
        <charset val="1"/>
      </rPr>
      <t xml:space="preserve">15/16</t>
    </r>
    <r>
      <rPr>
        <sz val="11"/>
        <color rgb="FF20334A"/>
        <rFont val="Noto Sans CJK SC"/>
        <family val="2"/>
        <charset val="1"/>
      </rPr>
      <t xml:space="preserve">相邻页脚</t>
    </r>
    <r>
      <rPr>
        <sz val="11"/>
        <color rgb="FF20334A"/>
        <rFont val="Arial"/>
        <family val="2"/>
        <charset val="1"/>
      </rPr>
      <t xml:space="preserve">2/9</t>
    </r>
    <r>
      <rPr>
        <sz val="11"/>
        <color rgb="FF20334A"/>
        <rFont val="Noto Sans CJK SC"/>
        <family val="2"/>
        <charset val="1"/>
      </rPr>
      <t xml:space="preserve">。</t>
    </r>
  </si>
  <si>
    <t xml:space="preserve">保留物理锚点，不用页脚号代替物理页；局部跳页不证明全文件缺失。</t>
  </si>
  <si>
    <t xml:space="preserve">嵌入表不增独立附约／产品；未全文协调。</t>
  </si>
  <si>
    <t xml:space="preserve">角色阶段全文快照</t>
  </si>
  <si>
    <t xml:space="preserve">B15–B18角色验收时全部90份待全文；该冻结历史保留。</t>
  </si>
  <si>
    <t xml:space="preserve">本轮全文0、严格0、当前采用0、齐套0、独立产品0、缺口闭合0。</t>
  </si>
  <si>
    <t xml:space="preserve">角色层历史45全审／1243页不变；B19另增4份106页，不混入角色锚点。</t>
  </si>
  <si>
    <t xml:space="preserve">当前实际发布</t>
  </si>
  <si>
    <t xml:space="preserve">当前网站v126／固定索引v102主角色2749；B28主角色增量0。</t>
  </si>
  <si>
    <t xml:space="preserve">77个限定文件角色已发布并精确回验；来源身份、全文与当前采用不升级。</t>
  </si>
  <si>
    <t xml:space="preserve">实际版本以成功发布／原生版本及精确远端字节回验为准。</t>
  </si>
  <si>
    <r>
      <rPr>
        <sz val="11"/>
        <color rgb="FF20334A"/>
        <rFont val="Arial"/>
        <family val="2"/>
        <charset val="1"/>
      </rPr>
      <t xml:space="preserve">B15</t>
    </r>
    <r>
      <rPr>
        <sz val="11"/>
        <color rgb="FF20334A"/>
        <rFont val="Noto Sans CJK SC"/>
        <family val="2"/>
        <charset val="1"/>
      </rPr>
      <t xml:space="preserve">、</t>
    </r>
    <r>
      <rPr>
        <sz val="11"/>
        <color rgb="FF20334A"/>
        <rFont val="Arial"/>
        <family val="2"/>
        <charset val="1"/>
      </rPr>
      <t xml:space="preserve">B16</t>
    </r>
    <r>
      <rPr>
        <sz val="11"/>
        <color rgb="FF20334A"/>
        <rFont val="Noto Sans CJK SC"/>
        <family val="2"/>
        <charset val="1"/>
      </rPr>
      <t xml:space="preserve">、</t>
    </r>
    <r>
      <rPr>
        <sz val="11"/>
        <color rgb="FF20334A"/>
        <rFont val="Arial"/>
        <family val="2"/>
        <charset val="1"/>
      </rPr>
      <t xml:space="preserve">B17</t>
    </r>
    <r>
      <rPr>
        <sz val="11"/>
        <color rgb="FF20334A"/>
        <rFont val="Noto Sans CJK SC"/>
        <family val="2"/>
        <charset val="1"/>
      </rPr>
      <t xml:space="preserve">、</t>
    </r>
    <r>
      <rPr>
        <sz val="11"/>
        <color rgb="FF20334A"/>
        <rFont val="Arial"/>
        <family val="2"/>
        <charset val="1"/>
      </rPr>
      <t xml:space="preserve">B18</t>
    </r>
    <r>
      <rPr>
        <sz val="11"/>
        <color rgb="FF20334A"/>
        <rFont val="Noto Sans CJK SC"/>
        <family val="2"/>
        <charset val="1"/>
      </rPr>
      <t xml:space="preserve">包均已按回执精确远端字节回验。</t>
    </r>
  </si>
  <si>
    <t xml:space="preserve">仅包含冻结、执行、QA及决定元数据，不含PDF原件、全文或浏览器截图。</t>
  </si>
  <si>
    <r>
      <rPr>
        <sz val="11"/>
        <color rgb="FF20334A"/>
        <rFont val="Noto Sans CJK SC"/>
        <family val="2"/>
        <charset val="1"/>
      </rPr>
      <t xml:space="preserve">私有</t>
    </r>
    <r>
      <rPr>
        <sz val="11"/>
        <color rgb="FF20334A"/>
        <rFont val="Arial"/>
        <family val="2"/>
        <charset val="1"/>
      </rPr>
      <t xml:space="preserve">Library</t>
    </r>
    <r>
      <rPr>
        <sz val="11"/>
        <color rgb="FF20334A"/>
        <rFont val="Noto Sans CJK SC"/>
        <family val="2"/>
        <charset val="1"/>
      </rPr>
      <t xml:space="preserve">下载链接只列本台账，不放公开网站或公开索引。</t>
    </r>
  </si>
  <si>
    <t xml:space="preserve">权利与内容边界</t>
  </si>
  <si>
    <r>
      <rPr>
        <sz val="11"/>
        <color rgb="FF20334A"/>
        <rFont val="Noto Sans CJK SC"/>
        <family val="2"/>
        <charset val="1"/>
      </rPr>
      <t xml:space="preserve">有限阅读不授予复制、打印、</t>
    </r>
    <r>
      <rPr>
        <sz val="11"/>
        <color rgb="FF20334A"/>
        <rFont val="Arial"/>
        <family val="2"/>
        <charset val="1"/>
      </rPr>
      <t xml:space="preserve">OCR</t>
    </r>
    <r>
      <rPr>
        <sz val="11"/>
        <color rgb="FF20334A"/>
        <rFont val="Noto Sans CJK SC"/>
        <family val="2"/>
        <charset val="1"/>
      </rPr>
      <t xml:space="preserve">、解锁、转载或商业复用许可。</t>
    </r>
  </si>
  <si>
    <t xml:space="preserve">既有权限与历史标记不改写；受限文件只用已获准普通视觉锚点。</t>
  </si>
  <si>
    <t xml:space="preserve">身份未解不合并原件，不移转来源归属。</t>
  </si>
  <si>
    <t xml:space="preserve">私有审计历史勘误</t>
  </si>
  <si>
    <t xml:space="preserve">90条私有审计历史的基线记录哈希指针有已披露勘误，正确值以追加勘误保留。</t>
  </si>
  <si>
    <t xml:space="preserve">不覆盖原审计历史；源文档／正式索引历史与内容审读、统计均不受影响。</t>
  </si>
  <si>
    <t xml:space="preserve">已发布源文件未被回改；此勘误不改变公开数据、角色结论或本台账全文计数。</t>
  </si>
  <si>
    <t xml:space="preserve">B19独立内容工单</t>
  </si>
  <si>
    <t xml:space="preserve">新增5条内容工单，累计203；旧198及其历史公式保留。</t>
  </si>
  <si>
    <t xml:space="preserve">按原件ID＋SHA＋原角色工单对齐；现存文件不重新计新原件。</t>
  </si>
  <si>
    <t xml:space="preserve">B19全审4、部分1、严格1、主角色0；本段不纳入B20。</t>
  </si>
  <si>
    <t xml:space="preserve">B19全文页数</t>
  </si>
  <si>
    <t xml:space="preserve">新增全文4份106页＝MY88＋Tune18。</t>
  </si>
  <si>
    <t xml:space="preserve">累计49份1349页；PA40页为部分，英文可靠语义20、高棉文未解20。</t>
  </si>
  <si>
    <t xml:space="preserve">146展示页不等于146全审页。执行146／126与QA146／126不相加。</t>
  </si>
  <si>
    <t xml:space="preserve">B19严格定义</t>
  </si>
  <si>
    <t xml:space="preserve">仅MRTTFB2018通过文件级严格；四份全审不等于四份严格。</t>
  </si>
  <si>
    <t xml:space="preserve">附表缺失／未证当前采用本身不是自动hold；实质引用、正文矛盾及语言不足须保留。</t>
  </si>
  <si>
    <t xml:space="preserve">严格不等于个人齐套、当前采用、现售或产品缺口闭合。</t>
  </si>
  <si>
    <t xml:space="preserve">B19实质未解</t>
  </si>
  <si>
    <t xml:space="preserve">RTT缺Appendix II现金价值公式及条款29重号；MRTTFB24附批SCI003与正文MRTT003及资金分配冲突。</t>
  </si>
  <si>
    <t xml:space="preserve">PA英文本14岁／14天、事件6／7差异保留；20高棉语页未可靠读。</t>
  </si>
  <si>
    <t xml:space="preserve">Tune年龄、婴儿保障及Return离境效力等冲突保留；详见内容明细。</t>
  </si>
  <si>
    <t xml:space="preserve">49全审＋4部分＋85未尝试＝138；仍未全审89。</t>
  </si>
  <si>
    <t xml:space="preserve">原角色90中4全审＋1部分＋85未尝试＝90；仍未全审86。</t>
  </si>
  <si>
    <t xml:space="preserve">85只指尚未尝试，不能称总未全审。90冻结角色历史不覆写。</t>
  </si>
  <si>
    <t xml:space="preserve">B19身份与页码</t>
  </si>
  <si>
    <t xml:space="preserve">保持原角色限定、原件SHA、来源产品标签和版次／持有人限制。</t>
  </si>
  <si>
    <t xml:space="preserve">页脚异常不直接证明具体缺页；现存页全审不证明出版者意图的所有页均齐。</t>
  </si>
  <si>
    <t xml:space="preserve">Tune物理7／8页页脚均5已确认；MRTT2018页脚22／24仍披露。</t>
  </si>
  <si>
    <t xml:space="preserve">B19私有包</t>
  </si>
  <si>
    <t xml:space="preserve">仅元数据，Library v0已精确远端字节回验。</t>
  </si>
  <si>
    <t xml:space="preserve">固定私有Library身份用于下载；不包含原件、全文或浏览器截图。</t>
  </si>
  <si>
    <t xml:space="preserve">下载链接只置私有台账，不进入公开站点。</t>
  </si>
  <si>
    <t xml:space="preserve">发布与条件值</t>
  </si>
  <si>
    <t xml:space="preserve">B19已成功发布至网站v121／固定索引v97。</t>
  </si>
  <si>
    <t xml:space="preserve">成功发布、版本身份及精确远端字节回验已核对。</t>
  </si>
  <si>
    <t xml:space="preserve">实际全文2294、部分17、严格415、主角色2747；冻结发布基线仍保留。</t>
  </si>
  <si>
    <t xml:space="preserve">权利及发送边界</t>
  </si>
  <si>
    <t xml:space="preserve">全审不授予复制、打印、OCR、解锁、转载或商业复用许可。</t>
  </si>
  <si>
    <t xml:space="preserve">原件／权限保留；普通可复制文字仅在许可文件使用，不替代逐页QA。</t>
  </si>
  <si>
    <t xml:space="preserve">官方草稿仍未获发送授权；本工作簿无邮件、外联或自动化发送。</t>
  </si>
  <si>
    <t xml:space="preserve">补充调查计量</t>
  </si>
  <si>
    <t xml:space="preserve">Trinity及CIS补充调查仅属B19阶段历史。</t>
  </si>
  <si>
    <t xml:space="preserve">当时未建立B20。现B20六项与B21一项另列，不回计B19。</t>
  </si>
  <si>
    <t xml:space="preserve">不凭额外线索推导新增产品、当前采用、齐套或闭合。</t>
  </si>
  <si>
    <t xml:space="preserve">历史勘误保留</t>
  </si>
  <si>
    <t xml:space="preserve">私有90条审计历史基线哈希指针勘误见上方原记录。</t>
  </si>
  <si>
    <t xml:space="preserve">不覆盖旧历史；源文件、正式历史、审读与公开计数未受影响。</t>
  </si>
  <si>
    <t xml:space="preserve">B19追加不消除或改写该私有限定。</t>
  </si>
  <si>
    <t xml:space="preserve">CSV与JSON历史差异</t>
  </si>
  <si>
    <t xml:space="preserve">3100项继承的路径字段差异按历史保留；不声称两格式逐字段普遍等同。</t>
  </si>
  <si>
    <t xml:space="preserve">v97三件远端文件与各自本地冻结字节／SHA完全一致；独立验收确认。</t>
  </si>
  <si>
    <t xml:space="preserve">这些已披露历史差异不改变本批5条内容决定、计数或来源恢复结果。</t>
  </si>
  <si>
    <t xml:space="preserve">附属诊断文件命名</t>
  </si>
  <si>
    <t xml:space="preserve">v97/integration-tooling/projection-result.json是两条JSONL诊断，后缀误称.json。</t>
  </si>
  <si>
    <t xml:space="preserve">已按两条精确预期对象验证，冻结字节保留；不为正式索引或恢复清单／助手使用。</t>
  </si>
  <si>
    <t xml:space="preserve">唯一实际恢复1次、1177文件已核；该诊断命名问题不改正文、索引或恢复结论。</t>
  </si>
  <si>
    <t xml:space="preserve">B20–B21工单</t>
  </si>
  <si>
    <t xml:space="preserve">B20六项主文获取＋B21一项既存误分类纠正，共7项。</t>
  </si>
  <si>
    <t xml:space="preserve">累计210；PRU追加观察属于PH-004，不是第8项。</t>
  </si>
  <si>
    <t xml:space="preserve">本段历史不纳入B22；B22在新增内容验收段单列。</t>
  </si>
  <si>
    <t xml:space="preserve">仅两处原记录标记</t>
  </si>
  <si>
    <t xml:space="preserve">Starr与Paramount仅is_primary由false改true；全局主角色2747→2749。</t>
  </si>
  <si>
    <t xml:space="preserve">旧全文true、needs_review、日期、原件SHA、来源归属及缺失ID均保留。</t>
  </si>
  <si>
    <t xml:space="preserve">不增加原件、全文、部分、严格、产品、采用、齐套或闭合。</t>
  </si>
  <si>
    <t xml:space="preserve">未取得主文五项</t>
  </si>
  <si>
    <t xml:space="preserve">ID两项、PRU一项、TH两项仍未取得主文。</t>
  </si>
  <si>
    <t xml:space="preserve">只反映实际有限检查；不能扩写为全站或永久无公开合同。</t>
  </si>
  <si>
    <t xml:space="preserve">既有宣传册／产品摘要保留，不冒充主文。</t>
  </si>
  <si>
    <t xml:space="preserve">TH批处理例外</t>
  </si>
  <si>
    <t xml:space="preserve">首个403后同一顺序批处理仍发出另外2个已知URL。</t>
  </si>
  <si>
    <t xml:space="preserve">三次403后停止；这是实际方法例外，不能说首拒即停。</t>
  </si>
  <si>
    <t xml:space="preserve">不以访问结果推定合同不存在。</t>
  </si>
  <si>
    <t xml:space="preserve">PRU追加浏览器观察</t>
  </si>
  <si>
    <t xml:space="preserve">已知产品路由转应用错误；没有确认WAF／403或验证码拒绝。</t>
  </si>
  <si>
    <t xml:space="preserve">初始HTTP200资源标记与后续浏览器观察分别保留。</t>
  </si>
  <si>
    <t xml:space="preserve">未下载主文，不重复工单，不追加新原件计数。</t>
  </si>
  <si>
    <t xml:space="preserve">SEA汇总校准</t>
  </si>
  <si>
    <t xml:space="preserve">旧存1273、真实基线1376、当前1378。本批仅＋2，历史偏差103不新增。</t>
  </si>
  <si>
    <t xml:space="preserve">MY295→396、VN398→397、KH72→75是旧汇总偏差；PH29→31为本批。</t>
  </si>
  <si>
    <t xml:space="preserve">原12地区基线历史不覆盖。当前对账表见B20-B21主文工单J12:Q24。</t>
  </si>
  <si>
    <t xml:space="preserve">MY过期表述</t>
  </si>
  <si>
    <t xml:space="preserve">旧“当前293”表述属于显示／汇总校准；不计新增主合同。</t>
  </si>
  <si>
    <t xml:space="preserve">现主文已涵盖商业、医疗、财险与Takaful。</t>
  </si>
  <si>
    <t xml:space="preserve">文件级主文数量不等于纯储蓄／两全完整合同覆盖，仍需核定产品、版本和当前适用。</t>
  </si>
  <si>
    <t xml:space="preserve">元数据包版本</t>
  </si>
  <si>
    <t xml:space="preserve">同一私有Library包原生v1已精确远端字节回验。</t>
  </si>
  <si>
    <t xml:space="preserve">v0为未应用的预计显示哈希草稿；保留原生历史，不声称v0远端字节已核。</t>
  </si>
  <si>
    <t xml:space="preserve">仅revision1有效；私有下载链接不进入公开站点。</t>
  </si>
  <si>
    <t xml:space="preserve">B20–B21发布历史</t>
  </si>
  <si>
    <t xml:space="preserve">实际网站v122／固定索引v98均已发布并回验。</t>
  </si>
  <si>
    <t xml:space="preserve">固定三件原生v98及远端完整字节／SHA、终态证据与双指针一致。</t>
  </si>
  <si>
    <t xml:space="preserve">本次1248文件完整逻辑恢复验证，新增物理恢复0；不冒称新物理恢复。</t>
  </si>
  <si>
    <t xml:space="preserve">截至B21队列历史</t>
  </si>
  <si>
    <t xml:space="preserve">本阶段49份／1349页不变。原138＝49全审＋4部分＋85未尝试。</t>
  </si>
  <si>
    <t xml:space="preserve">角色90＝4全审＋1部分＋85未尝试；仍未全审86，原队列仍未全审89。</t>
  </si>
  <si>
    <t xml:space="preserve">历史角色90、77／7／6及有限锚点945／627均保留。</t>
  </si>
  <si>
    <t xml:space="preserve">主文与个人齐套</t>
  </si>
  <si>
    <t xml:space="preserve">Paramount为含主文、附表、附加条款、批单的样本合订；旧needs_review保留。</t>
  </si>
  <si>
    <t xml:space="preserve">Starr表单代码不等同现行版次、签发日期或采用；个人附表／凭证未证。</t>
  </si>
  <si>
    <t xml:space="preserve">不确认个人已签发、当前采用或完整合同包。</t>
  </si>
  <si>
    <t xml:space="preserve">计量保护</t>
  </si>
  <si>
    <t xml:space="preserve">历史全文标记与本批新全文分别列示。SEA历史校准与本批主角色分别计算。</t>
  </si>
  <si>
    <t xml:space="preserve">同一工单补充观察不新增计数；重复任务ID显示范围冲突。</t>
  </si>
  <si>
    <t xml:space="preserve">原件、记录及全部历史表和公式保留。</t>
  </si>
  <si>
    <t xml:space="preserve">B22工单范围</t>
  </si>
  <si>
    <t xml:space="preserve">8份既存MY原件、636个现存物理页，新增8内容工单。</t>
  </si>
  <si>
    <t xml:space="preserve">累计218；旧210工单、原件和角色历史完整保留。</t>
  </si>
  <si>
    <t xml:space="preserve">本段B22历史不纳入B23／B24；B23新增段单列。</t>
  </si>
  <si>
    <t xml:space="preserve">全文与严格分离</t>
  </si>
  <si>
    <t xml:space="preserve">8份本批全现存物理页语义审读与独立QA完成。</t>
  </si>
  <si>
    <t xml:space="preserve">8份均needs_review；本批full＋8、严格＋0。</t>
  </si>
  <si>
    <t xml:space="preserve">不得把全审完成解释为条文无疑义、现行采用或合同包齐套。</t>
  </si>
  <si>
    <t xml:space="preserve">B22增量与累计历史</t>
  </si>
  <si>
    <t xml:space="preserve">主角色、部分、严格、原件、产品、当前采用、合同包、缺口闭合均0。</t>
  </si>
  <si>
    <t xml:space="preserve">旧角色读取不复用为新全文；逐页证据与原件SHA分别绑定。</t>
  </si>
  <si>
    <t xml:space="preserve">本阶段57份／1985页；原138未全审81，角色90未全审78。</t>
  </si>
  <si>
    <t xml:space="preserve">英马双语与权限</t>
  </si>
  <si>
    <t xml:space="preserve">636页均普通只读图像显示并直接语义审读，非仅元数据／锚点。</t>
  </si>
  <si>
    <t xml:space="preserve">不进行文本提取、OCR、打印或安全设置修改。复制／打印限制及原SHA保留。</t>
  </si>
  <si>
    <t xml:space="preserve">语言直接审读不等于认证翻译；技术可读不等于法律许可。</t>
  </si>
  <si>
    <t xml:space="preserve">严格问题保留</t>
  </si>
  <si>
    <t xml:space="preserve">正文、批单引用、双语给付、年龄、附件身份及分页问题逐件保留。</t>
  </si>
  <si>
    <t xml:space="preserve">缺个人附表不是统一严格失败理由；以实际文件级问题为依据。</t>
  </si>
  <si>
    <t xml:space="preserve">SID剩余身故与终止条款只是协调疑问，不写成确认矛盾。</t>
  </si>
  <si>
    <t xml:space="preserve">接受包真实定位</t>
  </si>
  <si>
    <t xml:space="preserve">私有B22包原生v0已精确远端字节回验，7个metadata成员。</t>
  </si>
  <si>
    <t xml:space="preserve">接受行定位为independent-qa.json#/documents/accepted-rows.json/行号。</t>
  </si>
  <si>
    <t xml:space="preserve">源检查点不是ZIP成员；源字节与归档投影SHA分开，16处位置引用改写外内容一致。</t>
  </si>
  <si>
    <t xml:space="preserve">冻结与时间语义</t>
  </si>
  <si>
    <t xml:space="preserve">任务冻结时基线Site121／index97；不回写为当前发布版本。</t>
  </si>
  <si>
    <t xml:space="preserve">表中QA日期明确为独立QA汇总完成UTC；逐件日期保留于接受证据。</t>
  </si>
  <si>
    <t xml:space="preserve">QA阶段的零正式变更为历史状态，实际发布后才更新全局计数。</t>
  </si>
  <si>
    <t xml:space="preserve">计量门槛</t>
  </si>
  <si>
    <t xml:space="preserve">任务ID唯一、逐页数量完整、QA已接受及零增量边界必须同时成立。</t>
  </si>
  <si>
    <t xml:space="preserve">漏语义页、重复ID、伪严格提升、旧主角色重计、缺QA接受均阻断全文计量。</t>
  </si>
  <si>
    <t xml:space="preserve">所有旧公式、历史计量与功能保留。</t>
  </si>
  <si>
    <t xml:space="preserve">B22发布与恢复历史</t>
  </si>
  <si>
    <t xml:space="preserve">Site123／index99已实际发布并回验。</t>
  </si>
  <si>
    <t xml:space="preserve">当前1269文件完整逻辑恢复验证，新增物理恢复0。</t>
  </si>
  <si>
    <t xml:space="preserve">不把旧物理恢复说成本批新增物理恢复。</t>
  </si>
  <si>
    <t xml:space="preserve">历史校准与缺口</t>
  </si>
  <si>
    <t xml:space="preserve">SEA历史校准103及B20–B21新增主角色2分别保留，不进入B22新增。</t>
  </si>
  <si>
    <t xml:space="preserve">旧地区基线、MY／VN／KH历史纠偏与B20五项主文缺口不改写。</t>
  </si>
  <si>
    <t xml:space="preserve">B20–B21TH方法例外及PRU同工单补充观察保持历史。</t>
  </si>
  <si>
    <t xml:space="preserve">B23接受范围历史</t>
  </si>
  <si>
    <t xml:space="preserve">20份MY既存文件、992现存物理页，新内容工单20。</t>
  </si>
  <si>
    <t xml:space="preserve">累计238；阶段全审77份／2977页。旧218工单与历史功能保留。</t>
  </si>
  <si>
    <t xml:space="preserve">本段B23历史不计B24／B25；B24本次另列。</t>
  </si>
  <si>
    <t xml:space="preserve">20份全现存页内容审读通过；003／005／007／008／009严格通过。</t>
  </si>
  <si>
    <t xml:space="preserve">本批full＋20、strict＋5；其余15份needs_review。</t>
  </si>
  <si>
    <t xml:space="preserve">严格不等于现行销售、个人签发或合同包齐套。</t>
  </si>
  <si>
    <t xml:space="preserve">真实问题与非阻断边界</t>
  </si>
  <si>
    <t xml:space="preserve">逐件严格阻断问题、非阻断解释／范围边界与已澄清事项分栏。</t>
  </si>
  <si>
    <t xml:space="preserve">个人附表、持有人或历史来源标签边界不单独否决文件级严格。</t>
  </si>
  <si>
    <t xml:space="preserve">不把已替换旧条款当作现行矛盾，不夸大实际理赔结果。</t>
  </si>
  <si>
    <t xml:space="preserve">身份与日期</t>
  </si>
  <si>
    <t xml:space="preserve">文件内保司／产品／代码／持有人分别记录；未知基础版次不补造。</t>
  </si>
  <si>
    <t xml:space="preserve">冻结基线为Site122／index98；不回写成当前Site124／index100。</t>
  </si>
  <si>
    <t xml:space="preserve">旧角色事实、原件SHA、归属及基础身份限制保留。</t>
  </si>
  <si>
    <t xml:space="preserve">逐页与权限</t>
  </si>
  <si>
    <t xml:space="preserve">执行及独立QA均992页语义审读，所有现存物理页对应证据。</t>
  </si>
  <si>
    <t xml:space="preserve">普通只读显示及必要普通放大；不提取、OCR、打印、解锁或修改原件权限。</t>
  </si>
  <si>
    <t xml:space="preserve">各文件复制／打印权限逐件保留；可显示不等于法律许可或认证翻译。</t>
  </si>
  <si>
    <t xml:space="preserve">正式修订1接受包</t>
  </si>
  <si>
    <t xml:space="preserve">同一私有包v1精确远端回验，7成员；只使用revision1。</t>
  </si>
  <si>
    <t xml:space="preserve">修复46处执行逐页澄清字段，992页逐项比对；接受结论与独立QA成员字节不变。</t>
  </si>
  <si>
    <t xml:space="preserve">v0从未应用；原始证据与旧原生历史保留，不把v0当正式依据。</t>
  </si>
  <si>
    <t xml:space="preserve">双定位与哈希</t>
  </si>
  <si>
    <t xml:space="preserve">源检查点路径、归档成员／JSON指针分别提供。</t>
  </si>
  <si>
    <t xml:space="preserve">源字节SHA与归档接受行规范JSON SHA不同口径，分别列示。</t>
  </si>
  <si>
    <t xml:space="preserve">位置引用改写和原件路径排除之外，接受事实及QA问题／逐页记录逐项一致。</t>
  </si>
  <si>
    <t xml:space="preserve">B23发布与恢复历史</t>
  </si>
  <si>
    <t xml:space="preserve">Site124／固定index100已实际发布、精确回验并同步双私有指针。</t>
  </si>
  <si>
    <t xml:space="preserve">1290文件完整逻辑恢复对真实Git字节通过，本批物理恢复0。</t>
  </si>
  <si>
    <t xml:space="preserve">CSV813列、80格变化；ZIP5545成员，不夸称CSV／JSON普遍等价。</t>
  </si>
  <si>
    <t xml:space="preserve">零增量与历史队列</t>
  </si>
  <si>
    <t xml:space="preserve">主角色、原件、独立产品、当前采用、合同包、缺口闭合新增均0。</t>
  </si>
  <si>
    <t xml:space="preserve">原138＝77全审＋4部分＋57未试；角色90＝32全审＋1部分＋57未试。</t>
  </si>
  <si>
    <t xml:space="preserve">SEA历史校准103、B20–B21角色新增2及遗留5项主文缺口不重计。</t>
  </si>
  <si>
    <t xml:space="preserve">唯一任务、完整页数、QA接受、实际状态与QA状态匹配才计全文／严格。</t>
  </si>
  <si>
    <t xml:space="preserve">漏读页、重复ID、伪严格提升、旧主角色重计或QA缺失均阻断。</t>
  </si>
  <si>
    <t xml:space="preserve">全部旧公式、样式、表格、验证、冻结、条件格式及链接保留。</t>
  </si>
  <si>
    <t xml:space="preserve">B24接受范围历史</t>
  </si>
  <si>
    <t xml:space="preserve">20份MY既存文件、1273现存物理页，新内容工单20。</t>
  </si>
  <si>
    <t xml:space="preserve">累计258；阶段全审97份／4250页。旧238工单与历史功能保留。</t>
  </si>
  <si>
    <t xml:space="preserve">B25执行及QA不计入成果。</t>
  </si>
  <si>
    <t xml:space="preserve">B24全文严格历史</t>
  </si>
  <si>
    <t xml:space="preserve">20份全现存页内容审读通过；019／020严格通过。</t>
  </si>
  <si>
    <t xml:space="preserve">本批full＋20、strict＋2；其余18份needs_review。</t>
  </si>
  <si>
    <t xml:space="preserve">012原QA判断历史</t>
  </si>
  <si>
    <t xml:space="preserve">执行verified及初步QA候选均被最终QA撤回；51页全文不撤回。</t>
  </si>
  <si>
    <t xml:space="preserve">同一t范围正／零利率分支的月初月末、终月及零利率关系需解释。</t>
  </si>
  <si>
    <t xml:space="preserve">该旧判断由B28追加更正：问题非阻断，恢复verified；旧记录不删。</t>
  </si>
  <si>
    <t xml:space="preserve">全部事实与边界</t>
  </si>
  <si>
    <t xml:space="preserve">B24复核事项逐条保留issues、other questions、澄清、撤回和非阻断边界。</t>
  </si>
  <si>
    <t xml:space="preserve">014窄ATM修饰语与principal-person细节、013／015／016／017解剖误报撤回等不省略。</t>
  </si>
  <si>
    <t xml:space="preserve">017无ATM不导入ATM问题；018膝盖词义不等于所有膝伤除外。</t>
  </si>
  <si>
    <t xml:space="preserve">实际组成与身份</t>
  </si>
  <si>
    <t xml:space="preserve">004／005／012金融附录实际存在；页脚跳号不普遍证明缺金融组件。</t>
  </si>
  <si>
    <t xml:space="preserve">006特定wakalah问题按本件保留；001／002不同SHA与FI/NFI未证边界保留。</t>
  </si>
  <si>
    <t xml:space="preserve">不新增独立产品，不改owner，不把附加条款日期当基础版次或当前采用。</t>
  </si>
  <si>
    <t xml:space="preserve">执行及独立QA均1273页语义审读，所有现存物理页对应证据。</t>
  </si>
  <si>
    <t xml:space="preserve">普通只读显示及必要普通放大；不提取、OCR、打印、解锁或改原件权限。</t>
  </si>
  <si>
    <t xml:space="preserve">可显示不等于法律许可、认证翻译或实际理赔结果。</t>
  </si>
  <si>
    <t xml:space="preserve">接受包及双定位</t>
  </si>
  <si>
    <t xml:space="preserve">私有7成员接受包原生v0精确回验；完整投影经独立只读复核。</t>
  </si>
  <si>
    <t xml:space="preserve">源检查点与归档成员／JSON指针分列；源字节SHA和规范投影SHA不混用。</t>
  </si>
  <si>
    <t xml:space="preserve">103投影文档、1273执行页与1273QA页完整字段比较；不是新原件重读。</t>
  </si>
  <si>
    <t xml:space="preserve">B24发布恢复历史</t>
  </si>
  <si>
    <t xml:space="preserve">1311文件完整逻辑恢复对真实Git字节通过，本批物理恢复0。</t>
  </si>
  <si>
    <t xml:space="preserve">历史实际恢复不冒称本批物理恢复。</t>
  </si>
  <si>
    <t xml:space="preserve">原138＝97全审＋4部分＋37未试；角色90＝52全审＋1部分＋37未试。</t>
  </si>
  <si>
    <t xml:space="preserve">B24原接受门槛</t>
  </si>
  <si>
    <t xml:space="preserve">唯一任务、完整页数、QA接受、实际状态与最终QA状态匹配才计全文／严格。</t>
  </si>
  <si>
    <t xml:space="preserve">012执行strict重用、漏读页、重复ID、旧主角色重计或QA缺失均阻断。</t>
  </si>
  <si>
    <t xml:space="preserve">明细事项不是新增工单；全部旧公式、样式、表格、验证、冻结、条件格式及链接保留。</t>
  </si>
  <si>
    <t xml:space="preserve">B28单条状态纠正</t>
  </si>
  <si>
    <t xml:space="preserve">B24-MY-012恢复文件级verified；strict＋1。</t>
  </si>
  <si>
    <t xml:space="preserve">原B24历史2／18不改，当前追加状态为3／17。</t>
  </si>
  <si>
    <t xml:space="preserve">仅1条纠正工单；三项比较不计新工单。</t>
  </si>
  <si>
    <t xml:space="preserve">公式命题的边界</t>
  </si>
  <si>
    <t xml:space="preserve">正率与零率为互斥分段；不连续并非同情形竞争值。</t>
  </si>
  <si>
    <t xml:space="preserve">保留原公式、真实指数差和非阻断设计／应用解释。</t>
  </si>
  <si>
    <t xml:space="preserve">不是精算设计、法律效力、实际可赔或个人日期适用认证。</t>
  </si>
  <si>
    <t xml:space="preserve">历史与当前分开</t>
  </si>
  <si>
    <t xml:space="preserve">B24原QA及全部事项作为历史快照保留。</t>
  </si>
  <si>
    <t xml:space="preserve">当前012唯一公式问题不再作为未解阻断。</t>
  </si>
  <si>
    <t xml:space="preserve">不将该更正推广到其他独立正文问题。</t>
  </si>
  <si>
    <t xml:space="preserve">零全文与窄核</t>
  </si>
  <si>
    <t xml:space="preserve">四文件共45页窄核；原012的51全审页不重计。</t>
  </si>
  <si>
    <t xml:space="preserve">累计259工单；97全审文件／4250页不变。</t>
  </si>
  <si>
    <t xml:space="preserve">主角色、原件、产品、采用、合同包及闭合均0。</t>
  </si>
  <si>
    <t xml:space="preserve">比较范围</t>
  </si>
  <si>
    <t xml:space="preserve">B23-003保持verified；B25-006／007仅比较公式。</t>
  </si>
  <si>
    <t xml:space="preserve">B25整批独立QA及发布成果未计入。</t>
  </si>
  <si>
    <t xml:space="preserve">原138与角色90队列不变。</t>
  </si>
  <si>
    <t xml:space="preserve">实际终态与私有证据</t>
  </si>
  <si>
    <t xml:space="preserve">网站v126／索引v102已回验</t>
  </si>
  <si>
    <t xml:space="preserve">9成员私有元数据包v0精确回验；历史证据与双定位保留。</t>
  </si>
  <si>
    <t xml:space="preserve">原生102、远端三件与双指针确认；新物理恢复0。</t>
  </si>
  <si>
    <t xml:space="preserve">合并接受与历史</t>
  </si>
  <si>
    <t xml:space="preserve">30个不同原件新内容工单；累计289。</t>
  </si>
  <si>
    <t xml:space="preserve">阶段全审127份／6141页。</t>
  </si>
  <si>
    <t xml:space="preserve">既有工单、原件与历史判断全部保留；明细事项不当工单。</t>
  </si>
  <si>
    <t xml:space="preserve">B27部分转全文</t>
  </si>
  <si>
    <t xml:space="preserve">18页BI控制语言及EN比较接受；full＋1、partial−1。</t>
  </si>
  <si>
    <t xml:space="preserve">原部分审读历史保留，不转移角色90分母。</t>
  </si>
  <si>
    <t xml:space="preserve">仍needs_review；主角色0、严格0、采用和个人合同包0。</t>
  </si>
  <si>
    <t xml:space="preserve">身份held与全文</t>
  </si>
  <si>
    <t xml:space="preserve">B26五MY全部full，只有005限定主身份获接受。</t>
  </si>
  <si>
    <t xml:space="preserve">角色90身份held剩5＝四MY已full＋一KH未full。</t>
  </si>
  <si>
    <t xml:space="preserve">全站隔离51是另一个集合，不因身份held−1而减少。</t>
  </si>
  <si>
    <t xml:space="preserve">有限定005主身份</t>
  </si>
  <si>
    <t xml:space="preserve">Business Financing MRTT主合同，含集成ROC附加利益。</t>
  </si>
  <si>
    <t xml:space="preserve">不得扩为独立ROC产品、所有变体或指定未知holder。</t>
  </si>
  <si>
    <t xml:space="preserve">退保费引用及Facility双语范围等未解正文问题保留；strict0。</t>
  </si>
  <si>
    <t xml:space="preserve">B28更正与独立QA</t>
  </si>
  <si>
    <t xml:space="preserve">B24历史2／18保留，B28更正后当前3／17及strict423基线保持。</t>
  </si>
  <si>
    <t xml:space="preserve">B25／B26／B27最终QA的身份、问题、澄清、纠正链及非阻断边界完整保留。</t>
  </si>
  <si>
    <t xml:space="preserve">互斥公式分支不自动构成同情形冲突；不普遍撤销其他真实阻断。</t>
  </si>
  <si>
    <t xml:space="preserve">原件权限与方法</t>
  </si>
  <si>
    <t xml:space="preserve">普通只读显示及独立语义审读，实际页数与准确SHA绑定。</t>
  </si>
  <si>
    <t xml:space="preserve">权限历史与本次观察分开；不把免密码显示当未加密。</t>
  </si>
  <si>
    <t xml:space="preserve">不提取、OCR、打印、解锁或改变原件；不作法律复制许可推定。</t>
  </si>
  <si>
    <t xml:space="preserve">零额外信用</t>
  </si>
  <si>
    <t xml:space="preserve">原件、独立产品、当前采用、合同包、缺口闭合均0。</t>
  </si>
  <si>
    <t xml:space="preserve">全文、主角色、严格、身份held与个人齐套是不同维度。</t>
  </si>
  <si>
    <t xml:space="preserve">不宣称精算合理、实际可赔、当前销售、个人日期适用或全市场完成。</t>
  </si>
  <si>
    <t xml:space="preserve">实际发布及证据</t>
  </si>
  <si>
    <t xml:space="preserve">1355文件完整逻辑恢复对实际Git字节验证；新物理恢复0。</t>
  </si>
  <si>
    <t xml:space="preserve">官方私有元数据下载入口只在私有台账；旧原件与历史payload保留。</t>
  </si>
  <si>
    <t xml:space="preserve">余项与后续采集</t>
  </si>
  <si>
    <t xml:space="preserve">固定138逐SHA实际对账，余项及下一步见“交付范围与后续采集”。</t>
  </si>
  <si>
    <t xml:space="preserve">旧17及条件11不是独立完成证据；按真实最终状态刷新。</t>
  </si>
  <si>
    <t xml:space="preserve">官方联系未获发送批准且此前readiness失败；未发送、未等回信。</t>
  </si>
  <si>
    <r>
      <rPr>
        <b val="true"/>
        <sz val="16"/>
        <color rgb="FF18364D"/>
        <rFont val="Arial"/>
        <family val="2"/>
        <charset val="1"/>
      </rPr>
      <t xml:space="preserve">MY</t>
    </r>
    <r>
      <rPr>
        <b val="true"/>
        <sz val="16"/>
        <color rgb="FF18364D"/>
        <rFont val="Noto Sans CJK SC"/>
        <family val="2"/>
        <charset val="1"/>
      </rPr>
      <t xml:space="preserve">限定合同身份与材料关系</t>
    </r>
  </si>
  <si>
    <r>
      <rPr>
        <sz val="11"/>
        <color rgb="FF20334A"/>
        <rFont val="Noto Sans CJK SC"/>
        <family val="2"/>
        <charset val="1"/>
      </rPr>
      <t xml:space="preserve">仅</t>
    </r>
    <r>
      <rPr>
        <sz val="11"/>
        <color rgb="FF20334A"/>
        <rFont val="Arial"/>
        <family val="2"/>
        <charset val="1"/>
      </rPr>
      <t xml:space="preserve">2</t>
    </r>
    <r>
      <rPr>
        <sz val="11"/>
        <color rgb="FF20334A"/>
        <rFont val="Noto Sans CJK SC"/>
        <family val="2"/>
        <charset val="1"/>
      </rPr>
      <t xml:space="preserve">个身份工作单、</t>
    </r>
    <r>
      <rPr>
        <sz val="11"/>
        <color rgb="FF20334A"/>
        <rFont val="Arial"/>
        <family val="2"/>
        <charset val="1"/>
      </rPr>
      <t xml:space="preserve">4</t>
    </r>
    <r>
      <rPr>
        <sz val="11"/>
        <color rgb="FF20334A"/>
        <rFont val="Noto Sans CJK SC"/>
        <family val="2"/>
        <charset val="1"/>
      </rPr>
      <t xml:space="preserve">个既审合同版本及</t>
    </r>
    <r>
      <rPr>
        <sz val="11"/>
        <color rgb="FF20334A"/>
        <rFont val="Arial"/>
        <family val="2"/>
        <charset val="1"/>
      </rPr>
      <t xml:space="preserve">31</t>
    </r>
    <r>
      <rPr>
        <sz val="11"/>
        <color rgb="FF20334A"/>
        <rFont val="Noto Sans CJK SC"/>
        <family val="2"/>
        <charset val="1"/>
      </rPr>
      <t xml:space="preserve">项材料关系。不是全市场产品分母；不新增原件、全文、主文、严格或产品闭合。</t>
    </r>
  </si>
  <si>
    <r>
      <rPr>
        <b val="true"/>
        <sz val="11"/>
        <color rgb="FFFFFFFF"/>
        <rFont val="Noto Sans CJK SC"/>
        <family val="2"/>
        <charset val="1"/>
      </rPr>
      <t xml:space="preserve">原始</t>
    </r>
    <r>
      <rPr>
        <b val="true"/>
        <sz val="11"/>
        <color rgb="FFFFFFFF"/>
        <rFont val="Arial"/>
        <family val="2"/>
        <charset val="1"/>
      </rPr>
      <t xml:space="preserve">ID</t>
    </r>
  </si>
  <si>
    <t xml:space="preserve">法律主体</t>
  </si>
  <si>
    <t xml:space="preserve">正文计划名</t>
  </si>
  <si>
    <t xml:space="preserve">合同号</t>
  </si>
  <si>
    <t xml:space="preserve">已审版本依据</t>
  </si>
  <si>
    <r>
      <rPr>
        <b val="true"/>
        <sz val="11"/>
        <color rgb="FFFFFFFF"/>
        <rFont val="Noto Sans CJK SC"/>
        <family val="2"/>
        <charset val="1"/>
      </rPr>
      <t xml:space="preserve">版本登记</t>
    </r>
    <r>
      <rPr>
        <b val="true"/>
        <sz val="11"/>
        <color rgb="FFFFFFFF"/>
        <rFont val="Arial"/>
        <family val="2"/>
        <charset val="1"/>
      </rPr>
      <t xml:space="preserve">ID</t>
    </r>
  </si>
  <si>
    <t xml:space="preserve">历史主文角色</t>
  </si>
  <si>
    <t xml:space="preserve">当前精确采用</t>
  </si>
  <si>
    <t xml:space="preserve">当前在售</t>
  </si>
  <si>
    <t xml:space="preserve">Cash Plus Assurance</t>
  </si>
  <si>
    <t xml:space="preserve">CPA0613</t>
  </si>
  <si>
    <r>
      <rPr>
        <sz val="11"/>
        <color rgb="FF20334A"/>
        <rFont val="Arial"/>
        <family val="2"/>
        <charset val="1"/>
      </rPr>
      <t xml:space="preserve">2015-01-01 / 2020-07-01 / 2025-07-01 </t>
    </r>
    <r>
      <rPr>
        <sz val="11"/>
        <color rgb="FF20334A"/>
        <rFont val="Noto Sans CJK SC"/>
        <family val="2"/>
        <charset val="1"/>
      </rPr>
      <t xml:space="preserve">批单集合；非现行采用证明</t>
    </r>
  </si>
  <si>
    <t xml:space="preserve">MY-CV-db45e5380bd10dcf4637ad23</t>
  </si>
  <si>
    <t xml:space="preserve">已核（历史）</t>
  </si>
  <si>
    <t xml:space="preserve">未核定（非否定）</t>
  </si>
  <si>
    <t xml:space="preserve">Credit Protector Plus</t>
  </si>
  <si>
    <t xml:space="preserve">CPP0813</t>
  </si>
  <si>
    <r>
      <rPr>
        <sz val="11"/>
        <color rgb="FF20334A"/>
        <rFont val="Arial"/>
        <family val="2"/>
        <charset val="1"/>
      </rPr>
      <t xml:space="preserve">2016-04-01 / 2020-07-01 / 2021-05-28 / 2025-07-01 </t>
    </r>
    <r>
      <rPr>
        <sz val="11"/>
        <color rgb="FF20334A"/>
        <rFont val="Noto Sans CJK SC"/>
        <family val="2"/>
        <charset val="1"/>
      </rPr>
      <t xml:space="preserve">批单集合；非现行采用证明</t>
    </r>
  </si>
  <si>
    <t xml:space="preserve">MY-CV-58044f828aef3206e86806c8</t>
  </si>
  <si>
    <t xml:space="preserve">Biz Shield</t>
  </si>
  <si>
    <t xml:space="preserve">BIZS0914</t>
  </si>
  <si>
    <t xml:space="preserve">MY-CV-662b30a1b4203ee9442d934b</t>
  </si>
  <si>
    <t xml:space="preserve">非主文（历史）</t>
  </si>
  <si>
    <t xml:space="preserve">Biz Shield-i</t>
  </si>
  <si>
    <t xml:space="preserve">BSI0317</t>
  </si>
  <si>
    <r>
      <rPr>
        <sz val="11"/>
        <color rgb="FF20334A"/>
        <rFont val="Arial"/>
        <family val="2"/>
        <charset val="1"/>
      </rPr>
      <t xml:space="preserve">2019-07-01 / 2020-07-01 / 2025-07-01 </t>
    </r>
    <r>
      <rPr>
        <sz val="11"/>
        <color rgb="FF20334A"/>
        <rFont val="Noto Sans CJK SC"/>
        <family val="2"/>
        <charset val="1"/>
      </rPr>
      <t xml:space="preserve">批单集合；非现行采用证明</t>
    </r>
  </si>
  <si>
    <t xml:space="preserve">MY-CV-b69be7a48e4192e2e2b1bb23</t>
  </si>
  <si>
    <r>
      <rPr>
        <sz val="11"/>
        <color rgb="FF20334A"/>
        <rFont val="Noto Sans CJK SC"/>
        <family val="2"/>
        <charset val="1"/>
      </rPr>
      <t xml:space="preserve">材料关系 ≠ 实际采用：附表、组件、批单及目录关联分别登记；空白／未核定不能作通配合并，</t>
    </r>
    <r>
      <rPr>
        <sz val="11"/>
        <color rgb="FF20334A"/>
        <rFont val="Arial"/>
        <family val="2"/>
        <charset val="1"/>
      </rPr>
      <t xml:space="preserve">Assurance</t>
    </r>
    <r>
      <rPr>
        <sz val="11"/>
        <color rgb="FF20334A"/>
        <rFont val="Noto Sans CJK SC"/>
        <family val="2"/>
        <charset val="1"/>
      </rPr>
      <t xml:space="preserve">与</t>
    </r>
    <r>
      <rPr>
        <sz val="11"/>
        <color rgb="FF20334A"/>
        <rFont val="Arial"/>
        <family val="2"/>
        <charset val="1"/>
      </rPr>
      <t xml:space="preserve">Takaful</t>
    </r>
    <r>
      <rPr>
        <sz val="11"/>
        <color rgb="FF20334A"/>
        <rFont val="Noto Sans CJK SC"/>
        <family val="2"/>
        <charset val="1"/>
      </rPr>
      <t xml:space="preserve">分开。</t>
    </r>
  </si>
  <si>
    <t xml:space="preserve">材料角色</t>
  </si>
  <si>
    <t xml:space="preserve">材料标签</t>
  </si>
  <si>
    <t xml:space="preserve">组件编号</t>
  </si>
  <si>
    <t xml:space="preserve">物理页／范围</t>
  </si>
  <si>
    <t xml:space="preserve">原件中存在</t>
  </si>
  <si>
    <t xml:space="preserve">依赖分类</t>
  </si>
  <si>
    <t xml:space="preserve">关联性质</t>
  </si>
  <si>
    <t xml:space="preserve">证据索引</t>
  </si>
  <si>
    <t xml:space="preserve">既审具名主合同原件</t>
  </si>
  <si>
    <t xml:space="preserve">已核存在</t>
  </si>
  <si>
    <r>
      <rPr>
        <sz val="11"/>
        <color rgb="FF20334A"/>
        <rFont val="Arial"/>
        <family val="2"/>
        <charset val="1"/>
      </rPr>
      <t xml:space="preserve">A</t>
    </r>
    <r>
      <rPr>
        <sz val="11"/>
        <color rgb="FF20334A"/>
        <rFont val="Noto Sans CJK SC"/>
        <family val="2"/>
        <charset val="1"/>
      </rPr>
      <t xml:space="preserve">：含附表性质未解依赖</t>
    </r>
  </si>
  <si>
    <t xml:space="preserve">已审材料组成关系</t>
  </si>
  <si>
    <t xml:space="preserve">均未核定，不因关联而升级</t>
  </si>
  <si>
    <r>
      <rPr>
        <sz val="11"/>
        <color rgb="FF20334A"/>
        <rFont val="Arial"/>
        <family val="2"/>
        <charset val="1"/>
      </rPr>
      <t xml:space="preserve">REL-062dc678dba03d8de6c6</t>
    </r>
    <r>
      <rPr>
        <sz val="11"/>
        <color rgb="FF20334A"/>
        <rFont val="Noto Sans CJK SC"/>
        <family val="2"/>
        <charset val="1"/>
      </rPr>
      <t xml:space="preserve">；</t>
    </r>
    <r>
      <rPr>
        <sz val="11"/>
        <color rgb="FF20334A"/>
        <rFont val="Arial"/>
        <family val="2"/>
        <charset val="1"/>
      </rPr>
      <t xml:space="preserve">EV-3161e8a4d95fd95e / EV-301f3823904fefeb / EV-787f09b2a1442c84</t>
    </r>
  </si>
  <si>
    <t xml:space="preserve">现存标准附件组</t>
  </si>
  <si>
    <t xml:space="preserve">CPA002 / CPA003 / CPA004 / CPA005</t>
  </si>
  <si>
    <t xml:space="preserve">未单独计页</t>
  </si>
  <si>
    <r>
      <rPr>
        <sz val="11"/>
        <color rgb="FF20334A"/>
        <rFont val="Arial"/>
        <family val="2"/>
        <charset val="1"/>
      </rPr>
      <t xml:space="preserve">A</t>
    </r>
    <r>
      <rPr>
        <sz val="11"/>
        <color rgb="FF20334A"/>
        <rFont val="Noto Sans CJK SC"/>
        <family val="2"/>
        <charset val="1"/>
      </rPr>
      <t xml:space="preserve">：公共通用组件</t>
    </r>
  </si>
  <si>
    <r>
      <rPr>
        <sz val="11"/>
        <color rgb="FF20334A"/>
        <rFont val="Arial"/>
        <family val="2"/>
        <charset val="1"/>
      </rPr>
      <t xml:space="preserve">REL-b0cc250fab35ceeb1e6c</t>
    </r>
    <r>
      <rPr>
        <sz val="11"/>
        <color rgb="FF20334A"/>
        <rFont val="Noto Sans CJK SC"/>
        <family val="2"/>
        <charset val="1"/>
      </rPr>
      <t xml:space="preserve">；</t>
    </r>
    <r>
      <rPr>
        <sz val="11"/>
        <color rgb="FF20334A"/>
        <rFont val="Arial"/>
        <family val="2"/>
        <charset val="1"/>
      </rPr>
      <t xml:space="preserve">EV-083bf1d337cc4a02</t>
    </r>
  </si>
  <si>
    <t xml:space="preserve">具日期批单</t>
  </si>
  <si>
    <t xml:space="preserve">sanctions endorsement effective2025-07-01</t>
  </si>
  <si>
    <r>
      <rPr>
        <sz val="11"/>
        <color rgb="FF20334A"/>
        <rFont val="Arial"/>
        <family val="2"/>
        <charset val="1"/>
      </rPr>
      <t xml:space="preserve">REL-b1a78f3e3b752da0cbbf</t>
    </r>
    <r>
      <rPr>
        <sz val="11"/>
        <color rgb="FF20334A"/>
        <rFont val="Noto Sans CJK SC"/>
        <family val="2"/>
        <charset val="1"/>
      </rPr>
      <t xml:space="preserve">；</t>
    </r>
    <r>
      <rPr>
        <sz val="11"/>
        <color rgb="FF20334A"/>
        <rFont val="Arial"/>
        <family val="2"/>
        <charset val="1"/>
      </rPr>
      <t xml:space="preserve">EV-e7c6abb191a1a3bb</t>
    </r>
  </si>
  <si>
    <t xml:space="preserve">age/change endorsement effective2020-07-01</t>
  </si>
  <si>
    <r>
      <rPr>
        <sz val="11"/>
        <color rgb="FF20334A"/>
        <rFont val="Arial"/>
        <family val="2"/>
        <charset val="1"/>
      </rPr>
      <t xml:space="preserve">REL-edd53d5729f6f7f26dfa</t>
    </r>
    <r>
      <rPr>
        <sz val="11"/>
        <color rgb="FF20334A"/>
        <rFont val="Noto Sans CJK SC"/>
        <family val="2"/>
        <charset val="1"/>
      </rPr>
      <t xml:space="preserve">；</t>
    </r>
    <r>
      <rPr>
        <sz val="11"/>
        <color rgb="FF20334A"/>
        <rFont val="Arial"/>
        <family val="2"/>
        <charset val="1"/>
      </rPr>
      <t xml:space="preserve">EV-ec1d9d1f0f1fc93f</t>
    </r>
  </si>
  <si>
    <t xml:space="preserve">FSA/tax/FATCA/TPD endorsement effective2015-01-01</t>
  </si>
  <si>
    <r>
      <rPr>
        <sz val="11"/>
        <color rgb="FF20334A"/>
        <rFont val="Arial"/>
        <family val="2"/>
        <charset val="1"/>
      </rPr>
      <t xml:space="preserve">REL-8c40f15b44882d0a0e1a</t>
    </r>
    <r>
      <rPr>
        <sz val="11"/>
        <color rgb="FF20334A"/>
        <rFont val="Noto Sans CJK SC"/>
        <family val="2"/>
        <charset val="1"/>
      </rPr>
      <t xml:space="preserve">；</t>
    </r>
    <r>
      <rPr>
        <sz val="11"/>
        <color rgb="FF20334A"/>
        <rFont val="Arial"/>
        <family val="2"/>
        <charset val="1"/>
      </rPr>
      <t xml:space="preserve">EV-b1bc5883efeb965b</t>
    </r>
  </si>
  <si>
    <t xml:space="preserve">法律主体更名通知</t>
  </si>
  <si>
    <t xml:space="preserve">company rename effective2013-08-19, not product issue date</t>
  </si>
  <si>
    <r>
      <rPr>
        <sz val="11"/>
        <color rgb="FF20334A"/>
        <rFont val="Arial"/>
        <family val="2"/>
        <charset val="1"/>
      </rPr>
      <t xml:space="preserve">REL-0b19319c6b3f88a39778</t>
    </r>
    <r>
      <rPr>
        <sz val="11"/>
        <color rgb="FF20334A"/>
        <rFont val="Noto Sans CJK SC"/>
        <family val="2"/>
        <charset val="1"/>
      </rPr>
      <t xml:space="preserve">；</t>
    </r>
    <r>
      <rPr>
        <sz val="11"/>
        <color rgb="FF20334A"/>
        <rFont val="Arial"/>
        <family val="2"/>
        <charset val="1"/>
      </rPr>
      <t xml:space="preserve">EV-bfdb8b5c992d641a</t>
    </r>
  </si>
  <si>
    <t xml:space="preserve">引用主合同附表</t>
  </si>
  <si>
    <t xml:space="preserve">CPA001 master policy schedule</t>
  </si>
  <si>
    <t xml:space="preserve">CPA001</t>
  </si>
  <si>
    <t xml:space="preserve">现存文件未见</t>
  </si>
  <si>
    <r>
      <rPr>
        <sz val="11"/>
        <color rgb="FF20334A"/>
        <rFont val="Arial"/>
        <family val="2"/>
        <charset val="1"/>
      </rPr>
      <t xml:space="preserve">A</t>
    </r>
    <r>
      <rPr>
        <sz val="11"/>
        <color rgb="FF20334A"/>
        <rFont val="Noto Sans CJK SC"/>
        <family val="2"/>
        <charset val="1"/>
      </rPr>
      <t xml:space="preserve">或</t>
    </r>
    <r>
      <rPr>
        <sz val="11"/>
        <color rgb="FF20334A"/>
        <rFont val="Arial"/>
        <family val="2"/>
        <charset val="1"/>
      </rPr>
      <t xml:space="preserve">B</t>
    </r>
    <r>
      <rPr>
        <sz val="11"/>
        <color rgb="FF20334A"/>
        <rFont val="Noto Sans CJK SC"/>
        <family val="2"/>
        <charset val="1"/>
      </rPr>
      <t xml:space="preserve">性质未定</t>
    </r>
  </si>
  <si>
    <t xml:space="preserve">引用依赖，现存文件未见</t>
  </si>
  <si>
    <r>
      <rPr>
        <sz val="11"/>
        <color rgb="FF20334A"/>
        <rFont val="Arial"/>
        <family val="2"/>
        <charset val="1"/>
      </rPr>
      <t xml:space="preserve">REL-3b2507cd33593eea3bf3</t>
    </r>
    <r>
      <rPr>
        <sz val="11"/>
        <color rgb="FF20334A"/>
        <rFont val="Noto Sans CJK SC"/>
        <family val="2"/>
        <charset val="1"/>
      </rPr>
      <t xml:space="preserve">；</t>
    </r>
    <r>
      <rPr>
        <sz val="11"/>
        <color rgb="FF20334A"/>
        <rFont val="Arial"/>
        <family val="2"/>
        <charset val="1"/>
      </rPr>
      <t xml:space="preserve">EV-292fb0a6b63da04c / EV-4bee4b82e3fa19aa</t>
    </r>
  </si>
  <si>
    <t xml:space="preserve">个人化保单组件</t>
  </si>
  <si>
    <t xml:space="preserve">Individual certificate, proposal/medical/questionnaire and claim evidence</t>
  </si>
  <si>
    <r>
      <rPr>
        <sz val="11"/>
        <color rgb="FF20334A"/>
        <rFont val="Arial"/>
        <family val="2"/>
        <charset val="1"/>
      </rPr>
      <t xml:space="preserve">B</t>
    </r>
    <r>
      <rPr>
        <sz val="11"/>
        <color rgb="FF20334A"/>
        <rFont val="Noto Sans CJK SC"/>
        <family val="2"/>
        <charset val="1"/>
      </rPr>
      <t xml:space="preserve">：个人化组件</t>
    </r>
  </si>
  <si>
    <r>
      <rPr>
        <sz val="11"/>
        <color rgb="FF20334A"/>
        <rFont val="Arial"/>
        <family val="2"/>
        <charset val="1"/>
      </rPr>
      <t xml:space="preserve">REL-65bb19fa89122e8b7b27</t>
    </r>
    <r>
      <rPr>
        <sz val="11"/>
        <color rgb="FF20334A"/>
        <rFont val="Noto Sans CJK SC"/>
        <family val="2"/>
        <charset val="1"/>
      </rPr>
      <t xml:space="preserve">；</t>
    </r>
    <r>
      <rPr>
        <sz val="11"/>
        <color rgb="FF20334A"/>
        <rFont val="Arial"/>
        <family val="2"/>
        <charset val="1"/>
      </rPr>
      <t xml:space="preserve">EV-4bee4b82e3fa19aa</t>
    </r>
  </si>
  <si>
    <r>
      <rPr>
        <sz val="11"/>
        <color rgb="FF20334A"/>
        <rFont val="Arial"/>
        <family val="2"/>
        <charset val="1"/>
      </rPr>
      <t xml:space="preserve">REL-af3c6215d0ef0f69c7f0</t>
    </r>
    <r>
      <rPr>
        <sz val="11"/>
        <color rgb="FF20334A"/>
        <rFont val="Noto Sans CJK SC"/>
        <family val="2"/>
        <charset val="1"/>
      </rPr>
      <t xml:space="preserve">；</t>
    </r>
    <r>
      <rPr>
        <sz val="11"/>
        <color rgb="FF20334A"/>
        <rFont val="Arial"/>
        <family val="2"/>
        <charset val="1"/>
      </rPr>
      <t xml:space="preserve">EV-eb2b7cc0f8721b53 / EV-7feb26864febce78 / EV-55199f85d862dd04</t>
    </r>
  </si>
  <si>
    <t xml:space="preserve">CPP002 / CPP003 / CPP004 / CPP005 / CPP006</t>
  </si>
  <si>
    <r>
      <rPr>
        <sz val="11"/>
        <color rgb="FF20334A"/>
        <rFont val="Arial"/>
        <family val="2"/>
        <charset val="1"/>
      </rPr>
      <t xml:space="preserve">REL-923befd036b19dff27a9</t>
    </r>
    <r>
      <rPr>
        <sz val="11"/>
        <color rgb="FF20334A"/>
        <rFont val="Noto Sans CJK SC"/>
        <family val="2"/>
        <charset val="1"/>
      </rPr>
      <t xml:space="preserve">；</t>
    </r>
    <r>
      <rPr>
        <sz val="11"/>
        <color rgb="FF20334A"/>
        <rFont val="Arial"/>
        <family val="2"/>
        <charset val="1"/>
      </rPr>
      <t xml:space="preserve">EV-ee3decb7459cc60c</t>
    </r>
  </si>
  <si>
    <t xml:space="preserve">sanctions endorsement</t>
  </si>
  <si>
    <r>
      <rPr>
        <sz val="11"/>
        <color rgb="FF20334A"/>
        <rFont val="Arial"/>
        <family val="2"/>
        <charset val="1"/>
      </rPr>
      <t xml:space="preserve">REL-6803f4f8e929397e6717</t>
    </r>
    <r>
      <rPr>
        <sz val="11"/>
        <color rgb="FF20334A"/>
        <rFont val="Noto Sans CJK SC"/>
        <family val="2"/>
        <charset val="1"/>
      </rPr>
      <t xml:space="preserve">；</t>
    </r>
    <r>
      <rPr>
        <sz val="11"/>
        <color rgb="FF20334A"/>
        <rFont val="Arial"/>
        <family val="2"/>
        <charset val="1"/>
      </rPr>
      <t xml:space="preserve">EV-067af96a818febed</t>
    </r>
  </si>
  <si>
    <t xml:space="preserve">outstanding balance definition for enrollment on/after date only</t>
  </si>
  <si>
    <r>
      <rPr>
        <sz val="11"/>
        <color rgb="FF20334A"/>
        <rFont val="Arial"/>
        <family val="2"/>
        <charset val="1"/>
      </rPr>
      <t xml:space="preserve">REL-48b1380065d1f0661ae2</t>
    </r>
    <r>
      <rPr>
        <sz val="11"/>
        <color rgb="FF20334A"/>
        <rFont val="Noto Sans CJK SC"/>
        <family val="2"/>
        <charset val="1"/>
      </rPr>
      <t xml:space="preserve">；</t>
    </r>
    <r>
      <rPr>
        <sz val="11"/>
        <color rgb="FF20334A"/>
        <rFont val="Arial"/>
        <family val="2"/>
        <charset val="1"/>
      </rPr>
      <t xml:space="preserve">EV-ebfb5411be14a664</t>
    </r>
  </si>
  <si>
    <t xml:space="preserve">age/change-policy endorsement; CPA002 reference anomaly</t>
  </si>
  <si>
    <r>
      <rPr>
        <sz val="11"/>
        <color rgb="FF20334A"/>
        <rFont val="Arial"/>
        <family val="2"/>
        <charset val="1"/>
      </rPr>
      <t xml:space="preserve">REL-ba7b87191884bf185c25</t>
    </r>
    <r>
      <rPr>
        <sz val="11"/>
        <color rgb="FF20334A"/>
        <rFont val="Noto Sans CJK SC"/>
        <family val="2"/>
        <charset val="1"/>
      </rPr>
      <t xml:space="preserve">；</t>
    </r>
    <r>
      <rPr>
        <sz val="11"/>
        <color rgb="FF20334A"/>
        <rFont val="Arial"/>
        <family val="2"/>
        <charset val="1"/>
      </rPr>
      <t xml:space="preserve">EV-a023fdde12bd9e7c</t>
    </r>
  </si>
  <si>
    <t xml:space="preserve">full CI definition/ADL amendment</t>
  </si>
  <si>
    <r>
      <rPr>
        <sz val="11"/>
        <color rgb="FF20334A"/>
        <rFont val="Arial"/>
        <family val="2"/>
        <charset val="1"/>
      </rPr>
      <t xml:space="preserve">REL-093f78df9490ef9bf56c</t>
    </r>
    <r>
      <rPr>
        <sz val="11"/>
        <color rgb="FF20334A"/>
        <rFont val="Noto Sans CJK SC"/>
        <family val="2"/>
        <charset val="1"/>
      </rPr>
      <t xml:space="preserve">；</t>
    </r>
    <r>
      <rPr>
        <sz val="11"/>
        <color rgb="FF20334A"/>
        <rFont val="Arial"/>
        <family val="2"/>
        <charset val="1"/>
      </rPr>
      <t xml:space="preserve">EV-a3c5c0247ebd709d</t>
    </r>
  </si>
  <si>
    <t xml:space="preserve">CPP001 master policy schedule</t>
  </si>
  <si>
    <t xml:space="preserve">CPP001</t>
  </si>
  <si>
    <r>
      <rPr>
        <sz val="11"/>
        <color rgb="FF20334A"/>
        <rFont val="Arial"/>
        <family val="2"/>
        <charset val="1"/>
      </rPr>
      <t xml:space="preserve">REL-d62f082e183c4a045f7b</t>
    </r>
    <r>
      <rPr>
        <sz val="11"/>
        <color rgb="FF20334A"/>
        <rFont val="Noto Sans CJK SC"/>
        <family val="2"/>
        <charset val="1"/>
      </rPr>
      <t xml:space="preserve">；</t>
    </r>
    <r>
      <rPr>
        <sz val="11"/>
        <color rgb="FF20334A"/>
        <rFont val="Arial"/>
        <family val="2"/>
        <charset val="1"/>
      </rPr>
      <t xml:space="preserve">EV-dc842963e9c1f1da / EV-0d302653e50ffcef</t>
    </r>
  </si>
  <si>
    <t xml:space="preserve">Individual certificate, enrollment health declaration and monthly card balance</t>
  </si>
  <si>
    <r>
      <rPr>
        <sz val="11"/>
        <color rgb="FF20334A"/>
        <rFont val="Arial"/>
        <family val="2"/>
        <charset val="1"/>
      </rPr>
      <t xml:space="preserve">REL-08b23e9fec6407cd7e62</t>
    </r>
    <r>
      <rPr>
        <sz val="11"/>
        <color rgb="FF20334A"/>
        <rFont val="Noto Sans CJK SC"/>
        <family val="2"/>
        <charset val="1"/>
      </rPr>
      <t xml:space="preserve">；</t>
    </r>
    <r>
      <rPr>
        <sz val="11"/>
        <color rgb="FF20334A"/>
        <rFont val="Arial"/>
        <family val="2"/>
        <charset val="1"/>
      </rPr>
      <t xml:space="preserve">EV-0d302653e50ffcef</t>
    </r>
  </si>
  <si>
    <r>
      <rPr>
        <sz val="11"/>
        <color rgb="FF20334A"/>
        <rFont val="Arial"/>
        <family val="2"/>
        <charset val="1"/>
      </rPr>
      <t xml:space="preserve">REL-eb59bef007448d34c388</t>
    </r>
    <r>
      <rPr>
        <sz val="11"/>
        <color rgb="FF20334A"/>
        <rFont val="Noto Sans CJK SC"/>
        <family val="2"/>
        <charset val="1"/>
      </rPr>
      <t xml:space="preserve">；</t>
    </r>
    <r>
      <rPr>
        <sz val="11"/>
        <color rgb="FF20334A"/>
        <rFont val="Arial"/>
        <family val="2"/>
        <charset val="1"/>
      </rPr>
      <t xml:space="preserve">EV-e15b3f2e47ec37f6 / EV-948acf722d1b438c / EV-8185a90f8a5a1a12</t>
    </r>
  </si>
  <si>
    <t xml:space="preserve">BIZS002 / BIZS003 / BIZS004 / BIZS005</t>
  </si>
  <si>
    <r>
      <rPr>
        <sz val="11"/>
        <color rgb="FF20334A"/>
        <rFont val="Arial"/>
        <family val="2"/>
        <charset val="1"/>
      </rPr>
      <t xml:space="preserve">REL-e525fe40d73544f76968</t>
    </r>
    <r>
      <rPr>
        <sz val="11"/>
        <color rgb="FF20334A"/>
        <rFont val="Noto Sans CJK SC"/>
        <family val="2"/>
        <charset val="1"/>
      </rPr>
      <t xml:space="preserve">；</t>
    </r>
    <r>
      <rPr>
        <sz val="11"/>
        <color rgb="FF20334A"/>
        <rFont val="Arial"/>
        <family val="2"/>
        <charset val="1"/>
      </rPr>
      <t xml:space="preserve">EV-2c3bd418edc3c1fc</t>
    </r>
  </si>
  <si>
    <t xml:space="preserve">sanctions endorsement effective/signed date</t>
  </si>
  <si>
    <r>
      <rPr>
        <sz val="11"/>
        <color rgb="FF20334A"/>
        <rFont val="Arial"/>
        <family val="2"/>
        <charset val="1"/>
      </rPr>
      <t xml:space="preserve">REL-38f44370e7e77f0d1004</t>
    </r>
    <r>
      <rPr>
        <sz val="11"/>
        <color rgb="FF20334A"/>
        <rFont val="Noto Sans CJK SC"/>
        <family val="2"/>
        <charset val="1"/>
      </rPr>
      <t xml:space="preserve">；</t>
    </r>
    <r>
      <rPr>
        <sz val="11"/>
        <color rgb="FF20334A"/>
        <rFont val="Arial"/>
        <family val="2"/>
        <charset val="1"/>
      </rPr>
      <t xml:space="preserve">EV-643aaee3e7224952</t>
    </r>
  </si>
  <si>
    <t xml:space="preserve">age/gender/change endorsement effective date</t>
  </si>
  <si>
    <r>
      <rPr>
        <sz val="11"/>
        <color rgb="FF20334A"/>
        <rFont val="Arial"/>
        <family val="2"/>
        <charset val="1"/>
      </rPr>
      <t xml:space="preserve">REL-785e710ab0bfec1b6fa6</t>
    </r>
    <r>
      <rPr>
        <sz val="11"/>
        <color rgb="FF20334A"/>
        <rFont val="Noto Sans CJK SC"/>
        <family val="2"/>
        <charset val="1"/>
      </rPr>
      <t xml:space="preserve">；</t>
    </r>
    <r>
      <rPr>
        <sz val="11"/>
        <color rgb="FF20334A"/>
        <rFont val="Arial"/>
        <family val="2"/>
        <charset val="1"/>
      </rPr>
      <t xml:space="preserve">EV-b4577ede7cfbd71f</t>
    </r>
  </si>
  <si>
    <t xml:space="preserve">master/tax/FATCA endorsement effective date</t>
  </si>
  <si>
    <r>
      <rPr>
        <sz val="11"/>
        <color rgb="FF20334A"/>
        <rFont val="Arial"/>
        <family val="2"/>
        <charset val="1"/>
      </rPr>
      <t xml:space="preserve">REL-32f4129a07216e611b2c</t>
    </r>
    <r>
      <rPr>
        <sz val="11"/>
        <color rgb="FF20334A"/>
        <rFont val="Noto Sans CJK SC"/>
        <family val="2"/>
        <charset val="1"/>
      </rPr>
      <t xml:space="preserve">；</t>
    </r>
    <r>
      <rPr>
        <sz val="11"/>
        <color rgb="FF20334A"/>
        <rFont val="Arial"/>
        <family val="2"/>
        <charset val="1"/>
      </rPr>
      <t xml:space="preserve">EV-ad46ab99a89049fb</t>
    </r>
  </si>
  <si>
    <t xml:space="preserve">BIZS001 master policy schedule</t>
  </si>
  <si>
    <t xml:space="preserve">BIZS001</t>
  </si>
  <si>
    <r>
      <rPr>
        <sz val="11"/>
        <color rgb="FF20334A"/>
        <rFont val="Arial"/>
        <family val="2"/>
        <charset val="1"/>
      </rPr>
      <t xml:space="preserve">REL-61dab040f9ca22d326fa</t>
    </r>
    <r>
      <rPr>
        <sz val="11"/>
        <color rgb="FF20334A"/>
        <rFont val="Noto Sans CJK SC"/>
        <family val="2"/>
        <charset val="1"/>
      </rPr>
      <t xml:space="preserve">；</t>
    </r>
    <r>
      <rPr>
        <sz val="11"/>
        <color rgb="FF20334A"/>
        <rFont val="Arial"/>
        <family val="2"/>
        <charset val="1"/>
      </rPr>
      <t xml:space="preserve">EV-1797113ff8d7eca9 / EV-e52d23906f8ded25</t>
    </r>
  </si>
  <si>
    <t xml:space="preserve">Individual certificate/proposal and individualized commencement/sum assured</t>
  </si>
  <si>
    <r>
      <rPr>
        <sz val="11"/>
        <color rgb="FF20334A"/>
        <rFont val="Arial"/>
        <family val="2"/>
        <charset val="1"/>
      </rPr>
      <t xml:space="preserve">REL-22a0df349d0adf632bca</t>
    </r>
    <r>
      <rPr>
        <sz val="11"/>
        <color rgb="FF20334A"/>
        <rFont val="Noto Sans CJK SC"/>
        <family val="2"/>
        <charset val="1"/>
      </rPr>
      <t xml:space="preserve">；</t>
    </r>
    <r>
      <rPr>
        <sz val="11"/>
        <color rgb="FF20334A"/>
        <rFont val="Arial"/>
        <family val="2"/>
        <charset val="1"/>
      </rPr>
      <t xml:space="preserve">EV-d9476854b3dc9980</t>
    </r>
  </si>
  <si>
    <r>
      <rPr>
        <sz val="11"/>
        <color rgb="FF20334A"/>
        <rFont val="Arial"/>
        <family val="2"/>
        <charset val="1"/>
      </rPr>
      <t xml:space="preserve">REL-f84187e17e8972f409ce</t>
    </r>
    <r>
      <rPr>
        <sz val="11"/>
        <color rgb="FF20334A"/>
        <rFont val="Noto Sans CJK SC"/>
        <family val="2"/>
        <charset val="1"/>
      </rPr>
      <t xml:space="preserve">；</t>
    </r>
    <r>
      <rPr>
        <sz val="11"/>
        <color rgb="FF20334A"/>
        <rFont val="Arial"/>
        <family val="2"/>
        <charset val="1"/>
      </rPr>
      <t xml:space="preserve">EV-ec167fb9414ad322 / EV-ca7935e1e8ed962d / EV-22c20fc68d3e14a8</t>
    </r>
  </si>
  <si>
    <t xml:space="preserve">BSI001 / BSI003 / BSI004 / BSI005 / BSI006 / BSI007 / BSI008 / BSI009</t>
  </si>
  <si>
    <r>
      <rPr>
        <sz val="11"/>
        <color rgb="FF20334A"/>
        <rFont val="Arial"/>
        <family val="2"/>
        <charset val="1"/>
      </rPr>
      <t xml:space="preserve">REL-e50bc28f5f3ec535a283</t>
    </r>
    <r>
      <rPr>
        <sz val="11"/>
        <color rgb="FF20334A"/>
        <rFont val="Noto Sans CJK SC"/>
        <family val="2"/>
        <charset val="1"/>
      </rPr>
      <t xml:space="preserve">；</t>
    </r>
    <r>
      <rPr>
        <sz val="11"/>
        <color rgb="FF20334A"/>
        <rFont val="Arial"/>
        <family val="2"/>
        <charset val="1"/>
      </rPr>
      <t xml:space="preserve">EV-530b93d402883e77</t>
    </r>
  </si>
  <si>
    <r>
      <rPr>
        <sz val="11"/>
        <color rgb="FF20334A"/>
        <rFont val="Arial"/>
        <family val="2"/>
        <charset val="1"/>
      </rPr>
      <t xml:space="preserve">REL-c6c38205621ae06c6a7b</t>
    </r>
    <r>
      <rPr>
        <sz val="11"/>
        <color rgb="FF20334A"/>
        <rFont val="Noto Sans CJK SC"/>
        <family val="2"/>
        <charset val="1"/>
      </rPr>
      <t xml:space="preserve">；</t>
    </r>
    <r>
      <rPr>
        <sz val="11"/>
        <color rgb="FF20334A"/>
        <rFont val="Arial"/>
        <family val="2"/>
        <charset val="1"/>
      </rPr>
      <t xml:space="preserve">EV-ba8940e5cad871e1</t>
    </r>
  </si>
  <si>
    <t xml:space="preserve">age/legalproceeding deletion/cash/fund/Wakalah amendment</t>
  </si>
  <si>
    <r>
      <rPr>
        <sz val="11"/>
        <color rgb="FF20334A"/>
        <rFont val="Arial"/>
        <family val="2"/>
        <charset val="1"/>
      </rPr>
      <t xml:space="preserve">REL-a036e5aecb0909b1d4db</t>
    </r>
    <r>
      <rPr>
        <sz val="11"/>
        <color rgb="FF20334A"/>
        <rFont val="Noto Sans CJK SC"/>
        <family val="2"/>
        <charset val="1"/>
      </rPr>
      <t xml:space="preserve">；</t>
    </r>
    <r>
      <rPr>
        <sz val="11"/>
        <color rgb="FF20334A"/>
        <rFont val="Arial"/>
        <family val="2"/>
        <charset val="1"/>
      </rPr>
      <t xml:space="preserve">EV-e3384ad8c35502e2</t>
    </r>
  </si>
  <si>
    <t xml:space="preserve">legal amendment;smallamount/surrender/cash/TPD/surplus changes</t>
  </si>
  <si>
    <r>
      <rPr>
        <sz val="11"/>
        <color rgb="FF20334A"/>
        <rFont val="Arial"/>
        <family val="2"/>
        <charset val="1"/>
      </rPr>
      <t xml:space="preserve">REL-eefb8f46a18386419c9d</t>
    </r>
    <r>
      <rPr>
        <sz val="11"/>
        <color rgb="FF20334A"/>
        <rFont val="Noto Sans CJK SC"/>
        <family val="2"/>
        <charset val="1"/>
      </rPr>
      <t xml:space="preserve">；</t>
    </r>
    <r>
      <rPr>
        <sz val="11"/>
        <color rgb="FF20334A"/>
        <rFont val="Arial"/>
        <family val="2"/>
        <charset val="1"/>
      </rPr>
      <t xml:space="preserve">EV-bf9f539f72f8dc9d</t>
    </r>
  </si>
  <si>
    <t xml:space="preserve">Referenced master contract schedule; code-title association unverified</t>
  </si>
  <si>
    <r>
      <rPr>
        <sz val="11"/>
        <color rgb="FF20334A"/>
        <rFont val="Arial"/>
        <family val="2"/>
        <charset val="1"/>
      </rPr>
      <t xml:space="preserve">REL-3a796f73a3262a78c25c</t>
    </r>
    <r>
      <rPr>
        <sz val="11"/>
        <color rgb="FF20334A"/>
        <rFont val="Noto Sans CJK SC"/>
        <family val="2"/>
        <charset val="1"/>
      </rPr>
      <t xml:space="preserve">；</t>
    </r>
    <r>
      <rPr>
        <sz val="11"/>
        <color rgb="FF20334A"/>
        <rFont val="Arial"/>
        <family val="2"/>
        <charset val="1"/>
      </rPr>
      <t xml:space="preserve">EV-393388ce11f5b302 / EV-7e9235d2e0627a2d</t>
    </r>
  </si>
  <si>
    <t xml:space="preserve">Issued certificate sum, term, fee percentage, person and financing details</t>
  </si>
  <si>
    <r>
      <rPr>
        <sz val="11"/>
        <color rgb="FF20334A"/>
        <rFont val="Arial"/>
        <family val="2"/>
        <charset val="1"/>
      </rPr>
      <t xml:space="preserve">REL-c3fff42a46b160fae3a1</t>
    </r>
    <r>
      <rPr>
        <sz val="11"/>
        <color rgb="FF20334A"/>
        <rFont val="Noto Sans CJK SC"/>
        <family val="2"/>
        <charset val="1"/>
      </rPr>
      <t xml:space="preserve">；</t>
    </r>
    <r>
      <rPr>
        <sz val="11"/>
        <color rgb="FF20334A"/>
        <rFont val="Arial"/>
        <family val="2"/>
        <charset val="1"/>
      </rPr>
      <t xml:space="preserve">EV-7e9235d2e0627a2d</t>
    </r>
  </si>
  <si>
    <t xml:space="preserve">未见附件代码且标题映射未定</t>
  </si>
  <si>
    <t xml:space="preserve">BSI002 code absent; title not established</t>
  </si>
  <si>
    <t xml:space="preserve">BSI002</t>
  </si>
  <si>
    <t xml:space="preserve">依赖性质未定</t>
  </si>
  <si>
    <r>
      <rPr>
        <sz val="11"/>
        <color rgb="FF20334A"/>
        <rFont val="Arial"/>
        <family val="2"/>
        <charset val="1"/>
      </rPr>
      <t xml:space="preserve">REL-49d8a1c48e662aa50af1</t>
    </r>
    <r>
      <rPr>
        <sz val="11"/>
        <color rgb="FF20334A"/>
        <rFont val="Noto Sans CJK SC"/>
        <family val="2"/>
        <charset val="1"/>
      </rPr>
      <t xml:space="preserve">；</t>
    </r>
    <r>
      <rPr>
        <sz val="11"/>
        <color rgb="FF20334A"/>
        <rFont val="Arial"/>
        <family val="2"/>
        <charset val="1"/>
      </rPr>
      <t xml:space="preserve">EV-0e7ed973c09570c5 / EV-3d04b4be796753e5</t>
    </r>
  </si>
  <si>
    <r>
      <rPr>
        <sz val="10"/>
        <rFont val="Arial"/>
        <family val="2"/>
        <charset val="1"/>
      </rPr>
      <t xml:space="preserve">B11</t>
    </r>
    <r>
      <rPr>
        <sz val="10"/>
        <rFont val="Noto Sans CJK SC"/>
        <family val="2"/>
        <charset val="1"/>
      </rPr>
      <t xml:space="preserve">解释支持关系：</t>
    </r>
    <r>
      <rPr>
        <sz val="10"/>
        <rFont val="Arial"/>
        <family val="2"/>
        <charset val="1"/>
      </rPr>
      <t xml:space="preserve">1</t>
    </r>
    <r>
      <rPr>
        <sz val="10"/>
        <rFont val="Noto Sans CJK SC"/>
        <family val="2"/>
        <charset val="1"/>
      </rPr>
      <t xml:space="preserve">项历史同编号／同持有人关系，</t>
    </r>
    <r>
      <rPr>
        <sz val="10"/>
        <rFont val="Arial"/>
        <family val="2"/>
        <charset val="1"/>
      </rPr>
      <t xml:space="preserve">3</t>
    </r>
    <r>
      <rPr>
        <sz val="10"/>
        <rFont val="Noto Sans CJK SC"/>
        <family val="2"/>
        <charset val="1"/>
      </rPr>
      <t xml:space="preserve">项未定候选。均不证明合同采用。</t>
    </r>
  </si>
  <si>
    <r>
      <rPr>
        <b val="true"/>
        <sz val="11"/>
        <color rgb="FFFFFFFF"/>
        <rFont val="Noto Sans CJK SC"/>
        <family val="2"/>
        <charset val="1"/>
      </rPr>
      <t xml:space="preserve">关系</t>
    </r>
    <r>
      <rPr>
        <b val="true"/>
        <sz val="11"/>
        <color rgb="FFFFFFFF"/>
        <rFont val="Arial"/>
        <family val="2"/>
        <charset val="1"/>
      </rPr>
      <t xml:space="preserve">ID</t>
    </r>
  </si>
  <si>
    <r>
      <rPr>
        <b val="true"/>
        <sz val="11"/>
        <color rgb="FFFFFFFF"/>
        <rFont val="Noto Sans CJK SC"/>
        <family val="2"/>
        <charset val="1"/>
      </rPr>
      <t xml:space="preserve">支持件</t>
    </r>
    <r>
      <rPr>
        <b val="true"/>
        <sz val="11"/>
        <color rgb="FFFFFFFF"/>
        <rFont val="Arial"/>
        <family val="2"/>
        <charset val="1"/>
      </rPr>
      <t xml:space="preserve">ID</t>
    </r>
  </si>
  <si>
    <r>
      <rPr>
        <b val="true"/>
        <sz val="11"/>
        <color rgb="FFFFFFFF"/>
        <rFont val="Noto Sans CJK SC"/>
        <family val="2"/>
        <charset val="1"/>
      </rPr>
      <t xml:space="preserve">对应主文</t>
    </r>
    <r>
      <rPr>
        <b val="true"/>
        <sz val="11"/>
        <color rgb="FFFFFFFF"/>
        <rFont val="Arial"/>
        <family val="2"/>
        <charset val="1"/>
      </rPr>
      <t xml:space="preserve">ID</t>
    </r>
  </si>
  <si>
    <t xml:space="preserve">关系分类</t>
  </si>
  <si>
    <t xml:space="preserve">支持件页码</t>
  </si>
  <si>
    <t xml:space="preserve">历史关系已核</t>
  </si>
  <si>
    <t xml:space="preserve">准确版次／合同并入</t>
  </si>
  <si>
    <t xml:space="preserve">当前采用</t>
  </si>
  <si>
    <t xml:space="preserve">附表／个体齐套</t>
  </si>
  <si>
    <t xml:space="preserve">B11-MY-001-R1</t>
  </si>
  <si>
    <t xml:space="preserve">MY-SUP-006</t>
  </si>
  <si>
    <t xml:space="preserve">同编号／同持有人历史解释支持</t>
  </si>
  <si>
    <r>
      <rPr>
        <sz val="11"/>
        <color rgb="FF20334A"/>
        <rFont val="Arial"/>
        <family val="2"/>
        <charset val="1"/>
      </rPr>
      <t xml:space="preserve">2</t>
    </r>
    <r>
      <rPr>
        <sz val="11"/>
        <color rgb="FF20334A"/>
        <rFont val="Noto Sans CJK SC"/>
        <family val="2"/>
        <charset val="1"/>
      </rPr>
      <t xml:space="preserve">、</t>
    </r>
    <r>
      <rPr>
        <sz val="11"/>
        <color rgb="FF20334A"/>
        <rFont val="Arial"/>
        <family val="2"/>
        <charset val="1"/>
      </rPr>
      <t xml:space="preserve">3</t>
    </r>
    <r>
      <rPr>
        <sz val="11"/>
        <color rgb="FF20334A"/>
        <rFont val="Noto Sans CJK SC"/>
        <family val="2"/>
        <charset val="1"/>
      </rPr>
      <t xml:space="preserve">、</t>
    </r>
    <r>
      <rPr>
        <sz val="11"/>
        <color rgb="FF20334A"/>
        <rFont val="Arial"/>
        <family val="2"/>
        <charset val="1"/>
      </rPr>
      <t xml:space="preserve">17</t>
    </r>
  </si>
  <si>
    <t xml:space="preserve">限定历史关系已核</t>
  </si>
  <si>
    <t xml:space="preserve">均未证实</t>
  </si>
  <si>
    <t xml:space="preserve">均未核定</t>
  </si>
  <si>
    <t xml:space="preserve">不补齐、不关闭</t>
  </si>
  <si>
    <r>
      <rPr>
        <sz val="11"/>
        <color rgb="FF20334A"/>
        <rFont val="Arial"/>
        <family val="2"/>
        <charset val="1"/>
      </rPr>
      <t xml:space="preserve">B11-MY-001-R1</t>
    </r>
    <r>
      <rPr>
        <sz val="11"/>
        <color rgb="FF20334A"/>
        <rFont val="Noto Sans CJK SC"/>
        <family val="2"/>
        <charset val="1"/>
      </rPr>
      <t xml:space="preserve">；源</t>
    </r>
    <r>
      <rPr>
        <sz val="11"/>
        <color rgb="FF20334A"/>
        <rFont val="Arial"/>
        <family val="2"/>
        <charset val="1"/>
      </rPr>
      <t xml:space="preserve">/</t>
    </r>
    <r>
      <rPr>
        <sz val="11"/>
        <color rgb="FF20334A"/>
        <rFont val="Noto Sans CJK SC"/>
        <family val="2"/>
        <charset val="1"/>
      </rPr>
      <t xml:space="preserve">对应</t>
    </r>
    <r>
      <rPr>
        <sz val="11"/>
        <color rgb="FF20334A"/>
        <rFont val="Arial"/>
        <family val="2"/>
        <charset val="1"/>
      </rPr>
      <t xml:space="preserve">SHA</t>
    </r>
    <r>
      <rPr>
        <sz val="11"/>
        <color rgb="FF20334A"/>
        <rFont val="Noto Sans CJK SC"/>
        <family val="2"/>
        <charset val="1"/>
      </rPr>
      <t xml:space="preserve">分别保留</t>
    </r>
  </si>
  <si>
    <t xml:space="preserve">B11-MY-002-R1</t>
  </si>
  <si>
    <t xml:space="preserve">MY-SUP-008</t>
  </si>
  <si>
    <t xml:space="preserve">MY-SUN-025</t>
  </si>
  <si>
    <r>
      <rPr>
        <sz val="11"/>
        <color rgb="FF20334A"/>
        <rFont val="Noto Sans CJK SC"/>
        <family val="2"/>
        <charset val="1"/>
      </rPr>
      <t xml:space="preserve">仅</t>
    </r>
    <r>
      <rPr>
        <sz val="11"/>
        <color rgb="FF20334A"/>
        <rFont val="Arial"/>
        <family val="2"/>
        <charset val="1"/>
      </rPr>
      <t xml:space="preserve">GTT CI</t>
    </r>
    <r>
      <rPr>
        <sz val="11"/>
        <color rgb="FF20334A"/>
        <rFont val="Noto Sans CJK SC"/>
        <family val="2"/>
        <charset val="1"/>
      </rPr>
      <t xml:space="preserve">家族候选</t>
    </r>
  </si>
  <si>
    <r>
      <rPr>
        <sz val="11"/>
        <color rgb="FF20334A"/>
        <rFont val="Arial"/>
        <family val="2"/>
        <charset val="1"/>
      </rPr>
      <t xml:space="preserve">1</t>
    </r>
    <r>
      <rPr>
        <sz val="11"/>
        <color rgb="FF20334A"/>
        <rFont val="Noto Sans CJK SC"/>
        <family val="2"/>
        <charset val="1"/>
      </rPr>
      <t xml:space="preserve">、</t>
    </r>
    <r>
      <rPr>
        <sz val="11"/>
        <color rgb="FF20334A"/>
        <rFont val="Arial"/>
        <family val="2"/>
        <charset val="1"/>
      </rPr>
      <t xml:space="preserve">2</t>
    </r>
    <r>
      <rPr>
        <sz val="11"/>
        <color rgb="FF20334A"/>
        <rFont val="Noto Sans CJK SC"/>
        <family val="2"/>
        <charset val="1"/>
      </rPr>
      <t xml:space="preserve">、</t>
    </r>
    <r>
      <rPr>
        <sz val="11"/>
        <color rgb="FF20334A"/>
        <rFont val="Arial"/>
        <family val="2"/>
        <charset val="1"/>
      </rPr>
      <t xml:space="preserve">17</t>
    </r>
  </si>
  <si>
    <t xml:space="preserve">精确关系未定</t>
  </si>
  <si>
    <r>
      <rPr>
        <sz val="11"/>
        <color rgb="FF20334A"/>
        <rFont val="Arial"/>
        <family val="2"/>
        <charset val="1"/>
      </rPr>
      <t xml:space="preserve">B11-MY-002-R1</t>
    </r>
    <r>
      <rPr>
        <sz val="11"/>
        <color rgb="FF20334A"/>
        <rFont val="Noto Sans CJK SC"/>
        <family val="2"/>
        <charset val="1"/>
      </rPr>
      <t xml:space="preserve">；源</t>
    </r>
    <r>
      <rPr>
        <sz val="11"/>
        <color rgb="FF20334A"/>
        <rFont val="Arial"/>
        <family val="2"/>
        <charset val="1"/>
      </rPr>
      <t xml:space="preserve">/</t>
    </r>
    <r>
      <rPr>
        <sz val="11"/>
        <color rgb="FF20334A"/>
        <rFont val="Noto Sans CJK SC"/>
        <family val="2"/>
        <charset val="1"/>
      </rPr>
      <t xml:space="preserve">对应</t>
    </r>
    <r>
      <rPr>
        <sz val="11"/>
        <color rgb="FF20334A"/>
        <rFont val="Arial"/>
        <family val="2"/>
        <charset val="1"/>
      </rPr>
      <t xml:space="preserve">SHA</t>
    </r>
    <r>
      <rPr>
        <sz val="11"/>
        <color rgb="FF20334A"/>
        <rFont val="Noto Sans CJK SC"/>
        <family val="2"/>
        <charset val="1"/>
      </rPr>
      <t xml:space="preserve">分别保留</t>
    </r>
  </si>
  <si>
    <t xml:space="preserve">B11-MY-003-R1</t>
  </si>
  <si>
    <t xml:space="preserve">MY-SUP-007</t>
  </si>
  <si>
    <r>
      <rPr>
        <sz val="11"/>
        <color rgb="FF20334A"/>
        <rFont val="Arial"/>
        <family val="2"/>
        <charset val="1"/>
      </rPr>
      <t xml:space="preserve">GTT CW</t>
    </r>
    <r>
      <rPr>
        <sz val="11"/>
        <color rgb="FF20334A"/>
        <rFont val="Noto Sans CJK SC"/>
        <family val="2"/>
        <charset val="1"/>
      </rPr>
      <t xml:space="preserve">家族候选，主附表未定</t>
    </r>
  </si>
  <si>
    <r>
      <rPr>
        <sz val="11"/>
        <color rgb="FF20334A"/>
        <rFont val="Arial"/>
        <family val="2"/>
        <charset val="1"/>
      </rPr>
      <t xml:space="preserve">1</t>
    </r>
    <r>
      <rPr>
        <sz val="11"/>
        <color rgb="FF20334A"/>
        <rFont val="Noto Sans CJK SC"/>
        <family val="2"/>
        <charset val="1"/>
      </rPr>
      <t xml:space="preserve">、</t>
    </r>
    <r>
      <rPr>
        <sz val="11"/>
        <color rgb="FF20334A"/>
        <rFont val="Arial"/>
        <family val="2"/>
        <charset val="1"/>
      </rPr>
      <t xml:space="preserve">2</t>
    </r>
    <r>
      <rPr>
        <sz val="11"/>
        <color rgb="FF20334A"/>
        <rFont val="Noto Sans CJK SC"/>
        <family val="2"/>
        <charset val="1"/>
      </rPr>
      <t xml:space="preserve">、</t>
    </r>
    <r>
      <rPr>
        <sz val="11"/>
        <color rgb="FF20334A"/>
        <rFont val="Arial"/>
        <family val="2"/>
        <charset val="1"/>
      </rPr>
      <t xml:space="preserve">3</t>
    </r>
    <r>
      <rPr>
        <sz val="11"/>
        <color rgb="FF20334A"/>
        <rFont val="Noto Sans CJK SC"/>
        <family val="2"/>
        <charset val="1"/>
      </rPr>
      <t xml:space="preserve">、</t>
    </r>
    <r>
      <rPr>
        <sz val="11"/>
        <color rgb="FF20334A"/>
        <rFont val="Arial"/>
        <family val="2"/>
        <charset val="1"/>
      </rPr>
      <t xml:space="preserve">19</t>
    </r>
  </si>
  <si>
    <r>
      <rPr>
        <sz val="11"/>
        <color rgb="FF20334A"/>
        <rFont val="Arial"/>
        <family val="2"/>
        <charset val="1"/>
      </rPr>
      <t xml:space="preserve">B11-MY-003-R1</t>
    </r>
    <r>
      <rPr>
        <sz val="11"/>
        <color rgb="FF20334A"/>
        <rFont val="Noto Sans CJK SC"/>
        <family val="2"/>
        <charset val="1"/>
      </rPr>
      <t xml:space="preserve">；源</t>
    </r>
    <r>
      <rPr>
        <sz val="11"/>
        <color rgb="FF20334A"/>
        <rFont val="Arial"/>
        <family val="2"/>
        <charset val="1"/>
      </rPr>
      <t xml:space="preserve">/</t>
    </r>
    <r>
      <rPr>
        <sz val="11"/>
        <color rgb="FF20334A"/>
        <rFont val="Noto Sans CJK SC"/>
        <family val="2"/>
        <charset val="1"/>
      </rPr>
      <t xml:space="preserve">对应</t>
    </r>
    <r>
      <rPr>
        <sz val="11"/>
        <color rgb="FF20334A"/>
        <rFont val="Arial"/>
        <family val="2"/>
        <charset val="1"/>
      </rPr>
      <t xml:space="preserve">SHA</t>
    </r>
    <r>
      <rPr>
        <sz val="11"/>
        <color rgb="FF20334A"/>
        <rFont val="Noto Sans CJK SC"/>
        <family val="2"/>
        <charset val="1"/>
      </rPr>
      <t xml:space="preserve">分别保留</t>
    </r>
  </si>
  <si>
    <t xml:space="preserve">B11-MY-004-R1</t>
  </si>
  <si>
    <t xml:space="preserve">MY-SUP-017</t>
  </si>
  <si>
    <t xml:space="preserve">家族候选，编号顺序不符</t>
  </si>
  <si>
    <r>
      <rPr>
        <sz val="11"/>
        <color rgb="FF20334A"/>
        <rFont val="Arial"/>
        <family val="2"/>
        <charset val="1"/>
      </rPr>
      <t xml:space="preserve">2</t>
    </r>
    <r>
      <rPr>
        <sz val="11"/>
        <color rgb="FF20334A"/>
        <rFont val="Noto Sans CJK SC"/>
        <family val="2"/>
        <charset val="1"/>
      </rPr>
      <t xml:space="preserve">、</t>
    </r>
    <r>
      <rPr>
        <sz val="11"/>
        <color rgb="FF20334A"/>
        <rFont val="Arial"/>
        <family val="2"/>
        <charset val="1"/>
      </rPr>
      <t xml:space="preserve">3</t>
    </r>
    <r>
      <rPr>
        <sz val="11"/>
        <color rgb="FF20334A"/>
        <rFont val="Noto Sans CJK SC"/>
        <family val="2"/>
        <charset val="1"/>
      </rPr>
      <t xml:space="preserve">、</t>
    </r>
    <r>
      <rPr>
        <sz val="11"/>
        <color rgb="FF20334A"/>
        <rFont val="Arial"/>
        <family val="2"/>
        <charset val="1"/>
      </rPr>
      <t xml:space="preserve">12</t>
    </r>
  </si>
  <si>
    <r>
      <rPr>
        <sz val="11"/>
        <color rgb="FF20334A"/>
        <rFont val="Arial"/>
        <family val="2"/>
        <charset val="1"/>
      </rPr>
      <t xml:space="preserve">B11-MY-004-R1</t>
    </r>
    <r>
      <rPr>
        <sz val="11"/>
        <color rgb="FF20334A"/>
        <rFont val="Noto Sans CJK SC"/>
        <family val="2"/>
        <charset val="1"/>
      </rPr>
      <t xml:space="preserve">；源</t>
    </r>
    <r>
      <rPr>
        <sz val="11"/>
        <color rgb="FF20334A"/>
        <rFont val="Arial"/>
        <family val="2"/>
        <charset val="1"/>
      </rPr>
      <t xml:space="preserve">/</t>
    </r>
    <r>
      <rPr>
        <sz val="11"/>
        <color rgb="FF20334A"/>
        <rFont val="Noto Sans CJK SC"/>
        <family val="2"/>
        <charset val="1"/>
      </rPr>
      <t xml:space="preserve">对应</t>
    </r>
    <r>
      <rPr>
        <sz val="11"/>
        <color rgb="FF20334A"/>
        <rFont val="Arial"/>
        <family val="2"/>
        <charset val="1"/>
      </rPr>
      <t xml:space="preserve">SHA</t>
    </r>
    <r>
      <rPr>
        <sz val="11"/>
        <color rgb="FF20334A"/>
        <rFont val="Noto Sans CJK SC"/>
        <family val="2"/>
        <charset val="1"/>
      </rPr>
      <t xml:space="preserve">分别保留</t>
    </r>
  </si>
  <si>
    <t xml:space="preserve">任务ID</t>
  </si>
  <si>
    <t xml:space="preserve">冻结来源保司</t>
  </si>
  <si>
    <t xml:space="preserve">冻结来源产品标签</t>
  </si>
  <si>
    <t xml:space="preserve">角色层决定</t>
  </si>
  <si>
    <t xml:space="preserve">锚点观察的文件角色</t>
  </si>
  <si>
    <t xml:space="preserve">库存页数（非审读）</t>
  </si>
  <si>
    <t xml:space="preserve">实际文件总页数</t>
  </si>
  <si>
    <t xml:space="preserve">执行锚点物理页</t>
  </si>
  <si>
    <t xml:space="preserve">执行锚点页数</t>
  </si>
  <si>
    <t xml:space="preserve">独立QA锚点物理页</t>
  </si>
  <si>
    <t xml:space="preserve">独立QA锚点页数</t>
  </si>
  <si>
    <t xml:space="preserve">全文状态</t>
  </si>
  <si>
    <t xml:space="preserve">全文增量</t>
  </si>
  <si>
    <t xml:space="preserve">严格增量</t>
  </si>
  <si>
    <t xml:space="preserve">主角色提议数</t>
  </si>
  <si>
    <t xml:space="preserve">非合同CIS数</t>
  </si>
  <si>
    <t xml:space="preserve">保留映射数</t>
  </si>
  <si>
    <t xml:space="preserve">本轮已发布主角色增量</t>
  </si>
  <si>
    <t xml:space="preserve">原件ID</t>
  </si>
  <si>
    <t xml:space="preserve">原件SHA-256</t>
  </si>
  <si>
    <t xml:space="preserve">正文身份观察（不改来源）</t>
  </si>
  <si>
    <t xml:space="preserve">身份／版次／附表限制</t>
  </si>
  <si>
    <t xml:space="preserve">独立QA纠正与补充</t>
  </si>
  <si>
    <t xml:space="preserve">映射保留原因</t>
  </si>
  <si>
    <t xml:space="preserve">私有元数据包下载</t>
  </si>
  <si>
    <t xml:space="preserve">原始来源入口</t>
  </si>
  <si>
    <t xml:space="preserve">原始文档来源</t>
  </si>
  <si>
    <t xml:space="preserve">冻结时间UTC</t>
  </si>
  <si>
    <t xml:space="preserve">执行完成UTC</t>
  </si>
  <si>
    <t xml:space="preserve">独立QA时间UTC</t>
  </si>
  <si>
    <t xml:space="preserve">角色检查点ID</t>
  </si>
  <si>
    <t xml:space="preserve">角色证据验收</t>
  </si>
  <si>
    <t xml:space="preserve">唯一任务检查</t>
  </si>
  <si>
    <t xml:space="preserve">B15-MY-001</t>
  </si>
  <si>
    <t xml:space="preserve">Group Term Takaful (GTTCP0425) - Legacy and Protection Campaign</t>
  </si>
  <si>
    <t xml:space="preserve">noncontract_certificate_information_summary</t>
  </si>
  <si>
    <t xml:space="preserve">1, 2, 3, 35</t>
  </si>
  <si>
    <t xml:space="preserve">待全文</t>
  </si>
  <si>
    <t xml:space="preserve">regional-20261025-07c5c6d5fb1fec25</t>
  </si>
  <si>
    <t xml:space="preserve">07c5c6d5fb1fec2500240c2ff34f4ed386f7c89c7543940bd9c190f1fd43cb80</t>
  </si>
  <si>
    <t xml:space="preserve">issuer_in_cover_and_cis_opening: Sun Life Malaysia Takaful Berhad
product_name: Group Term Takaful (GTT CP)
master_reference_code: GTTCP0425
master_holder: CIMB Bank Berhad
version_boundary_note: Code is a master reference observed in the file, not an inferred issuance date or current-version assertion.</t>
  </si>
  <si>
    <t xml:space="preserve">Legacy and Protection Campaign is a frozen/source label, not an independently verified body title in these anchors.</t>
  </si>
  <si>
    <t xml:space="preserve">Physical p3 is explicitly an information-only noncontract CIS and points to a separate master contract/policy. This does not establish the missing master wording.
No assertion that every uninspected page has been classified or read.</t>
  </si>
  <si>
    <t xml:space="preserve">https://www.sunlifemalaysia.com/client-care/downloads/</t>
  </si>
  <si>
    <t xml:space="preserve">https://www.sunlifemalaysia.com/getContentAsset/18d526dd-4d62-43f4-8d94-e0aa346330dc/826411a5-9a44-43a6-8410-a7ad95da6d70/GTT-Certificate-of-Takaful_EngBM-for-client-_GTT-CP_040425_CIMB-Bank-Clean.pdf</t>
  </si>
  <si>
    <t xml:space="preserve">B15-MY-001:accepted-role-only:20261026</t>
  </si>
  <si>
    <t xml:space="preserve">B15-MY-002</t>
  </si>
  <si>
    <t xml:space="preserve">Group Term Life - MRTT Complimentary GTT Campaign - Plan A (CIMB Bank Berhad)</t>
  </si>
  <si>
    <t xml:space="preserve">1, 2, 3, 21</t>
  </si>
  <si>
    <t xml:space="preserve">regional-20261025-1db8d63aa433ea6d</t>
  </si>
  <si>
    <t xml:space="preserve">1db8d63aa433ea6d59dbc350f44c704456313df333db2358f26cf278df16b137</t>
  </si>
  <si>
    <t xml:space="preserve">issuer_in_cover_and_cis_opening: Sun Life Malaysia Takaful Berhad
product_name: Group Term Takaful - Plan A
master_reference_code: GTTCIMB0623
master_holder: CIMB Islamic Bank / CIMB Islamic Bank Berhad (address field)
version_boundary_note: Code is a master reference observed in the file, not an inferred issuance date or current-version assertion.</t>
  </si>
  <si>
    <t xml:space="preserve">Frozen target incorrectly says Group Term Life and CIMB Bank Berhad; observed body identifies Group Term Takaful and CIMB Islamic Bank. No replacement master contract has been established.</t>
  </si>
  <si>
    <t xml:space="preserve">Physical p3 is explicitly an information-only noncontract CIS and points to a separate master contract/policy. This does not establish the missing master wording.
No assertion that every uninspected page has been classified or read.
Frozen source label says Group Term Life and CIMB Bank Berhad. Actual p1/p3 say Group Term Takaful and Sun Life Malaysia Takaful Berhad; p2 says CIMB Islamic Bank (CIMB Islamic Bank Berhad in address), GTTCIMB0623.
Plan A/B is a benefit-table heading at p2, not a separately proved product or master-version identity. Frozen target/source ownership retained, not silently overwritten.</t>
  </si>
  <si>
    <t xml:space="preserve">https://www.sunlifemalaysia.com/getContentAsset/9009cf63-c443-4c1d-8c62-4013b194da66/826411a5-9a44-43a6-8410-a7ad95da6d70/GTT-Certificate-of-takaful-for-Client_GTTCIMB0623-_Repriced-MRTT_PlanA-Wevbsite_5.pdf</t>
  </si>
  <si>
    <t xml:space="preserve">B15-MY-002:accepted-role-only:20261026</t>
  </si>
  <si>
    <t xml:space="preserve">B15-MY-003</t>
  </si>
  <si>
    <t xml:space="preserve">Takaful PA SmartPro Contract (Financial Institution)</t>
  </si>
  <si>
    <t xml:space="preserve">主角色提议</t>
  </si>
  <si>
    <t xml:space="preserve">historical_main_contract_with_endorsements</t>
  </si>
  <si>
    <t xml:space="preserve">1, 2, 3, 4, 5, 9, 13, 14, 15, 16, 17, 20, 26, 50</t>
  </si>
  <si>
    <t xml:space="preserve">regional-20261025-2514a7e8222f38f0</t>
  </si>
  <si>
    <t xml:space="preserve">2514a7e8222f38f0799ca9327d3141058e226aa165c1dcdc68f3f785712e9cf4</t>
  </si>
  <si>
    <t xml:space="preserve">base_issuer_in_operative_body: CIMB Aviva Takaful Berhad
endorsement_issuer: Sun Life Malaysia Takaful Berhad
endorsement_issuer_registration: 689263-M
documentary_name_change_bridge: In-file notice effective 19 August 2013; historical and renamed entities preserved separately in metadata, not independently checked against a registry.
product_name: Takaful PA SmartPro
observed_dated_endorsements: 02/2019 effective 1 July 2019; 01/2018 effective 1 July 2018
version_boundary_note: Historical base wording plus later attached amendments; endorsement date is not the base edition or evidence of current use.</t>
  </si>
  <si>
    <t xml:space="preserve">Financial Institution / Non-financial Institution distinction is a frozen/source label not established by the sampled body anchors. Keep the two SHA-distinct files separate; do not deduplicate or infer separate products.
Base edition date/code and complete intervening endorsement/language boundaries remain unverified.</t>
  </si>
  <si>
    <t xml:space="preserve">Main-containing role independently established from body p16/p17/p20/p26, without relying on FI/NFI filename labels.
Separate SHA records retained. No deduplication, product split, family closure or group merge.
Historical CIMB Aviva Takaful body, later Sun Life Malaysia Takaful endorsements, and in-file name-change notice remain separate time-scoped evidence.</t>
  </si>
  <si>
    <t xml:space="preserve">https://www.sunlifemalaysia.com/getContentAsset/a92d55a5-5d55-4167-828e-93256af6cae4/826411a5-9a44-43a6-8410-a7ad95da6d70/46.pdf</t>
  </si>
  <si>
    <t xml:space="preserve">B15-MY-003:accepted-role-only:20261026</t>
  </si>
  <si>
    <t xml:space="preserve">B15-MY-004</t>
  </si>
  <si>
    <t xml:space="preserve">Group Term Life - MRTA/MLTA Complimentary GTL Campaign - Plan B (CIMB Bank)</t>
  </si>
  <si>
    <t xml:space="preserve">regional-20261025-2c0bd51ab5ff5b16</t>
  </si>
  <si>
    <t xml:space="preserve">2c0bd51ab5ff5b161fa434fad7ef5b03b02b218c46d383417dab38e637bc088c</t>
  </si>
  <si>
    <t xml:space="preserve">issuer_in_cover_and_cis_opening: Sun Life Malaysia Assurance Berhad
product_name: Group Term Life - Plan B
master_reference_code: GTLCIMB1124
master_holder: CIMB Bank / CIMB Bank Berhad (address field)
version_boundary_note: Code is a master reference observed in the file, not an inferred issuance date or current-version assertion.</t>
  </si>
  <si>
    <t xml:space="preserve">Plan/campaign labels do not make this the master policy; the master policy is referred to but not verified by this file checkpoint.</t>
  </si>
  <si>
    <t xml:space="preserve">https://www.sunlifemalaysia.com/getContentAsset/3eddf7ec-f5ca-4417-a67f-74a07c68298c/826411a5-9a44-43a6-8410-a7ad95da6d70/GTL-Certificate-of-insurance-for-CIMB-Client-_Eng-BM_Repriced-MRTA-MLTA_PlanB_-Website_6.pdf</t>
  </si>
  <si>
    <t xml:space="preserve">B15-MY-004:accepted-role-only:20261026</t>
  </si>
  <si>
    <t xml:space="preserve">B15-MY-005</t>
  </si>
  <si>
    <t xml:space="preserve">Takaful PA SmartPro Contract (Non-financial Institution)</t>
  </si>
  <si>
    <t xml:space="preserve">regional-20261025-4f3084f52e0020fb</t>
  </si>
  <si>
    <t xml:space="preserve">4f3084f52e0020fbb040dfcae80cfe1c8d41fe975d88a2cc94a6309e2bd32f0e</t>
  </si>
  <si>
    <t xml:space="preserve">https://www.sunlifemalaysia.com/getContentAsset/2d1453a4-4fe4-49df-bc08-2996ff52e9c4/826411a5-9a44-43a6-8410-a7ad95da6d70/44.pdf</t>
  </si>
  <si>
    <t xml:space="preserve">B15-MY-005:accepted-role-only:20261026</t>
  </si>
  <si>
    <t xml:space="preserve">B15-MY-006</t>
  </si>
  <si>
    <t xml:space="preserve">Group Term Takaful (GTTSA0425) - Legacy and Protection Campaign</t>
  </si>
  <si>
    <t xml:space="preserve">regional-20261025-7c9c448f8d174410</t>
  </si>
  <si>
    <t xml:space="preserve">7c9c448f8d1744108ca1953aab9a33f3a8d8ccc51b837eb3018365d79fc669f3</t>
  </si>
  <si>
    <t xml:space="preserve">issuer_in_cover_and_cis_opening: Sun Life Malaysia Takaful Berhad
product_name: Group Term Takaful (GTT SA)
master_reference_code: GTTSA0425
master_holder: CIMB Islamic Bank Berhad
version_boundary_note: Code is a master reference observed in the file, not an inferred issuance date or current-version assertion.</t>
  </si>
  <si>
    <t xml:space="preserve">https://www.sunlifemalaysia.com/getContentAsset/f6c43dbe-a174-43f9-b005-9c3902e5c9fa/826411a5-9a44-43a6-8410-a7ad95da6d70/GTT-Certificate-of-Takaful_EngBM-for-client-_GTT-SA_040425_CIMB-Islamic-Bank-Clean.pdf</t>
  </si>
  <si>
    <t xml:space="preserve">B15-MY-006:accepted-role-only:20261026</t>
  </si>
  <si>
    <t xml:space="preserve">B15-MY-007</t>
  </si>
  <si>
    <t xml:space="preserve">Takaful Child Protector Contract</t>
  </si>
  <si>
    <t xml:space="preserve">historical_main_contract_with_compulsory_rider_and_endorsements</t>
  </si>
  <si>
    <t xml:space="preserve">1, 2, 3, 4, 7, 11, 12, 13, 14, 15, 31, 32, 55</t>
  </si>
  <si>
    <t xml:space="preserve">regional-20261025-a426d72a21ab5416</t>
  </si>
  <si>
    <t xml:space="preserve">a426d72a21ab5416aa0ac713c6469a057f2d9d1ffbd9a6b701f9886d69b93537</t>
  </si>
  <si>
    <t xml:space="preserve">base_issuer_in_operative_body: CIMB Aviva Takaful Berhad
endorsement_issuer: Sun Life Malaysia Takaful Berhad
endorsement_issuer_registration: 689263-M
documentary_name_change_bridge: In-file notice effective 19 August 2013; historical and renamed entities preserved separately in metadata, not independently checked against a registry.
product_name: Takaful Child Protector
observed_dated_endorsements: 02/2019 effective 1 July 2019; endorsement effective 1 April 2016; endorsement effective 1 January 2015
version_boundary_note: Historical base wording plus later attached amendments; endorsement date is not the base edition or evidence of current use.</t>
  </si>
  <si>
    <t xml:space="preserve">Base edition date/code and complete intervening endorsement/language boundaries remain unverified; compulsory rider presence does not establish package completeness.</t>
  </si>
  <si>
    <t xml:space="preserve">Main-containing role independently established from body p14/p15; p31/p32 expressly identify a dependent compulsory supplementary rider.
p7 endorsement replaces base constitution clauses; it must be reconciled with p15 before substantive adoption.
p1/p3 endorsements use master policy language and p1 also uses master contract language; do not infer group ownership or merge from this nomenclature.</t>
  </si>
  <si>
    <t xml:space="preserve">https://www.sunlifemalaysia.com/getContentAsset/b6c5f427-e104-4142-a889-0102067a2492/826411a5-9a44-43a6-8410-a7ad95da6d70/42.pdf</t>
  </si>
  <si>
    <t xml:space="preserve">B15-MY-007:accepted-role-only:20261026</t>
  </si>
  <si>
    <t xml:space="preserve">B15-MY-008</t>
  </si>
  <si>
    <t xml:space="preserve">Group Term Life - MRTT Complimentary GTT Campaign - Plan B (CIMB Bank Berhad)</t>
  </si>
  <si>
    <t xml:space="preserve">regional-20261025-c33bc4acb793b240</t>
  </si>
  <si>
    <t xml:space="preserve">c33bc4acb793b240b66006cb6e16e52fdb3bd596261a9a1f30b25671dcc63014</t>
  </si>
  <si>
    <t xml:space="preserve">issuer_in_cover_and_cis_opening: Sun Life Malaysia Takaful Berhad
product_name: Group Term Takaful - Plan B
master_reference_code: GTTCIMB0623
master_holder: CIMB Islamic Bank / CIMB Islamic Bank Berhad (address field)
version_boundary_note: Code is a master reference observed in the file, not an inferred issuance date or current-version assertion.</t>
  </si>
  <si>
    <t xml:space="preserve">https://www.sunlifemalaysia.com/getContentAsset/025fe2db-a9f7-48d8-94e8-1db37d7d6e52/826411a5-9a44-43a6-8410-a7ad95da6d70/GTT-Certificate-of-takaful-for-Client_GTTCIMB0623-_Repriced-MRTT_PlanB-Webiste_3.pdf</t>
  </si>
  <si>
    <t xml:space="preserve">B15-MY-008:accepted-role-only:20261026</t>
  </si>
  <si>
    <t xml:space="preserve">B15-MY-009</t>
  </si>
  <si>
    <t xml:space="preserve">Group Term Takaful - Green Home Campaign (CIMB Islamic Bank)</t>
  </si>
  <si>
    <t xml:space="preserve">regional-20261025-db5c2580a3c7e7bc</t>
  </si>
  <si>
    <t xml:space="preserve">db5c2580a3c7e7bc1ae64c2f4d8f9884bbaaffe0f8101054e28b6d82592c8447</t>
  </si>
  <si>
    <t xml:space="preserve">issuer_in_cover_and_cis_opening: Sun Life Malaysia Takaful Berhad
product_name: Group Term Takaful
master_reference_code: GTTCIMB0623
master_holder: CIMB Islamic Bank / CIMB Islamic Bank Berhad (address field)
version_boundary_note: Code is a master reference observed in the file, not an inferred issuance date or current-version assertion.</t>
  </si>
  <si>
    <t xml:space="preserve">Green Home Campaign is the frozen/source label; it is not a body title established by the inspected cover, details page, CIS opening and final anchor. Shared master code with Plan A/B is not file equivalence.</t>
  </si>
  <si>
    <t xml:space="preserve">https://www.sunlifemalaysia.com/getContentAsset/4c7f5651-1d54-4b4e-9e8a-fbfb0f6c1ca7/826411a5-9a44-43a6-8410-a7ad95da6d70/GTT-Certificate-of-takaful-for-Client_GTTCIMB0623-_Green-Building_18032024-Final.pdf</t>
  </si>
  <si>
    <t xml:space="preserve">B15-MY-009:accepted-role-only:20261026</t>
  </si>
  <si>
    <t xml:space="preserve">B15-MY-010</t>
  </si>
  <si>
    <t xml:space="preserve">Group Term Takaful - Green Home Campaign (CIMB Bank Berhad)</t>
  </si>
  <si>
    <t xml:space="preserve">regional-20261025-ef41d5b18cc52660</t>
  </si>
  <si>
    <t xml:space="preserve">ef41d5b18cc52660c449a261037c527339137614e285740c4734494e5eb473d1</t>
  </si>
  <si>
    <t xml:space="preserve">issuer_in_cover_and_cis_opening: Sun Life Malaysia Takaful Berhad
product_name: Group Term Takaful
master_reference_code: GTTCIMB1024
master_holder: CIMB Bank Berhad
version_boundary_note: Code is a master reference observed in the file, not an inferred issuance date or current-version assertion.</t>
  </si>
  <si>
    <t xml:space="preserve">Green Home Campaign is the frozen/source label; it is not a body title established by the inspected cover, details page, CIS opening and final anchor.</t>
  </si>
  <si>
    <t xml:space="preserve">https://www.sunlifemalaysia.com/getContentAsset/82e1441f-e30f-4b77-8554-d93d04c95d8d/826411a5-9a44-43a6-8410-a7ad95da6d70/GTT-Certificate-of-takaful-for-Client_GTTCIMB1024-_Green-Building_18032024-Final.pdf</t>
  </si>
  <si>
    <t xml:space="preserve">B15-MY-010:accepted-role-only:20261026</t>
  </si>
  <si>
    <t xml:space="preserve">B16-MY-001</t>
  </si>
  <si>
    <t xml:space="preserve">Biz Shield Plus (Level) Master Policy</t>
  </si>
  <si>
    <t xml:space="preserve">main_policy_with_endorsements_and_conditional_rider</t>
  </si>
  <si>
    <t xml:space="preserve">1, 2, 3, 10, 11, 12, 13, 14, 21, 40</t>
  </si>
  <si>
    <t xml:space="preserve">1, 10, 13, 14, 21, 40</t>
  </si>
  <si>
    <t xml:space="preserve">regional-20261025-d72c61d2ba3780ce</t>
  </si>
  <si>
    <t xml:space="preserve">d72c61d2ba3780ce2cc86e28224cf7686cbf4895fabbf3e566e004a6d6c93e33</t>
  </si>
  <si>
    <t xml:space="preserve">base_issuer_in_operative_body: Sun Life Malaysia Assurance Berhad
product_name: Biz Shield Plus (Level)
master_reference_code: BSPL0625
master_holder: CIMB Bank Berhad (endorsement)
observed_dated_endorsements: 27 February 2026; 09 December 2025
version_boundary_note: Dated endorsements and reference code do not establish base edition or current adoption.</t>
  </si>
  <si>
    <t xml:space="preserve">No complete schedule, language boundary or intervening endorsement reconciliation was performed.
Conditional rider presence does not establish that it applies to any individual certificate.</t>
  </si>
  <si>
    <t xml:space="preserve">p1 identifies Level, BSPL0625, CIMB Bank Berhad and conditional BSPL005 rider effective 27 February 2026; p10 identifies 9 December 2025 amendment. p13 explicitly defines issuer; p14 supplies operative premium/constitution clause; p21 supplies base death-payment clause. p40 is terminal Malay continuation, not proof of package completeness.</t>
  </si>
  <si>
    <t xml:space="preserve">https://www.sunlifemalaysia.com/getContentAsset/37a754c0-2919-4f64-b3c8-105cc8e6d636/826411a5-9a44-43a6-8410-a7ad95da6d70/BSP-with-ROP-Level-_Master-Policy-Endt_Final-Website.pdf?language=en</t>
  </si>
  <si>
    <t xml:space="preserve">B16-MY-001:accepted-role-only:20261026</t>
  </si>
  <si>
    <t xml:space="preserve">B16-MY-002</t>
  </si>
  <si>
    <t xml:space="preserve">Biz Shield Plus (Reducing) Master Policy</t>
  </si>
  <si>
    <t xml:space="preserve">1, 2, 3, 10, 11, 12, 13, 14, 21, 42</t>
  </si>
  <si>
    <t xml:space="preserve">1, 10, 13, 14, 21, 42</t>
  </si>
  <si>
    <t xml:space="preserve">regional-20261025-5f8f4352a6b56721</t>
  </si>
  <si>
    <t xml:space="preserve">5f8f4352a6b567216d01e3f6f9a88b276bf2b1cc9e28c02378aa338ae2a43a1c</t>
  </si>
  <si>
    <t xml:space="preserve">base_issuer_in_operative_body: Sun Life Malaysia Assurance Berhad
product_name: Biz Shield Plus (Reducing)
master_reference_code: BSPR0625
master_holder: CIMB Bank Berhad (endorsement)
observed_dated_endorsements: 27 February 2026; 09 December 2025
version_boundary_note: Dated endorsements and reference code do not establish base edition or current adoption.</t>
  </si>
  <si>
    <t xml:space="preserve">p1 identifies Reducing, BSPR0625, CIMB Bank Berhad and conditional BSPR006 rider effective 27 February 2026; p10 identifies 9 December 2025 amendment. p13 explicitly defines issuer; p14 supplies operative premium/constitution clause; p21 supplies base reducing-sum death-payment clause. p42 is terminal Malay formula, not proof of completeness.</t>
  </si>
  <si>
    <t xml:space="preserve">https://www.sunlifemalaysia.com/getContentAsset/9397cb92-5fb6-4ea0-b936-61a0d90adfa0/826411a5-9a44-43a6-8410-a7ad95da6d70/BSP-with-ROP-Reducing-_Master-Policy-Endt_Final-Website.pdf?language=en</t>
  </si>
  <si>
    <t xml:space="preserve">B16-MY-002:accepted-role-only:20261026</t>
  </si>
  <si>
    <t xml:space="preserve">B16-MY-003</t>
  </si>
  <si>
    <t xml:space="preserve">Group Amanah Saham Assurance Contract (GASA 2014)</t>
  </si>
  <si>
    <t xml:space="preserve">main_policy_with_endorsements</t>
  </si>
  <si>
    <t xml:space="preserve">1, 2, 3, 17, 18, 19, 20, 21, 22, 27, 44</t>
  </si>
  <si>
    <t xml:space="preserve">1, 18, 21, 22, 27, 44</t>
  </si>
  <si>
    <t xml:space="preserve">regional-20261025-2480171341a01b0f</t>
  </si>
  <si>
    <t xml:space="preserve">2480171341a01b0f17b78305a4878bfda7d7b961f044199077ed30ff09bf8342</t>
  </si>
  <si>
    <t xml:space="preserve">base_issuer_in_operative_body: Sun Life Malaysia Assurance Berhad
product_name: Group Amanah Saham Assurance (GASA 2014)
master_reference_code: GASA0714 (endorsements)
observed_dated_endorsements: 1 June 2021; 1 January 2015
version_boundary_note: GASA 2014 is observed nomenclature; later endorsement dates are not replacement base-edition evidence.</t>
  </si>
  <si>
    <t xml:space="preserve">Contents physical p21 (printed p1) is immediately followed by physical p22 (printed p3); listed printed p2 schedule not present at that adjacency. No package completeness conclusion.
Base wording and amendments remain unreconciled.</t>
  </si>
  <si>
    <t xml:space="preserve">p1/p18 independently confirm GASA2014/GASA0714 amendments dated 2021/2015. p21 lists GASA001 schedule p2 and GASA002 conditions p3; immediate p22 is printed p3 and explicitly defines issuer and operative policy composition. p27 supplies base death-payment wording. p44 terminal formula footer identifies GASA2014.</t>
  </si>
  <si>
    <t xml:space="preserve">https://www.sunlifemalaysia.com/getContentAsset/19b99826-cbd7-41d5-b9ec-0ac26b2b238b/826411a5-9a44-43a6-8410-a7ad95da6d70/7.pdf</t>
  </si>
  <si>
    <t xml:space="preserve">B16-MY-003:accepted-role-only:20261026</t>
  </si>
  <si>
    <t xml:space="preserve">B16-MY-004</t>
  </si>
  <si>
    <t xml:space="preserve">Group Amanah Saham Assurance Contract (New GASA)</t>
  </si>
  <si>
    <t xml:space="preserve">映射保留</t>
  </si>
  <si>
    <t xml:space="preserve">main_policy_with_endorsements_source_label_identity_unresolved</t>
  </si>
  <si>
    <t xml:space="preserve">1, 2, 3, 19, 20, 21, 22, 23, 24, 29, 46</t>
  </si>
  <si>
    <t xml:space="preserve">1, 3, 20, 23, 24, 29, 46</t>
  </si>
  <si>
    <t xml:space="preserve">regional-20261025-ff30e8c3cfb2e4cc</t>
  </si>
  <si>
    <t xml:space="preserve">ff30e8c3cfb2e4cca399ca8effe4d3dd63a2b033159a1e6cc8ced25116a18625</t>
  </si>
  <si>
    <t xml:space="preserve">base_issuer_in_operative_body: Sun Life Malaysia Assurance Berhad
product_name: Group Amanah Saham Assurance (GASA 2014)
master_reference_code: GASA0714 (endorsements)
observed_dated_endorsements: 1 July 2025; 1 June 2021; 1 January 2015
version_boundary_note: GASA 2014 is observed nomenclature; later endorsement dates are not replacement base-edition evidence.</t>
  </si>
  <si>
    <t xml:space="preserve">Contents physical p23 (printed p1) is immediately followed by physical p24 (printed p3); listed printed p2 schedule not present at that adjacency. No package completeness conclusion.
Base wording and amendments remain unreconciled.
Frozen New GASA label is not established as the observed body title: sampled base and endorsements say GASA 2014 / GASA0714. Primary matching proposal withheld; no cross-file merge or product identity conclusion.
2025 amendment calls GASA001 general conditions, whereas sampled base contents/body use GASA002; retain annexure-reference discrepancy pending full reconciliation.</t>
  </si>
  <si>
    <t xml:space="preserve">p1 and p3/p20 identify GASA2014/GASA0714, not New GASA; p1 2025 amendment calls GASA001 general conditions. p23 table/p24 body instead locate general conditions at GASA002 and p24 supplies issuer and operative constitution. p29 supplies death promise. p23 printed p1 goes directly to p24 printed p3; p46 terminal footer identifies GASA2014. Source-label discrepancy and annexure mismatch unresolved; primary proposal withheld.</t>
  </si>
  <si>
    <t xml:space="preserve">https://www.sunlifemalaysia.com/getContentAsset/78bc26a6-2dd9-4378-8743-c32f013d561d/826411a5-9a44-43a6-8410-a7ad95da6d70/5-Master-Policy-GASA-from-website-_0725.pdf?language=en</t>
  </si>
  <si>
    <t xml:space="preserve">B16-MY-004:accepted-role-only:20261026</t>
  </si>
  <si>
    <t xml:space="preserve">B16-MY-005</t>
  </si>
  <si>
    <t xml:space="preserve">Group Mortgage Level Term Assurance Master Policy (MLTA 2015)</t>
  </si>
  <si>
    <t xml:space="preserve">1, 2, 3, 12, 13, 14, 15, 21, 38</t>
  </si>
  <si>
    <t xml:space="preserve">1, 3, 13, 14, 15, 21, 38</t>
  </si>
  <si>
    <t xml:space="preserve">regional-20261025-d6f1b31f6a2f4a27</t>
  </si>
  <si>
    <t xml:space="preserve">d6f1b31f6a2f4a27b5af4973a8e2888b28716fa5a6d4bc40f914b9376e4ad95a</t>
  </si>
  <si>
    <t xml:space="preserve">base_issuer_in_operative_body: Sun Life Malaysia Assurance Berhad
product_name: Group Mortgage Level Term Assurance (MLTA 2015)
master_reference_code: MLTA0615
master_holder: CIMB Bank Berhad (endorsement)
observed_dated_endorsements: 06 December 2025; 19 May 2023
version_boundary_note: 2015 is observed base nomenclature; master code and later amendment dates do not establish current edition.</t>
  </si>
  <si>
    <t xml:space="preserve">Contents printed p1 immediately precedes general conditions printed p3; listed schedule p2 not present at that adjacency.
Uninspected endorsements and all substantive/version relationships remain pending full review.</t>
  </si>
  <si>
    <t xml:space="preserve">p1/p3 establish MLTA2015/MLTA0615 amendments dated 6 December 2025 and 19 May 2023, and CIMB Bank holder on p3. p13 table printed p1 leads immediately to p14 printed p3, leaving listed schedule p2 unestablished. p14 issuer definition, p15 operative constitution, p21 death promise establish main role; p38 terminal Malay continuation.</t>
  </si>
  <si>
    <t xml:space="preserve">https://www.sunlifemalaysia.com/getContentAsset/a52a296b-7bf7-46a9-8e90-9b4bacd7cd55/826411a5-9a44-43a6-8410-a7ad95da6d70/6-Group-Mortgage-Level-Term-Assurance-Master-Policy-MLTA-2015-_1225.pdf?language=en</t>
  </si>
  <si>
    <t xml:space="preserve">B16-MY-005:accepted-role-only:20261026</t>
  </si>
  <si>
    <t xml:space="preserve">B16-MY-006</t>
  </si>
  <si>
    <t xml:space="preserve">Group Mortgage Reducing Term Assurance Master Policy (MRTA 2015)</t>
  </si>
  <si>
    <t xml:space="preserve">1, 2, 3, 12, 13, 14, 15, 16, 17, 21, 22, 42</t>
  </si>
  <si>
    <t xml:space="preserve">1, 3, 14, 15, 16, 22, 42</t>
  </si>
  <si>
    <t xml:space="preserve">regional-20261025-3777f3abd7942111</t>
  </si>
  <si>
    <t xml:space="preserve">3777f3abd79421110c324faf6534bed20939ec2e9c4186c587cf89120a9fae62</t>
  </si>
  <si>
    <t xml:space="preserve">base_issuer_in_operative_body: Sun Life Malaysia Assurance Berhad
product_name: Group Mortgage Reducing Term Assurance (MRTA 2015)
master_reference_code: MRTA0615
master_holder: CIMB Bank Berhad (endorsement)
observed_dated_endorsements: 06 December 2025; 27 June 2022
version_boundary_note: 2015 is observed base nomenclature; master code and later amendment dates do not establish current edition.</t>
  </si>
  <si>
    <t xml:space="preserve">p1/p3 establish MRTA2015/MRTA0615 amendments dated 6 December 2025 and 27 June 2022, CIMB Bank holder on p3. p14 table printed p1 leads immediately to p15 printed p3; listed schedule p2 unestablished. p15 issuer definition, p16 operative constitution, p22 reducing-sum death promise establish main role; p42 terminal formula.</t>
  </si>
  <si>
    <t xml:space="preserve">https://www.sunlifemalaysia.com/getContentAsset/42a1819d-8953-453b-86c1-388deb5ae85a/826411a5-9a44-43a6-8410-a7ad95da6d70/7-Group-Mortgage-Reducing-Term-Assurance-Master-Policy-MRTA-2015-_1225.pdf?language=en</t>
  </si>
  <si>
    <t xml:space="preserve">B16-MY-006:accepted-role-only:20261026</t>
  </si>
  <si>
    <t xml:space="preserve">B16-MY-007</t>
  </si>
  <si>
    <t xml:space="preserve">Group Mortgage Reducing Term Assurance Master Policy (MRTA 2015 - Business Loan)</t>
  </si>
  <si>
    <t xml:space="preserve">1, 2, 3, 13, 14, 15, 16, 23, 24, 25, 26, 27, 28, 29, 30, 33, 37, 57, 58</t>
  </si>
  <si>
    <t xml:space="preserve">1, 3, 13, 25, 26, 27, 33, 57, 58</t>
  </si>
  <si>
    <t xml:space="preserve">regional-20261025-764a37e7b69ee85e</t>
  </si>
  <si>
    <t xml:space="preserve">764a37e7b69ee85e5ff36b41e31235abbe7c4eb89bf4e99db8a196e6a62e53d4</t>
  </si>
  <si>
    <t xml:space="preserve">base_issuer_in_operative_body: Sun Life Malaysia Assurance Berhad
product_name: Group Mortgage Reducing Term Assurance (MRTA 2015) - Business Loan
master_reference_code: GBLI0615
master_holder: CIMB Bank Berhad
master_policy_commencement_date: 23 May 2016 (schedule)
observed_dated_endorsements: 06 December 2025; 27 June 2022
version_boundary_note: Schedule commencement is not a base-edition date; 2015 title and 2016 commencement retained separately.</t>
  </si>
  <si>
    <t xml:space="preserve">Uninspected intervening endorsements, rider applicability and language boundaries remain unreconciled.
Schedule and base eligibility mention property-loan applicants despite Business Loan title; no eligibility reconciliation or product inference performed.</t>
  </si>
  <si>
    <t xml:space="preserve">p1/p3 confirm Business Loan/GBLI0615 and 2025/2022 amendments; p13 confirms conditional MRTA006 refund rider, not independent base policy. p25 schedule shows CIMB Bank, GBLI0615, 23 May 2016 commencement; this is not edition date. p26 issuer and p27 operative constitution plus p33 death promise establish main role. p25/p27 say property-loan applicants despite Business Loan title. p57 terminal Malay formula/p58 visually blank; no completeness conclusion.</t>
  </si>
  <si>
    <t xml:space="preserve">https://www.sunlifemalaysia.com/getContentAsset/3163bef3-5c68-4a79-9ad6-f28095b1518c/826411a5-9a44-43a6-8410-a7ad95da6d70/8-Group-Mortgage-Reducing-Term-Assurance-Master-Policy-MRTA-2015-BL-_1225.pdf?language=en</t>
  </si>
  <si>
    <t xml:space="preserve">B16-MY-007:accepted-role-only:20261026</t>
  </si>
  <si>
    <t xml:space="preserve">B16-MY-008</t>
  </si>
  <si>
    <t xml:space="preserve">Mortgage Reducing Term Assurance Master Policy - for certificate issued after 5th Aug 2013</t>
  </si>
  <si>
    <t xml:space="preserve">historical_main_policy_with_endorsements</t>
  </si>
  <si>
    <t xml:space="preserve">1, 2, 3, 7, 8, 9, 10, 15, 32</t>
  </si>
  <si>
    <t xml:space="preserve">1, 3, 7, 9, 10, 15, 32</t>
  </si>
  <si>
    <t xml:space="preserve">regional-20261025-0c4a8cc94b3d7f74</t>
  </si>
  <si>
    <t xml:space="preserve">0c4a8cc94b3d7f74f861c884002c38959085fd2a6543dd43926874c7a509c640</t>
  </si>
  <si>
    <t xml:space="preserve">base_issuer_in_operative_body: CIMB Aviva Assurance Berhad
endorsement_issuer: Sun Life Malaysia Assurance Berhad
documentary_name_change_bridge: In-file p7 notice effective 19 August 2013; not externally registry-verified.
product_name: Group Mortgage Reducing Term Assurance
master_reference_code: MRTA0813 (endorsements)
observed_dated_endorsements: 1 July 2020; 1 January 2015
version_boundary_note: Code is observed reference; does not independently prove the frozen certificate-issued-after-5-August-2013 cutoff.</t>
  </si>
  <si>
    <t xml:space="preserve">Frozen certificate-issued-after-5-August-2013 applicability is a source label not independently established by sampled anchors.
Listed schedule printed p2 is absent from physical p9→p10 adjacency (printed p1→p3).
Historical base and later amendments are not reconciled or adopted as current.</t>
  </si>
  <si>
    <t xml:space="preserve">p1/p3 identify MRTA0813 amendments dated 2020/2015 from Sun Life. p7 in-file name-change notice is effective 19 August 2013; p10 explicitly defines CIMB Aviva Assurance as issuer and contains operative constitution, p15 death promise. p9 printed p1 leads to p10 printed p3; listed schedule p2 unestablished. p32 terminal historical-issuer Malay formula. Source certificate cutoff remains unverified; no registry/current-version inference.</t>
  </si>
  <si>
    <t xml:space="preserve">https://www.sunlifemalaysia.com/getContentAsset/59ad5224-2340-45da-849f-cc1ff15228aa/826411a5-9a44-43a6-8410-a7ad95da6d70/12.pdf</t>
  </si>
  <si>
    <t xml:space="preserve">B16-MY-008:accepted-role-only:20261026</t>
  </si>
  <si>
    <t xml:space="preserve">B16-MY-009</t>
  </si>
  <si>
    <t xml:space="preserve">Mortgage Reducing Term Assurance Master Policy - for certificate issued prior to 2013</t>
  </si>
  <si>
    <t xml:space="preserve">1, 2, 3, 4, 5, 6, 7, 8, 11, 21, 22</t>
  </si>
  <si>
    <t xml:space="preserve">1, 2, 4, 5, 6, 8, 11, 21, 22</t>
  </si>
  <si>
    <t xml:space="preserve">regional-20261025-68b4ba22a06ebd69</t>
  </si>
  <si>
    <t xml:space="preserve">68b4ba22a06ebd69a6624173131c5f1302b1f0caf0bf6850878fd9ba1708c511</t>
  </si>
  <si>
    <t xml:space="preserve">base_issuer_in_operative_body: CIMB Aviva Assurance Berhad
endorsement_issuer: Sun Life Malaysia Assurance Berhad
documentary_name_change_bridge: In-file p4 notice effective 19 August 2013; not externally registry-verified.
product_name: Mortgage Reducing Term Assurance (MRTA)
master_reference_code: GCL00001 (endorsement)
observed_dated_endorsements: 1 July 2020
version_boundary_note: Frozen prior-to-2013 certificate cutoff is not established by the sampled body; historical issuer retained.
cover_bank_label: CIMB Bank Berhad; capacity not expressly labelled on sampled cover</t>
  </si>
  <si>
    <t xml:space="preserve">Frozen prior-to-2013 certificate applicability remains unverified.
Base cover uses Master Contract while operative clauses and endorsement use policy; nomenclature preserved without ownership inference.
First Schedule not established by sampled cover→Second Schedule adjacency; full package remains pending.
Malay endorsement GTL002 versus English Second Schedule reference requires later reconciliation.
CIMB Bank appears on base cover; its master-holder capacity is not independently established from a schedule by this QA. Original executor cover attribution retained without silently promoting it.</t>
  </si>
  <si>
    <t xml:space="preserve">p1 identifies GCL00001/2020 endorsement using Second Schedule; p2 Malay counterpart uses GTL002, retained discrepancy. p4 name-change notice and p6 CIMB Aviva issuer definition provide documentary bridge; p8 policy constitution and p11 death/TPD promises establish historical main role. p5 cover says Master Contract and names CIMB Bank but does not expressly label its capacity. p21 Malay terminal formula/p22 visually blank; First Schedule not established and prior-2013 source cutoff remains unproved.</t>
  </si>
  <si>
    <t xml:space="preserve">https://www.sunlifemalaysia.com/getContentAsset/151d07b5-6ade-4464-951a-c9be59c94838/826411a5-9a44-43a6-8410-a7ad95da6d70/13.pdf</t>
  </si>
  <si>
    <t xml:space="preserve">B16-MY-009:accepted-role-only:20261026</t>
  </si>
  <si>
    <t xml:space="preserve">B16-MY-010</t>
  </si>
  <si>
    <t xml:space="preserve">Mortgage Reducing Term Assurance Master Policy (Business Loan)- for certificate issued prior to 2015</t>
  </si>
  <si>
    <t xml:space="preserve">1, 3, 8, 9, 10, 15, 32</t>
  </si>
  <si>
    <t xml:space="preserve">regional-20261025-88f32c7d739ec36f</t>
  </si>
  <si>
    <t xml:space="preserve">88f32c7d739ec36f58172a41d6781fd812df2a5ca9f35666395805ff2c07f82b</t>
  </si>
  <si>
    <t xml:space="preserve">base_issuer_in_operative_body: Sun Life Malaysia Assurance Berhad
product_name: Group Mortgage Reducing Term Assurance - Business Loan
master_reference_code: GBLI0714 (endorsements)
observed_dated_endorsements: 1 July 2020; 1 January 2015
version_boundary_note: GBLI0714 is an observed master reference; frozen prior-to-2015 certificate cutoff not independently established.</t>
  </si>
  <si>
    <t xml:space="preserve">Frozen certificate-issued-prior-to-2015 applicability is not independently established by sampled anchors.
Contents p1 immediately precedes general conditions p3; listed schedule p2 not present at that adjacency.
All uninspected endorsement relationships, language boundaries and substantive adoption remain pending.</t>
  </si>
  <si>
    <t xml:space="preserve">p1/p3 identify Business Loan/GBLI0714 and 2020/2015 amendments; p8 table printed p1 goes immediately to p9 printed p3, listed schedule p2 unestablished. p9 issuer and policy-composition clause, p10 explicit business-loan eligibility/operative cover, p15 death promise establish main role. p32 terminal Malay formula. Prior-2015 source cutoff remains unproved.</t>
  </si>
  <si>
    <t xml:space="preserve">https://www.sunlifemalaysia.com/getContentAsset/ab31d08a-f132-46c5-b2f4-8e8ebbb19810/826411a5-9a44-43a6-8410-a7ad95da6d70/14.pdf</t>
  </si>
  <si>
    <t xml:space="preserve">B16-MY-010:accepted-role-only:20261026</t>
  </si>
  <si>
    <t xml:space="preserve">B16-MY-011</t>
  </si>
  <si>
    <t xml:space="preserve">SmartLife (Group Term Life) Master Policy</t>
  </si>
  <si>
    <t xml:space="preserve">1, 2, 3, 25, 26, 27, 28, 29, 30, 31, 32, 33, 34, 35, 39, 89</t>
  </si>
  <si>
    <t xml:space="preserve">1, 3, 26, 30, 32, 33, 39</t>
  </si>
  <si>
    <t xml:space="preserve">regional-20261025-adb4d99226d29ac5</t>
  </si>
  <si>
    <t xml:space="preserve">adb4d99226d29ac54b45df1c6866fd6117388654147a376bb771f76ef1ac02ba</t>
  </si>
  <si>
    <t xml:space="preserve">base_issuer_in_operative_body: CIMB Aviva Assurance Berhad
product_name: SmartLife (Group Term Life)
master_reference_code: GTL0313
version_boundary_note: Codes/title years, endorsement dates and attached-notice dates are not inferred editions or current-adoption evidence.
later_issuer_in_attachment: Sun Life Malaysia Assurance Berhad
documentary_name_change_bridge: p30 name-change notice effective 19 August 2013; documentary bridge only.</t>
  </si>
  <si>
    <t xml:space="preserve">Named holder and schedule remain unestablished; physical p32/p33 jump printed p1 to p3 across scheduled p2.
Keep amended p26 and historical p33 policy constitution separate pending full reconciliation.
Named master holder and actual schedule were not established. TOC references schedule p2 but adjacent physical p33 begins printed p3; package completeness remains unresolved.</t>
  </si>
  <si>
    <t xml:space="preserve">Body-based operative main wording and issuer identity inspected; not filename-only.
Only named anchors were inspected; not every selected page or file fully read. No independent adoption of uninspected terminal/attachment details.
Main-containing role label is not an exhaustive attachment inventory or exact version/product/package adoption.</t>
  </si>
  <si>
    <t xml:space="preserve">https://www.sunlifemalaysia.com/getContentAsset/4c1b0051-340d-4ddb-a349-e778c18d5051/826411a5-9a44-43a6-8410-a7ad95da6d70/15.pdf</t>
  </si>
  <si>
    <t xml:space="preserve">B16-MY-011:accepted-role-only:20261026</t>
  </si>
  <si>
    <t xml:space="preserve">B16-MY-012</t>
  </si>
  <si>
    <t xml:space="preserve">Sun ProtectMax Master Policy</t>
  </si>
  <si>
    <t xml:space="preserve">1, 2, 3, 19, 20, 21, 22, 89, 90, 91, 92, 93, 94, 102, 158</t>
  </si>
  <si>
    <t xml:space="preserve">1, 3, 19, 89, 94, 102</t>
  </si>
  <si>
    <t xml:space="preserve">regional-20261025-245d20c5931ef4a3</t>
  </si>
  <si>
    <t xml:space="preserve">245d20c5931ef4a383f179dbf7e229d9210117697c17c6f4baa8233523a14f8a</t>
  </si>
  <si>
    <t xml:space="preserve">base_issuer_in_operative_body: Sun Life Malaysia Assurance Berhad
product_name: Sun ProtectMax
master_reference_code: SPM0918
master_holder: CIMB Bank Berhad
version_boundary_note: Codes/title years, endorsement dates and attached-notice dates are not inferred editions or current-adoption evidence.</t>
  </si>
  <si>
    <t xml:space="preserve">English endorsement and Malay base anchors only; English base boundaries, all amendments and language reconciliation pending.
Benefit-table campaign codes do not establish independent products.
Only selected English endorsement and Malay base anchors inspected; English base start and all attachment boundaries are not established. Campaign/table codes are not independent products.</t>
  </si>
  <si>
    <t xml:space="preserve">https://www.sunlifemalaysia.com/getContentAsset/e5f46b34-6f2e-4877-8a4b-eccfc8046979/826411a5-9a44-43a6-8410-a7ad95da6d70/11-Sun-ProtectMax_Master-Policy-Website-_0725.pdf?language=en</t>
  </si>
  <si>
    <t xml:space="preserve">B16-MY-012:accepted-role-only:20261026</t>
  </si>
  <si>
    <t xml:space="preserve">B16-MY-013</t>
  </si>
  <si>
    <t xml:space="preserve">Sun Guard Master Policy</t>
  </si>
  <si>
    <t xml:space="preserve">1, 2, 3, 7, 8, 9, 10, 12, 19, 82</t>
  </si>
  <si>
    <t xml:space="preserve">1, 3, 12, 19</t>
  </si>
  <si>
    <t xml:space="preserve">regional-20261025-d06bfb474ad633bf</t>
  </si>
  <si>
    <t xml:space="preserve">d06bfb474ad633bf270af828d2ef5783fad8262a5da54c4d12d70eacbcc3540d</t>
  </si>
  <si>
    <t xml:space="preserve">base_issuer_in_operative_body: Sun Life Malaysia Assurance Berhad
product_name: Sun Guard
master_reference_code: SDG1019
master_holder: U Mobile Sdn Bhd
version_boundary_note: Codes/title years, endorsement dates and attached-notice dates are not inferred editions or current-adoption evidence.</t>
  </si>
  <si>
    <t xml:space="preserve">Holder is a master holder, not insurer; distribution subtype, base edition, complete attachment inventory and current adoption unproved.
Holder U Mobile is established in operative definitions; this does not establish distribution subtype, current adoption or package completeness.</t>
  </si>
  <si>
    <t xml:space="preserve">https://www.sunlifemalaysia.com/getContentAsset/8f6b5644-133e-4865-a511-d1f3c751b65e/826411a5-9a44-43a6-8410-a7ad95da6d70/19.pdf</t>
  </si>
  <si>
    <t xml:space="preserve">B16-MY-013:accepted-role-only:20261026</t>
  </si>
  <si>
    <t xml:space="preserve">B16-MY-014</t>
  </si>
  <si>
    <t xml:space="preserve">Sun Flexi Master Policy</t>
  </si>
  <si>
    <t xml:space="preserve">1, 2, 3, 9, 10, 11, 12, 14, 15, 24, 67</t>
  </si>
  <si>
    <t xml:space="preserve">1, 3, 10, 11, 15, 24</t>
  </si>
  <si>
    <t xml:space="preserve">regional-20261025-e8b5883b02da0933</t>
  </si>
  <si>
    <t xml:space="preserve">e8b5883b02da093391920e0fccf3b39b414a919ad0a5a486e8530510eb511c93</t>
  </si>
  <si>
    <t xml:space="preserve">base_issuer_in_operative_body: Sun Life Malaysia Assurance Berhad
product_name: Sun Flexi
master_reference_code: SDG1018
master_holder: CIMB Bank Berhad
version_boundary_note: Codes/title years, endorsement dates and attached-notice dates are not inferred editions or current-adoption evidence.</t>
  </si>
  <si>
    <t xml:space="preserve">Pagination conflict p2 of48 followed by p4 of29 confirmed; missing extent and schedule completeness not inferred.
Executor-reported terminal Malay pagination retained as a pending observation, not independently revisited here.
Printed pagination is internally nonuniform: physical p10 says p2 of48, p11 says p4 of29, p12 says p5 of29, terminal p67 says Malay p32 of32. Do not infer missing-page extent or completeness from this checkpoint.</t>
  </si>
  <si>
    <t xml:space="preserve">https://www.sunlifemalaysia.com/getContentAsset/5dfb960d-fe6f-4d98-bc4c-84f16becd244/826411a5-9a44-43a6-8410-a7ad95da6d70/12-Sun-Flexi-Master-Policy-Website-_0725.pdf?language=en</t>
  </si>
  <si>
    <t xml:space="preserve">B16-MY-014:accepted-role-only:20261026</t>
  </si>
  <si>
    <t xml:space="preserve">B16-MY-015</t>
  </si>
  <si>
    <t xml:space="preserve">Mortgage Reducing Term Assurance with Funeral Benefit 2024 (MRTA)</t>
  </si>
  <si>
    <t xml:space="preserve">1, 2, 3, 4, 12, 18, 20</t>
  </si>
  <si>
    <t xml:space="preserve">1, 2, 3, 4, 12, 18</t>
  </si>
  <si>
    <t xml:space="preserve">regional-20261025-0b44500849ab0519</t>
  </si>
  <si>
    <t xml:space="preserve">0b44500849ab0519f6f4de2119ae14016be7a86dbf9561bcf4cbfc5cf12212ff</t>
  </si>
  <si>
    <t xml:space="preserve">base_issuer_in_operative_body: Sun Life Malaysia Assurance Berhad
product_name: Insurans Pengurangan Tempoh Gadai Janji dengan Manfaat Khairat Kematian 2024
master_reference_code: MRTAFB24
version_boundary_note: Codes/title years, endorsement dates and attached-notice dates are not inferred editions or current-adoption evidence.</t>
  </si>
  <si>
    <t xml:space="preserve">Inspected source wording is Malay; frozen en/ms language label does not prove bilingual content.
2024 is part of the observed title, not independently established edition/current status.
Named holder and schedule unestablished; adjacency skips printed p4.
Actual anchors are Malay. Frozen language label en/ms is not accepted as proof of bilingual content. Schedule/holder not established; physical p3 printed p3 is followed by physical p4 printed p5.</t>
  </si>
  <si>
    <t xml:space="preserve">https://www.sunlifemalaysia.com/getContentAsset/95bbeb9b-5a64-4b91-b3a9-a537a6d476ca/826411a5-9a44-43a6-8410-a7ad95da6d70/9-MRTA-LPPSA_Master-Policy-Website-_0725.pdf?language=en</t>
  </si>
  <si>
    <t xml:space="preserve">B16-MY-015:accepted-role-only:20261026</t>
  </si>
  <si>
    <t xml:space="preserve">B16-MY-016</t>
  </si>
  <si>
    <t xml:space="preserve">Credit Protector Plus-i Master Contract</t>
  </si>
  <si>
    <t xml:space="preserve">main_contract</t>
  </si>
  <si>
    <t xml:space="preserve">1, 2, 3, 4, 5, 14, 53</t>
  </si>
  <si>
    <t xml:space="preserve">1, 2, 3, 5, 14</t>
  </si>
  <si>
    <t xml:space="preserve">regional-20261025-d6a9cc0757273b57</t>
  </si>
  <si>
    <t xml:space="preserve">d6a9cc0757273b57079338e32012107b3767cb2239485145e81b10df9965e368</t>
  </si>
  <si>
    <t xml:space="preserve">base_issuer_in_operative_body: Sun Life Malaysia Takaful Berhad
product_name: Credit Protector Plus-i (CPP-i)
version_boundary_note: Codes/title years, endorsement dates and attached-notice dates are not inferred editions or current-adoption evidence.</t>
  </si>
  <si>
    <t xml:space="preserve">CPPI001/003/007 are observed annexure labels, not master reference or edition.
Named holder and schedule unestablished; printed p2 to p4 adjacency retained.
No named master holder or master reference established. Physical p2 printed p2 is followed by physical p3 printed p4; schedule completeness unresolved.</t>
  </si>
  <si>
    <t xml:space="preserve">https://www.sunlifemalaysia.com/getContentAsset/6e5d72e9-c864-4744-b649-8a153bac7fa7/826411a5-9a44-43a6-8410-a7ad95da6d70/Master-Contract_CPP-i_v1-0_15042026-Final-_Website.pdf</t>
  </si>
  <si>
    <t xml:space="preserve">B16-MY-016:accepted-role-only:20261026</t>
  </si>
  <si>
    <t xml:space="preserve">B16-MY-017</t>
  </si>
  <si>
    <t xml:space="preserve">Group Term Takaful (GTT SO) Master Contract - Surplus Initiative</t>
  </si>
  <si>
    <t xml:space="preserve">1, 2, 3, 4, 5, 6, 12, 13, 35</t>
  </si>
  <si>
    <t xml:space="preserve">1, 3, 4, 6, 13</t>
  </si>
  <si>
    <t xml:space="preserve">regional-20261025-1a4dbb241be13082</t>
  </si>
  <si>
    <t xml:space="preserve">1a4dbb241be13082f81502bd573b2a71cff81225ef4acf38a6baf766da299e3e</t>
  </si>
  <si>
    <t xml:space="preserve">base_issuer_in_operative_body: Sun Life Malaysia Takaful Berhad
product_name: Group Term Takaful (GTT SO)
version_boundary_note: Codes/title years, endorsement dates and attached-notice dates are not inferred editions or current-adoption evidence.</t>
  </si>
  <si>
    <t xml:space="preserve">Surplus Initiative remains a frozen/source label, not independently verified body title.
Surplus-linked table is observed, but named holder, base edition and precise product/current identity remain unestablished.
Frozen Surplus Initiative label is not an independently verified body title; p4 does establish eligible surplus payout as the basis for sum covered. No named master holder established.</t>
  </si>
  <si>
    <t xml:space="preserve">https://www.sunlifemalaysia.com/getContentAsset/44ef1395-0d27-4921-bdef-e533268555e3/826411a5-9a44-43a6-8410-a7ad95da6d70/GTT_SurplusInitiative_Master-Contract-Eng-BM-v1-0_Website.pdf</t>
  </si>
  <si>
    <t xml:space="preserve">B16-MY-017:accepted-role-only:20261026</t>
  </si>
  <si>
    <t xml:space="preserve">B16-MY-018</t>
  </si>
  <si>
    <t xml:space="preserve">Group Term Takaful (GTT BH) Master Contract - MySinarKasih Sun Life Campaign</t>
  </si>
  <si>
    <t xml:space="preserve">1, 2, 3, 4, 5, 12, 13, 26</t>
  </si>
  <si>
    <t xml:space="preserve">1, 2, 3, 4, 5, 12</t>
  </si>
  <si>
    <t xml:space="preserve">regional-20261025-e396fef9b9460328</t>
  </si>
  <si>
    <t xml:space="preserve">e396fef9b946032817402c7ecea0f7b5fb9f436b88a757096954ea037731299a</t>
  </si>
  <si>
    <t xml:space="preserve">base_issuer_in_operative_body: Sun Life Malaysia Takaful Berhad
product_name: Group Term Takaful (GTT BH)
version_boundary_note: Codes/title years, endorsement dates and attached-notice dates are not inferred editions or current-adoption evidence.</t>
  </si>
  <si>
    <t xml:space="preserve">MySinarKasih Sun Life Campaign remains a frozen/source label, not independently verified body title.
TOC death section p13 differs from actual opening printed p12; schedule p3 not established between physical p3/p4.
No named master holder, base edition, current adoption or independent product established.
Frozen MySinarKasih Sun Life Campaign label is not established as a body title in these anchors. TOC points death benefit to p13, while its opening is printed p12; retain pagination uncertainty. Named master holder/schedule not established.</t>
  </si>
  <si>
    <t xml:space="preserve">https://www.sunlifemalaysia.com/getContentAsset/ac4ff7eb-e456-4c69-988f-8f222f37b7cc/826411a5-9a44-43a6-8410-a7ad95da6d70/GTT-BH-Master-Contract_Final-Website.pdf</t>
  </si>
  <si>
    <t xml:space="preserve">B16-MY-018:accepted-role-only:20261026</t>
  </si>
  <si>
    <t xml:space="preserve">B16-MY-019</t>
  </si>
  <si>
    <t xml:space="preserve">Awam-i Protector Plus Contract</t>
  </si>
  <si>
    <t xml:space="preserve">1, 2, 3, 5, 6, 7, 8, 9, 10, 11, 34</t>
  </si>
  <si>
    <t xml:space="preserve">1, 5, 6, 7, 9, 10, 11</t>
  </si>
  <si>
    <t xml:space="preserve">regional-20261025-90af00c7a84a147c</t>
  </si>
  <si>
    <t xml:space="preserve">90af00c7a84a147c494861c91686a0d1386d5e65e2ad3a2a8420ad5060135fff</t>
  </si>
  <si>
    <t xml:space="preserve">base_issuer_in_operative_body: CIMB Aviva Takaful Berhad
product_name: Awam-i Protector Plus Plan
master_reference_code: GPF00004
version_boundary_note: Codes/title years, endorsement dates and attached-notice dates are not inferred editions or current-adoption evidence.
later_issuer_in_attachment: Sun Life Malaysia Takaful Berhad
documentary_name_change_bridge: p5 name-change notice effective 19 August 2013; p7 expressly says formerly CIMB Aviva Takaful. Documentary only.</t>
  </si>
  <si>
    <t xml:space="preserve">Generic surplus-management notice names other products; applicability to this base remains unreconciled.
Keep 2015 constitution amendment and historical operative constitution separate; not current-consolidated wording.
Named holder and base edition not established.
Generic surplus-management notice names other products; its applicability to this base wording is not substantively reconciled. Named master holder and base edition not established.</t>
  </si>
  <si>
    <t xml:space="preserve">https://www.sunlifemalaysia.com/getContentAsset/e51101a8-6b3e-4552-ba89-ec43809b7db5/826411a5-9a44-43a6-8410-a7ad95da6d70/1a.pdf</t>
  </si>
  <si>
    <t xml:space="preserve">B16-MY-019:accepted-role-only:20261026</t>
  </si>
  <si>
    <t xml:space="preserve">B16-MY-020</t>
  </si>
  <si>
    <t xml:space="preserve">Cash Plus-i Protector Plan Contract</t>
  </si>
  <si>
    <t xml:space="preserve">historical_main_contract_with_attached_notices</t>
  </si>
  <si>
    <t xml:space="preserve">1, 2, 3, 4, 5, 6, 7, 8, 32</t>
  </si>
  <si>
    <t xml:space="preserve">1, 2, 3, 5, 6, 7</t>
  </si>
  <si>
    <t xml:space="preserve">regional-20261025-2cefe456e8676d68</t>
  </si>
  <si>
    <t xml:space="preserve">2cefe456e8676d683ef3d6e53e00485bc85a563996113afc24a12f8fb1060c54</t>
  </si>
  <si>
    <t xml:space="preserve">base_issuer_in_operative_body: CIMB Aviva Takaful Berhad
product_name: Cash Plus-i Protector Plan
version_boundary_note: Codes/title years, endorsement dates and attached-notice dates are not inferred editions or current-adoption evidence.
later_issuer_in_attachment: Sun Life Malaysia Takaful Berhad
documentary_name_change_bridge: p1 name-change notice effective 19 August 2013; p3 expressly says formerly CIMB Aviva Takaful. Documentary only.</t>
  </si>
  <si>
    <t xml:space="preserve">Generic surplus-management notice applicability to Cash Plus-i remains unreconciled.
No master reference, named holder, base edition or current adoption established.
Master reference and named holder were not established. Generic surplus-management notice names other products; applicability not reconciled.</t>
  </si>
  <si>
    <t xml:space="preserve">https://www.sunlifemalaysia.com/getContentAsset/b03d622c-b898-4ba6-9b4d-c9a123a33a6d/826411a5-9a44-43a6-8410-a7ad95da6d70/3a.pdf</t>
  </si>
  <si>
    <t xml:space="preserve">B16-MY-020:accepted-role-only:20261026</t>
  </si>
  <si>
    <t xml:space="preserve">B16-MY-021</t>
  </si>
  <si>
    <t xml:space="preserve">CuepacsCare Contract</t>
  </si>
  <si>
    <t xml:space="preserve">main_contract_with_endorsements</t>
  </si>
  <si>
    <t xml:space="preserve">1, 2, 5, 6, 7, 8, 9, 15, 46</t>
  </si>
  <si>
    <t xml:space="preserve">1, 5, 7, 8, 9, 46</t>
  </si>
  <si>
    <t xml:space="preserve">regional-20261025-b4aac8e0c7e022d1</t>
  </si>
  <si>
    <t xml:space="preserve">b4aac8e0c7e022d1ecec67df7ee401b504ce8a8060cd2ca4d3992b82d4f8f423</t>
  </si>
  <si>
    <t xml:space="preserve">base_issuer_in_operative_body: Sun Life Malaysia Takaful Berhad
endorsement_issuer: Sun Life Malaysia Takaful Berhad
product_name: CuepacsCare
master_reference_codes_in_endorsements: CPC0814
observed_dated_endorsements: 1 January 2015
version_boundary_note: Attachment dates and reference-code digits are not a base-edition date, complete amendment inventory, or evidence of current use.</t>
  </si>
  <si>
    <t xml:space="preserve">Observed page numbering skips schedule printed p3 between physical p7 and p8; file ends at printed Malay 22 of 25. Schedule presence and completeness are not established; no missing-content reconstruction.
Base edition, complete intervening amendment/language boundaries and schedules remain unverified.</t>
  </si>
  <si>
    <t xml:space="preserve">https://www.sunlifemalaysia.com/getContentAsset/d0f707c9-eee8-4148-8684-654bb153556c/826411a5-9a44-43a6-8410-a7ad95da6d70/4a.pdf</t>
  </si>
  <si>
    <t xml:space="preserve">B16-MY-021:accepted-role-only:20261026</t>
  </si>
  <si>
    <t xml:space="preserve">B16-MY-022</t>
  </si>
  <si>
    <t xml:space="preserve">Decreasing Term Takaful (DTT) with Optional CI Waiver Benefit Master Contract</t>
  </si>
  <si>
    <t xml:space="preserve">historical_main_contract_with_endorsements_identity_unresolved</t>
  </si>
  <si>
    <t xml:space="preserve">1, 2, 40, 44, 45, 46, 47, 48, 49, 50, 55, 100</t>
  </si>
  <si>
    <t xml:space="preserve">1, 2, 45, 47, 48, 49, 50, 55</t>
  </si>
  <si>
    <t xml:space="preserve">regional-20261025-553d1edd0b57d5c8</t>
  </si>
  <si>
    <t xml:space="preserve">553d1edd0b57d5c86eacd45ff45f566d81fe7f89ca046cf3fb20d2e03f2b7620</t>
  </si>
  <si>
    <t xml:space="preserve">base_issuer_in_operative_body: CIMB Aviva Takaful Berhad
endorsement_issuer: Sun Life Malaysia Takaful Berhad
product_name: Decreasing Term Takaful (DTT) with Optional CI Waiver Benefit
master_reference_codes_in_endorsements: DTT00001; DTT00002
observed_dated_endorsements: 1 July 2025; 1 January 2015
version_boundary_note: Attachment dates and reference-code digits are not a base-edition date, complete amendment inventory, or evidence of current use.
documentary_name_change_bridge: In-file notice says name changed to Sun Life Malaysia Takaful Berhad effective 19 August 2013; historical and renamed issuer observations remain separate.</t>
  </si>
  <si>
    <t xml:space="preserve">English 2025 endorsement p1 is DTT00001 while Malay p2 is DTT00002; p45 earlier endorsement covers both. Multi-reference/language correspondence remains unresolved; do not force a single identity.
Historical issuer is supported by in-file name-change bridge only, not independent registry verification.
Base edition, complete intervening amendment/language boundaries and schedules remain unverified.
Adjacent physical p49/p50 jump from printed 2 to 4 of 27. The intervening schedule is not established; do not infer package completeness.</t>
  </si>
  <si>
    <t xml:space="preserve">https://www.sunlifemalaysia.com/getContentAsset/44122011-f383-4910-8b82-bb755b3ca4b2/826411a5-9a44-43a6-8410-a7ad95da6d70/3-Decreasing-Term-Takaful_Master-Contract-Website-_0725.pdf?language=en</t>
  </si>
  <si>
    <t xml:space="preserve">B16-MY-022:accepted-role-only:20261026</t>
  </si>
  <si>
    <t xml:space="preserve">B16-MY-023</t>
  </si>
  <si>
    <t xml:space="preserve">Group Term Financing Takaful Master Contract (GTFT 2015) - for certificate issued after 2015</t>
  </si>
  <si>
    <t xml:space="preserve">1, 2, 10, 11, 12, 13, 18, 19, 20, 21, 22, 25, 57</t>
  </si>
  <si>
    <t xml:space="preserve">1, 10, 13, 19, 20, 21, 22, 25</t>
  </si>
  <si>
    <t xml:space="preserve">regional-20261025-ca4facc39d0f8c18</t>
  </si>
  <si>
    <t xml:space="preserve">ca4facc39d0f8c1884e396fa01033ccc4af5c9cc3ee5748ca1f3fc1c185aad02</t>
  </si>
  <si>
    <t xml:space="preserve">base_issuer_in_operative_body: Sun Life Malaysia Takaful Berhad
endorsement_issuer: Sun Life Malaysia Takaful Berhad
product_name: Group Term Financing Takaful (GTFT 2015)
master_reference_codes_in_endorsements: GTFT0315
observed_dated_endorsements: 1 July 2025; 1 July 2020; 1 July 2019
version_boundary_note: Attachment dates and reference-code digits are not a base-edition date, complete amendment inventory, or evidence of current use.</t>
  </si>
  <si>
    <t xml:space="preserve">Source label for certificate issued after 2015 is not independently established by these anchors; GTFT2015 is an observed title, not a current-adoption statement.
Base edition, complete intervening amendment/language boundaries and schedules remain unverified.
Adjacent physical p20/p21 jump from printed 2 to 4 of 22. Schedule presence/completeness remains unproved.</t>
  </si>
  <si>
    <t xml:space="preserve">https://www.sunlifemalaysia.com/getContentAsset/2a56e4bb-5085-43d3-99c3-f12bf7d9b5f9/826411a5-9a44-43a6-8410-a7ad95da6d70/4-Master-Contract_GTFT-2015-From-website-_0725.pdf?language=en</t>
  </si>
  <si>
    <t xml:space="preserve">B16-MY-023:accepted-role-only:20261026</t>
  </si>
  <si>
    <t xml:space="preserve">B16-MY-024</t>
  </si>
  <si>
    <t xml:space="preserve">Group Mortgage Reducing Term Takaful Master Contract (MRTT 2015)</t>
  </si>
  <si>
    <t xml:space="preserve">1, 2, 6, 7, 8, 9, 25, 27, 28, 30, 69</t>
  </si>
  <si>
    <t xml:space="preserve">1, 2, 7, 25, 27, 28, 30</t>
  </si>
  <si>
    <t xml:space="preserve">regional-20261025-0de2a08b0aedd8a5</t>
  </si>
  <si>
    <t xml:space="preserve">0de2a08b0aedd8a57e4d5d582d0c977ba84957cbedaf9c6c72572e8ee954191c</t>
  </si>
  <si>
    <t xml:space="preserve">base_issuer_in_operative_body: Sun Life Malaysia Takaful Berhad
endorsement_issuer: Sun Life Malaysia Takaful Berhad
product_name: Group Mortgage Reducing Term Takaful (MRTT 2015)
master_reference_codes_in_endorsements: MTTC0615; MTTI0615; MTTV0615
observed_dated_endorsements: 6 December 2025; 1 June 2021
version_boundary_note: Attachment dates and reference-code digits are not a base-edition date, complete amendment inventory, or evidence of current use.</t>
  </si>
  <si>
    <t xml:space="preserve">English p1 points to MRTT003 general conditions, Malay p2 points to MRTT002 benefit provisions; reconcile amendment correspondence before substantive use.
p25 includes additional reference MTTV0615; no split into independently established products.
Base edition, complete intervening amendment/language boundaries and schedules remain unverified.</t>
  </si>
  <si>
    <t xml:space="preserve">https://www.sunlifemalaysia.com/getContentAsset/3d58d3d4-afe9-46a8-ae96-923de127a2ce/826411a5-9a44-43a6-8410-a7ad95da6d70/5-Group-Mortgage-Reducing-Term-Takaful-Master-Contract-MRTT-2015-_1225.pdf?language=en</t>
  </si>
  <si>
    <t xml:space="preserve">B16-MY-024:accepted-role-only:20261026</t>
  </si>
  <si>
    <t xml:space="preserve">B16-MY-025</t>
  </si>
  <si>
    <t xml:space="preserve">Group Mortgage Reducing Term Takaful Master Contract (MRTT 2015) - Business Financing</t>
  </si>
  <si>
    <t xml:space="preserve">1, 2, 4, 5, 6, 7, 25, 27, 28, 30, 67</t>
  </si>
  <si>
    <t xml:space="preserve">1, 2, 4, 5, 25, 27, 28, 30</t>
  </si>
  <si>
    <t xml:space="preserve">regional-20261025-704b1f110c6e6a8a</t>
  </si>
  <si>
    <t xml:space="preserve">704b1f110c6e6a8a3ceba387a92952c671746f922ad51697ea899ace9ace8197</t>
  </si>
  <si>
    <t xml:space="preserve">base_issuer_in_operative_body: Sun Life Malaysia Takaful Berhad
endorsement_issuer: Sun Life Malaysia Takaful Berhad
product_name: Group Mortgage Reducing Term Takaful (MRTT 2015) - Business Financing
master_reference_codes_in_endorsements: GBTC0615; GBTI0615
master_holder: CIMB Bank Berhad and CIMB Islamic Bank Berhad (p4 endorsement)
observed_dated_endorsements: 6 December 2025; 27 June 2022; 1 June 2021; 1 June 2018
version_boundary_note: Attachment dates and reference-code digits are not a base-edition date, complete amendment inventory, or evidence of current use.</t>
  </si>
  <si>
    <t xml:space="preserve">English p1 points to MRTT003 general conditions, Malay p2 points to MRTT002 benefit provisions; reconcile amendment correspondence before substantive use.
Master-holder pair is observed in p4 endorsement, not a complete individual schedule; no split into independent products.
Base edition, complete intervening amendment/language boundaries and schedules remain unverified.</t>
  </si>
  <si>
    <t xml:space="preserve">https://www.sunlifemalaysia.com/getContentAsset/d2f03a81-48f0-4601-973d-78a2c9cd5500/826411a5-9a44-43a6-8410-a7ad95da6d70/6-Group-Mortgage-Reducing-Term-Takaful-Master-Contract-MRTT-2015-BF-_1225.pdf?language=en</t>
  </si>
  <si>
    <t xml:space="preserve">B16-MY-025:accepted-role-only:20261026</t>
  </si>
  <si>
    <t xml:space="preserve">B16-MY-026</t>
  </si>
  <si>
    <t xml:space="preserve">Mortgage Reducing Term Takaful Master Contract - Bank Rakyat (Cert. after 2015)</t>
  </si>
  <si>
    <t xml:space="preserve">1, 2, 7, 8, 9, 10, 12, 14, 15, 20, 48</t>
  </si>
  <si>
    <t xml:space="preserve">1, 9, 12, 14, 15, 20</t>
  </si>
  <si>
    <t xml:space="preserve">regional-20261025-9e859a0e754b82f0</t>
  </si>
  <si>
    <t xml:space="preserve">9e859a0e754b82f00f4439f52fa27a905585fa3caf49229112f59fab3698f2cf</t>
  </si>
  <si>
    <t xml:space="preserve">base_issuer_in_operative_body: Sun Life Malaysia Takaful Berhad
endorsement_issuer: Sun Life Malaysia Takaful Berhad
product_name: Group Mortgage Reducing Term Takaful (MRTT)
master_reference_codes_in_endorsements: MTTR0315
observed_dated_endorsements: 1 July 2020; 1 July 2019
version_boundary_note: Attachment dates and reference-code digits are not a base-edition date, complete amendment inventory, or evidence of current use.</t>
  </si>
  <si>
    <t xml:space="preserve">Bank Rakyat and certificate-after-2015 are frozen/source labels; sampled base refers holder to an unverified schedule and does not independently establish that bank/date boundary.
Base edition, complete intervening amendment/language boundaries and schedules remain unverified.</t>
  </si>
  <si>
    <t xml:space="preserve">https://www.sunlifemalaysia.com/getContentAsset/1a01ca6b-7e09-4701-85bc-73feb4fbaf8e/826411a5-9a44-43a6-8410-a7ad95da6d70/10a.pdf</t>
  </si>
  <si>
    <t xml:space="preserve">B16-MY-026:accepted-role-only:20261026</t>
  </si>
  <si>
    <t xml:space="preserve">B16-MY-027</t>
  </si>
  <si>
    <t xml:space="preserve">Mortgage Reducing Term Takaful Master Contract - Bank Rakyat (Cert. before 2015)</t>
  </si>
  <si>
    <t xml:space="preserve">main_contract_with_endorsements_source_identity_mismatch</t>
  </si>
  <si>
    <t xml:space="preserve">1, 2, 7, 8, 9, 10, 11, 12, 13, 14, 20, 50</t>
  </si>
  <si>
    <t xml:space="preserve">1, 9, 10, 11, 13, 14, 20</t>
  </si>
  <si>
    <t xml:space="preserve">regional-20261025-d3fb44d1e309ce62</t>
  </si>
  <si>
    <t xml:space="preserve">d3fb44d1e309ce62ca9eba77bc760e13b47fb04e0c2f0569913e5453c5265ec2</t>
  </si>
  <si>
    <t xml:space="preserve">base_issuer_in_operative_body: Sun Life Malaysia Takaful Berhad
endorsement_issuer: Sun Life Malaysia Takaful Berhad
product_name: Group Mortgage Reducing Term Takaful (MRTT)
master_reference_codes_in_endorsements: AMRT0919
master_holder: Al Rajhi Banking &amp; Investment Corporation (Malaysia) Berhad
observed_dated_endorsements: 1 July 2025
version_boundary_note: Attachment dates and reference-code digits are not a base-edition date, complete amendment inventory, or evidence of current use.</t>
  </si>
  <si>
    <t xml:space="preserve">Frozen/source target says Bank Rakyat and certificate before 2015, but actual base p13 explicitly names Al Rajhi Banking &amp; Investment Corporation (Malaysia) Berhad. Preserve source label and observed holder separately; primary proposal withheld pending identity resolution.
AMRT0919 is an observed reference, not a derived date; file is not merged with 028 despite matching sampled body anchors.
Printed page-count denominators differ (p10: 1/29; p11: 2/19); exact section continuity is unverified.
Base edition, complete intervening amendment/language boundaries and schedules remain unverified.</t>
  </si>
  <si>
    <t xml:space="preserve">https://www.sunlifemalaysia.com/getContentAsset/81bf19d1-dd71-435b-8830-76e5e12745d2/826411a5-9a44-43a6-8410-a7ad95da6d70/8-10a.pdf?language=en</t>
  </si>
  <si>
    <t xml:space="preserve">B16-MY-027:accepted-role-only:20261026</t>
  </si>
  <si>
    <t xml:space="preserve">B16-MY-028</t>
  </si>
  <si>
    <t xml:space="preserve">Group Mortgage Reducing Term Takaful Master Contract (MRTT) - Al Rajhi Bank</t>
  </si>
  <si>
    <t xml:space="preserve">1, 2, 5, 6, 7, 8, 9, 10, 11, 12, 18, 48</t>
  </si>
  <si>
    <t xml:space="preserve">1, 7, 8, 9, 11, 12, 18</t>
  </si>
  <si>
    <t xml:space="preserve">regional-20261025-ca44720b0c5ac02a</t>
  </si>
  <si>
    <t xml:space="preserve">ca44720b0c5ac02a553407aca8396a7438556554044da6af061c8b2df6c5f5ef</t>
  </si>
  <si>
    <t xml:space="preserve">base_issuer_in_operative_body: Sun Life Malaysia Takaful Berhad
endorsement_issuer: Sun Life Malaysia Takaful Berhad
product_name: Group Mortgage Reducing Term Takaful (MRTT)
master_reference_codes_in_endorsements: AMRT0919
master_holder: Al Rajhi Banking &amp; Investment Corporation (Malaysia) Berhad
observed_dated_endorsements: 1 July 2020
version_boundary_note: Attachment dates and reference-code digits are not a base-edition date, complete amendment inventory, or evidence of current use.</t>
  </si>
  <si>
    <t xml:space="preserve">Printed page-count denominators differ (p8: 1/29; p9: 2/19); exact section continuity is unverified.
Do not merge with 027 or infer current edition from AMRT0919.
Base edition, complete intervening amendment/language boundaries and schedules remain unverified.</t>
  </si>
  <si>
    <t xml:space="preserve">https://www.sunlifemalaysia.com/getContentAsset/95b0e783-1cd0-48ec-8553-bbab3dbc3a71/826411a5-9a44-43a6-8410-a7ad95da6d70/12a.pdf</t>
  </si>
  <si>
    <t xml:space="preserve">B16-MY-028:accepted-role-only:20261026</t>
  </si>
  <si>
    <t xml:space="preserve">B16-MY-029</t>
  </si>
  <si>
    <t xml:space="preserve">Group Mortgage Reducing Term Takaful Master Contract - for certificate issued after 5th August 2013</t>
  </si>
  <si>
    <t xml:space="preserve">1, 2, 17, 18, 19, 20, 22, 23, 24, 25, 30, 58</t>
  </si>
  <si>
    <t xml:space="preserve">1, 17, 18, 22, 23, 24, 25, 30</t>
  </si>
  <si>
    <t xml:space="preserve">regional-20261025-cbe46498c8654b3e</t>
  </si>
  <si>
    <t xml:space="preserve">cbe46498c8654b3e0adf7954169e80ecdba478afb871db51e453553241ad1dde</t>
  </si>
  <si>
    <t xml:space="preserve">base_issuer_in_operative_body: CIMB Aviva Takaful Berhad
endorsement_issuer: Sun Life Malaysia Takaful Berhad
product_name: Group Mortgage Reducing Term Takaful (MRTT)
master_reference_codes_in_endorsements: MTTC0813; MTTI0813; MTTV0813
observed_dated_endorsements: 1 July 2020; 1 April 2015; 1 January 2015
version_boundary_note: Attachment dates and reference-code digits are not a base-edition date, complete amendment inventory, or evidence of current use.
documentary_name_change_bridge: In-file notice says name changed to Sun Life Malaysia Takaful Berhad effective 19 August 2013; historical and renamed issuer observations remain separate.</t>
  </si>
  <si>
    <t xml:space="preserve">Source certificate-after-5-August-2013 boundary is not established by these anchors; the name-change notice instead gives 19 August 2013 and is a separate fact.
Historical issuer bridge is documentary/in-file only; all three references remain separate observations, not independent products.
Base edition, complete intervening amendment/language boundaries and schedules remain unverified.
Adjacent physical p24/p25 jump from printed 2 to 4 of 18. Schedule presence/completeness remains unproved.</t>
  </si>
  <si>
    <t xml:space="preserve">https://www.sunlifemalaysia.com/getContentAsset/8c385066-d130-4c81-9fb0-8207b961a44f/826411a5-9a44-43a6-8410-a7ad95da6d70/13a.pdf</t>
  </si>
  <si>
    <t xml:space="preserve">B16-MY-029:accepted-role-only:20261026</t>
  </si>
  <si>
    <t xml:space="preserve">B16-MY-030</t>
  </si>
  <si>
    <t xml:space="preserve">Group Mortgage Reducing Term Takaful Master Contract - Business Financing - CIMB Bank Berhad</t>
  </si>
  <si>
    <t xml:space="preserve">1, 2, 19, 20, 21, 22, 23, 24, 25, 30, 34, 60</t>
  </si>
  <si>
    <t xml:space="preserve">1, 20, 22, 23, 24, 25, 30, 34</t>
  </si>
  <si>
    <t xml:space="preserve">regional-20261025-826ef1b84b9b4e44</t>
  </si>
  <si>
    <t xml:space="preserve">826ef1b84b9b4e44fd21615a0d9cb00c3507565d21181eb2265a7b2674463391</t>
  </si>
  <si>
    <t xml:space="preserve">base_issuer_in_operative_body: Sun Life Malaysia Takaful Berhad
endorsement_issuer: Sun Life Malaysia Takaful Berhad
product_name: Group Mortgage Reducing Term Takaful - Business Financing
master_reference_codes_in_endorsements: GBTC0714
observed_dated_endorsements: 1 July 2020; 1 January 2015
version_boundary_note: Attachment dates and reference-code digits are not a base-edition date, complete amendment inventory, or evidence of current use.</t>
  </si>
  <si>
    <t xml:space="preserve">CIMB Bank Berhad is a frozen/source holder label not independently confirmed in these anchors; base defers holder identity to a schedule.
Base edition, complete intervening amendment/language boundaries and schedules remain unverified.
Contents p23 lists master schedule at printed p3, but adjacent physical p24/p25 jump from printed 2 to 4 of 19. Schedule presence/completeness remains unproved.</t>
  </si>
  <si>
    <t xml:space="preserve">https://www.sunlifemalaysia.com/getContentAsset/7c60c1bc-f7ef-4500-b8b7-4b3c0ac99ce3/826411a5-9a44-43a6-8410-a7ad95da6d70/14a.pdf</t>
  </si>
  <si>
    <t xml:space="preserve">B16-MY-030:accepted-role-only:20261026</t>
  </si>
  <si>
    <t xml:space="preserve">B17-MY-001</t>
  </si>
  <si>
    <t xml:space="preserve">Group Mortgage Reducing Term Takaful Master Contract - Business Financing - CIMB Islamic Bank Berhad</t>
  </si>
  <si>
    <t xml:space="preserve">1, 2, 21, 22, 23, 24, 25, 26, 28, 32, 34, 60</t>
  </si>
  <si>
    <t xml:space="preserve">1, 22, 23, 24, 25, 26, 34, 60</t>
  </si>
  <si>
    <t xml:space="preserve">regional-20261025-bcdcd4331c55b8eb</t>
  </si>
  <si>
    <t xml:space="preserve">bcdcd4331c55b8ebf15dd493b0818c35d208a0a853c11f472ec3a20da4f502fa</t>
  </si>
  <si>
    <t xml:space="preserve">base_issuer_in_operative_body: Sun Life Malaysia Takaful Berhad
endorsement_issuer: Sun Life Malaysia Takaful Berhad
product_name: Group Mortgage Reducing Term Takaful - Business Financing
observed_dated_endorsements: 1 July 2020
version_boundary_note: Observed dates belong to endorsements/name-change notice, not proof of base edition or current adoption.</t>
  </si>
  <si>
    <t xml:space="preserve">Source target adds CIMB Islamic Bank Berhad; inspected base holder definition only refers to schedule.
Base edition/current applicability and full amendment reconciliation remain unverified.
Only listed anchors were inspected, not all text on selected pages or the complete file.
No certificate-specific schedule applicability, package completeness, independent-product or product-gap conclusion.
CIMB Islamic Bank Berhad source-label association is not confirmed from a named holder schedule in inspected anchors.
Adjacent physical pages 24/25 show printed 2/19 then 4/19; printed schedule page 3 was not present at that transition. No reconstruction or completeness conclusion.
Endorsement master-reference spacing was not reliably transcribed; retain source and body identity separately.
All accepted observations are limited to role/identity anchors; uninspected clauses, exact holder/channel selection, base edition, amendments and language completeness remain pending.</t>
  </si>
  <si>
    <t xml:space="preserve">p1 endorsement and p22 cover identify Group Mortgage Reducing Term Takaful - Business Financing; p25 names Sun Life Malaysia Takaful Berhad; p26 constitutes the contract and p34 is operative death-benefit wording.
p23 contents locates the master schedule at printed 3; adjacent physical p24/p25 show printed 2/19 then 4/19. Named CIMB Islamic Bank holder not established; do not infer its identity from target or reference code.</t>
  </si>
  <si>
    <t xml:space="preserve">https://www.sunlifemalaysia.com/getContentAsset/16763a2c-d534-49b4-98ed-f0088615dc8a/826411a5-9a44-43a6-8410-a7ad95da6d70/15a.pdf</t>
  </si>
  <si>
    <t xml:space="preserve">B17-MY-001:accepted-role-only:20261026</t>
  </si>
  <si>
    <t xml:space="preserve">B17-MY-002</t>
  </si>
  <si>
    <t xml:space="preserve">Group Term Financing Takaful Master Contract (GTFT) - for certificate issued prior to 2015</t>
  </si>
  <si>
    <t xml:space="preserve">1, 2, 12, 13, 14, 15, 16, 17, 18, 19, 20, 22, 28, 51</t>
  </si>
  <si>
    <t xml:space="preserve">1, 13, 17, 18, 19, 20, 28, 51</t>
  </si>
  <si>
    <t xml:space="preserve">regional-20261025-af52d5c2ed62fa1d</t>
  </si>
  <si>
    <t xml:space="preserve">af52d5c2ed62fa1dbbb01e8058055a78d5d35d12850f961025e0aa29e112c7f7</t>
  </si>
  <si>
    <t xml:space="preserve">base_issuer_in_operative_body: Sun Life Malaysia Takaful Berhad
endorsement_issuer: Sun Life Malaysia Takaful Berhad
product_name: Group Term Financing Takaful (GTFT)
master_reference_code: GTFT0514
observed_dated_endorsements: 1 July 2020; 1 January 2015
version_boundary_note: Observed dates belong to endorsements/name-change notice, not proof of base edition or current adoption.</t>
  </si>
  <si>
    <t xml:space="preserve">Base edition/current applicability and full amendment reconciliation remain unverified.
Only listed anchors were inspected, not all text on selected pages or the complete file.
No certificate-specific schedule applicability, package completeness, independent-product or product-gap conclusion.
Source cutoff prior to 2015 is not independently established by inspected body anchors; later 2015/2020 endorsements do not verify that cutoff.
Cover at physical 17 is followed by printed 2/19 at physical 18 then 4/19 at physical 19; printed contents page 1 and schedule page 3 are not present at those transitions.
All accepted observations are limited to role/identity anchors; uninspected clauses, exact holder/channel selection, base edition, amendments and language completeness remain pending.</t>
  </si>
  <si>
    <t xml:space="preserve">printed page 13 of 19
p1/p13 identify GTFT0514 and endorsements effective 1 July 2020 and 1 January 2015; p17 cover, p19 issuer definition, p20 contract constitution and p28 operative TPD wording establish the main-containing role.
p17 cover is followed by p18 printed 2/19 and p19 printed 4/19. Source cutoff prior to 2015 remains unproved; neither endorsement date proves applicability cutoff.</t>
  </si>
  <si>
    <t xml:space="preserve">https://www.sunlifemalaysia.com/getContentAsset/4ed0151c-a9f0-44ef-b2c8-6e03672c9985/826411a5-9a44-43a6-8410-a7ad95da6d70/d9a3d29f-c850-4de9-909e-7493ebe8b16e.pdf</t>
  </si>
  <si>
    <t xml:space="preserve">B17-MY-002:accepted-role-only:20261026</t>
  </si>
  <si>
    <t xml:space="preserve">B17-MY-003</t>
  </si>
  <si>
    <t xml:space="preserve">LiveActive Master Contract</t>
  </si>
  <si>
    <t xml:space="preserve">historical_main_contract_with_endorsements_and_rider_combos</t>
  </si>
  <si>
    <t xml:space="preserve">1, 2, 19, 20, 21, 22, 24, 25, 26, 28, 29, 33, 38, 74</t>
  </si>
  <si>
    <t xml:space="preserve">1, 19, 20, 24, 26, 29, 38, 74</t>
  </si>
  <si>
    <t xml:space="preserve">regional-20261025-a8ea43c046a4c714</t>
  </si>
  <si>
    <t xml:space="preserve">a8ea43c046a4c7147b611d9c16ed594b4208704db91842f0658a40641a714ec3</t>
  </si>
  <si>
    <t xml:space="preserve">base_issuer_in_operative_body: CIMB Aviva Takaful Berhad
endorsement_issuer: Sun Life Malaysia Takaful Berhad
product_name: LiveActive
master_reference_code: BSN-LA001-02052013
observed_dated_endorsements: 1 July 2019
name_change_notice_effective_date: 19 August 2013
version_boundary_note: Observed dates belong to endorsements/name-change notice, not proof of base edition or current adoption.</t>
  </si>
  <si>
    <t xml:space="preserve">Frozen source owner is Sun Life Malaysia Takaful Berhad; operative historical base names CIMB Aviva Takaful Berhad. Name-change notice and Sun Life endorsements are separately observed, with no source reassignment.
Base edition/current applicability and full amendment reconciliation remain unverified.
Only listed anchors were inspected, not all text on selected pages or the complete file.
No certificate-specific schedule applicability, package completeness, independent-product or product-gap conclusion.
Rider-combo labels are embedded in a main-contract schedule; their presence does not establish application to any individual certificate or separate products.
All accepted observations are limited to role/identity anchors; uninspected clauses, exact holder/channel selection, base edition, amendments and language completeness remain pending.</t>
  </si>
  <si>
    <t xml:space="preserve">p1 identifies LiveActive / BSN-LA001-02052013; p19 name-change notice states 19 August 2013. Historical cover p20 and issuer definition/contract constitution p29 name CIMB Aviva Takaful Berhad.
p24 has embedded rider combos A/B; p38 supplies operative accidental-death wording. No holder/channel adoption is inferred from the BSN prefix or generic schedule definition.</t>
  </si>
  <si>
    <t xml:space="preserve">https://www.sunlifemalaysia.com/getContentAsset/e91cd58b-d761-4222-98ed-0aab9ce986c3/826411a5-9a44-43a6-8410-a7ad95da6d70/LiveActive-Master-Contract.pdf</t>
  </si>
  <si>
    <t xml:space="preserve">B17-MY-003:accepted-role-only:20261026</t>
  </si>
  <si>
    <t xml:space="preserve">B17-MY-004</t>
  </si>
  <si>
    <t xml:space="preserve">LiveFree Master Contract</t>
  </si>
  <si>
    <t xml:space="preserve">1, 2, 19, 20, 21, 22, 24, 25, 26, 27, 28, 33, 37, 70</t>
  </si>
  <si>
    <t xml:space="preserve">1, 19, 20, 25, 28, 33, 37, 70</t>
  </si>
  <si>
    <t xml:space="preserve">regional-20261025-d12a7db5840a6d93</t>
  </si>
  <si>
    <t xml:space="preserve">d12a7db5840a6d93ccf6783b0cbf514e6f78c24d5c49cd1a30de37fa04dcb9a9</t>
  </si>
  <si>
    <t xml:space="preserve">base_issuer_in_operative_body: CIMB Aviva Takaful Berhad
endorsement_issuer: Sun Life Malaysia Takaful Berhad
product_name: LiveFree
master_reference_code: MAXIS-LF001-01062012
observed_dated_endorsements: 1 July 2019
name_change_notice_effective_date: 19 August 2013
version_boundary_note: Observed dates belong to endorsements/name-change notice, not proof of base edition or current adoption.</t>
  </si>
  <si>
    <t xml:space="preserve">Frozen source owner is Sun Life Malaysia Takaful Berhad; operative historical base names CIMB Aviva Takaful Berhad. Name-change notice and Sun Life endorsements are separately observed, with no source reassignment.
Base edition/current applicability and full amendment reconciliation remain unverified.
Only listed anchors were inspected, not all text on selected pages or the complete file.
No certificate-specific schedule applicability, package completeness, independent-product or product-gap conclusion.
All accepted observations are limited to role/identity anchors; uninspected clauses, exact holder/channel selection, base edition, amendments and language completeness remain pending.</t>
  </si>
  <si>
    <t xml:space="preserve">p1 identifies LiveFree / MAXIS-LF001-01062012. p19 name-change notice, p20 historical cover and p28 historical issuer/contract clauses establish documentary time-scoped identity.
p25 definitions, p33 general conditions and p37 death-benefit wording establish a main-containing file. MAXIS prefix is a reference string, not a verified named holder.</t>
  </si>
  <si>
    <t xml:space="preserve">https://www.sunlifemalaysia.com/getContentAsset/5018cc56-2849-4d62-82d4-496caab2ded0/826411a5-9a44-43a6-8410-a7ad95da6d70/LiveFree-Master-Contract_1.pdf</t>
  </si>
  <si>
    <t xml:space="preserve">B17-MY-004:accepted-role-only:20261026</t>
  </si>
  <si>
    <t xml:space="preserve">B17-MY-005</t>
  </si>
  <si>
    <t xml:space="preserve">LiveFree+ Master Contract</t>
  </si>
  <si>
    <t xml:space="preserve">1, 2, 23, 24, 27, 28, 29, 30, 31, 37, 40, 73</t>
  </si>
  <si>
    <t xml:space="preserve">1, 23, 24, 28, 31, 37, 40, 73</t>
  </si>
  <si>
    <t xml:space="preserve">regional-20261025-61659b21966a14e0</t>
  </si>
  <si>
    <t xml:space="preserve">61659b21966a14e07bab6a2493b33ed33bfabf812ec0bbfc23346f7d43e83dd0</t>
  </si>
  <si>
    <t xml:space="preserve">base_issuer_in_operative_body: Sun Life Malaysia Takaful Berhad
endorsement_issuer: Sun Life Malaysia Takaful Berhad
product_name: LiveFree+
master_reference_code: MAXIS-LF002-06012014
observed_dated_endorsements: 1 July 2019
version_boundary_note: Observed dates belong to endorsements/name-change notice, not proof of base edition or current adoption.</t>
  </si>
  <si>
    <t xml:space="preserve">Source archive filename omits the plus sign while body cover/endorsement identify LiveFree+; frozen target already retains plus.
English contents lists TPD at printed page 29 despite English contents footer indicating a 24-page set; cross-reference not resolved.
Base edition/current applicability and full amendment reconciliation remain unverified.
Only listed anchors were inspected, not all text on selected pages or the complete file.
No certificate-specific schedule applicability, package completeness, independent-product or product-gap conclusion.
All accepted observations are limited to role/identity anchors; uninspected clauses, exact holder/channel selection, base edition, amendments and language completeness remain pending.</t>
  </si>
  <si>
    <t xml:space="preserve">p1 and p23 identify LiveFree+ and Sun Life; p31 defines the issuer and contract; p40 supplies accidental-death wording. Plus sign preserved despite sanitized source member.
Contents p24 lists TPD at printed 29 while that English page footer says 1 of24. Preserve this internal cross-reference discrepancy; p73 Malay terminal footer says 25/25, not proof of package completeness.</t>
  </si>
  <si>
    <t xml:space="preserve">https://www.sunlifemalaysia.com/getContentAsset/577b0930-7197-4dd5-974c-4639981360b7/826411a5-9a44-43a6-8410-a7ad95da6d70/LiveFreePlus-Master-Contract.pdf</t>
  </si>
  <si>
    <t xml:space="preserve">B17-MY-005:accepted-role-only:20261026</t>
  </si>
  <si>
    <t xml:space="preserve">B17-MY-006</t>
  </si>
  <si>
    <t xml:space="preserve">LiveLife Ladies Master Contract</t>
  </si>
  <si>
    <t xml:space="preserve">1, 2, 19, 20, 23, 24, 25, 27, 28, 37, 73</t>
  </si>
  <si>
    <t xml:space="preserve">1, 19, 20, 23, 24, 28, 37, 73</t>
  </si>
  <si>
    <t xml:space="preserve">regional-20261025-d5cf0ab7f9b7a253</t>
  </si>
  <si>
    <t xml:space="preserve">d5cf0ab7f9b7a2537521649a495256d17e6ba8c24d07757a911f78edbf8df76c</t>
  </si>
  <si>
    <t xml:space="preserve">base_issuer_in_operative_body: CIMB Aviva Takaful Berhad
endorsement_issuer: Sun Life Malaysia Takaful Berhad
product_name: LiveLife Ladies
observed_dated_endorsements: 1 July 2019
name_change_notice_effective_date: 19 August 2013
version_boundary_note: Observed dates belong to endorsements/name-change notice, not proof of base edition or current adoption.</t>
  </si>
  <si>
    <t xml:space="preserve">Frozen source owner is Sun Life Malaysia Takaful Berhad; operative historical base names CIMB Aviva Takaful Berhad. Name-change notice and Sun Life endorsements are separately observed, with no source reassignment.
Base edition/current applicability and full amendment reconciliation remain unverified.
Only listed anchors were inspected, not all text on selected pages or the complete file.
No certificate-specific schedule applicability, package completeness, independent-product or product-gap conclusion.
Rider-combo labels are embedded in a main-contract schedule; their presence does not establish application to any individual certificate or separate products.
Two endorsement master references observed; their schedule/channel applicability was not reconciled.
All accepted observations are limited to role/identity anchors; uninspected clauses, exact holder/channel selection, base edition, amendments and language completeness remain pending.</t>
  </si>
  <si>
    <t xml:space="preserve">p1 identifies LiveLife Ladies with two master references; p19 name-change notice, p20 historical cover and p28 issuer/contract definition support historical CIMB Aviva base plus Sun Life amendment.
p23/p24 show basic benefits and rider combos A/B, p37 public-conveyance accidental-death wording, p73 terminal historical notice. Dual-reference applicability and unnamed holder remain unresolved.</t>
  </si>
  <si>
    <t xml:space="preserve">https://www.sunlifemalaysia.com/getContentAsset/8fe74c6c-6803-49d1-ae1c-8e07fd0fbfd8/826411a5-9a44-43a6-8410-a7ad95da6d70/LiveLife-Ladies-Master-Contract.pdf</t>
  </si>
  <si>
    <t xml:space="preserve">B17-MY-006:accepted-role-only:20261026</t>
  </si>
  <si>
    <t xml:space="preserve">B17-MY-007</t>
  </si>
  <si>
    <t xml:space="preserve">LiveLife Ladies+ Master Contract</t>
  </si>
  <si>
    <t xml:space="preserve">main_contract_with_endorsements_and_rider_combos</t>
  </si>
  <si>
    <t xml:space="preserve">1, 2, 22, 23, 26, 27, 28, 30, 31, 40, 76</t>
  </si>
  <si>
    <t xml:space="preserve">1, 23, 26, 27, 28, 31, 40, 76</t>
  </si>
  <si>
    <t xml:space="preserve">regional-20261025-c047b2b144c32508</t>
  </si>
  <si>
    <t xml:space="preserve">c047b2b144c32508496226dd75fabf78496d7e0615f7ae25c11c668ba7e3da8d</t>
  </si>
  <si>
    <t xml:space="preserve">base_issuer_in_operative_body: Sun Life Malaysia Takaful Berhad
endorsement_issuer: Sun Life Malaysia Takaful Berhad
product_name: LiveLife Ladies+
observed_dated_endorsements: 1 July 2019
version_boundary_note: Observed dates belong to endorsements/name-change notice, not proof of base edition or current adoption.</t>
  </si>
  <si>
    <t xml:space="preserve">Archive filename omits the plus sign while actual cover/endorsement retain it; frozen target already retains plus.
Base edition/current applicability and full amendment reconciliation remain unverified.
Only listed anchors were inspected, not all text on selected pages or the complete file.
No certificate-specific schedule applicability, package completeness, independent-product or product-gap conclusion.
Rider-combo labels are embedded in a main-contract schedule; their presence does not establish application to any individual certificate or separate products.
Two endorsement master references observed; their schedule/channel applicability was not reconciled.
All accepted observations are limited to role/identity anchors; uninspected clauses, exact holder/channel selection, base edition, amendments and language completeness remain pending.</t>
  </si>
  <si>
    <t xml:space="preserve">p1/p23 identify LiveLife Ladies+ / Sun Life; p31 issuer and contract clauses and p40 operative public-conveyance death benefit support main-containing role.
p26/p27 schedule tables include rider combos A/B. Two endorsement references are not collapsed into a single executed contract or named bank association.</t>
  </si>
  <si>
    <t xml:space="preserve">https://www.sunlifemalaysia.com/getContentAsset/36b9bd70-0c58-43b7-ad37-69582ba9f0a6/826411a5-9a44-43a6-8410-a7ad95da6d70/LiveLifePlus-Ladies-Master-Contract_1.pdf</t>
  </si>
  <si>
    <t xml:space="preserve">B17-MY-007:accepted-role-only:20261026</t>
  </si>
  <si>
    <t xml:space="preserve">B17-MY-008</t>
  </si>
  <si>
    <t xml:space="preserve">LiveLife Master Contract</t>
  </si>
  <si>
    <t xml:space="preserve">1, 2, 19, 20, 21, 24, 25, 26, 28, 29, 37, 38, 74</t>
  </si>
  <si>
    <t xml:space="preserve">regional-20261025-c74dcce7a9bf4d28</t>
  </si>
  <si>
    <t xml:space="preserve">c74dcce7a9bf4d28a7f0e0b26a235ea341b0804706e9d773eafb6b34873df55b</t>
  </si>
  <si>
    <t xml:space="preserve">base_issuer_in_operative_body: CIMB Aviva Takaful Berhad
endorsement_issuer: Sun Life Malaysia Takaful Berhad
product_name: LiveLife
observed_dated_endorsements: 1 July 2019
name_change_notice_effective_date: 19 August 2013
version_boundary_note: Observed dates belong to endorsements/name-change notice, not proof of base edition or current adoption.</t>
  </si>
  <si>
    <t xml:space="preserve">p1 identifies LiveLife and two master references. p19 notice, p20 historical cover and p29 issuer/contract definition preserve historical CIMB Aviva identity separately from Sun Life amendments.
p24 rider combos A/B and p38 accidental-death clause belong to the master wording; no independent rider products or certificate selections are inferred.</t>
  </si>
  <si>
    <t xml:space="preserve">https://www.sunlifemalaysia.com/getContentAsset/0d5c611c-86f2-436b-9d78-e97907914422/826411a5-9a44-43a6-8410-a7ad95da6d70/LiveLife-Master-Contract.pdf</t>
  </si>
  <si>
    <t xml:space="preserve">B17-MY-008:accepted-role-only:20261026</t>
  </si>
  <si>
    <t xml:space="preserve">B17-MY-009</t>
  </si>
  <si>
    <t xml:space="preserve">LiveLife+ Master Contract</t>
  </si>
  <si>
    <t xml:space="preserve">1, 2, 23, 24, 25, 28, 29, 30, 31, 32, 41, 42, 78</t>
  </si>
  <si>
    <t xml:space="preserve">1, 23, 24, 29, 32, 41, 42, 78</t>
  </si>
  <si>
    <t xml:space="preserve">regional-20261025-935f206f888e1458</t>
  </si>
  <si>
    <t xml:space="preserve">935f206f888e1458f4628c8ae5f1950a781b9b07c572fb3eeea71cfba1c907b3</t>
  </si>
  <si>
    <t xml:space="preserve">base_issuer_in_operative_body: Sun Life Malaysia Takaful Berhad
endorsement_issuer: Sun Life Malaysia Takaful Berhad
product_name: LiveLife+
observed_dated_endorsements: 1 July 2019
version_boundary_note: Observed dates belong to endorsements/name-change notice, not proof of base edition or current adoption.</t>
  </si>
  <si>
    <t xml:space="preserve">Archive filename omits the plus sign while actual cover/endorsement retain it; frozen target already retains plus.
Base edition/current applicability and full amendment reconciliation remain unverified.
Only listed anchors were inspected, not all text on selected pages or the complete file.
No certificate-specific schedule applicability, package completeness, independent-product or product-gap conclusion.
Two endorsement master references observed; their schedule/channel applicability was not reconciled.
All accepted observations are limited to role/identity anchors; uninspected clauses, exact holder/channel selection, base edition, amendments and language completeness remain pending.</t>
  </si>
  <si>
    <t xml:space="preserve">p1/p23 identify LiveLife+ and Sun Life; p32 issuer/contract clauses and p42 accidental-death wording establish main-containing role.
p24 contents and p78 terminal notice retain product identity. Two references and any channel/schedule linkage remain unresolved; sanitized member name does not remove the observed plus sign.</t>
  </si>
  <si>
    <t xml:space="preserve">https://www.sunlifemalaysia.com/getContentAsset/fa9b1c85-69b0-4b91-9603-5aebdf135287/826411a5-9a44-43a6-8410-a7ad95da6d70/LiveLifePlus-Master-Contract_1.pdf</t>
  </si>
  <si>
    <t xml:space="preserve">B17-MY-009:accepted-role-only:20261026</t>
  </si>
  <si>
    <t xml:space="preserve">B17-MY-010</t>
  </si>
  <si>
    <t xml:space="preserve">LiveLife Senior Master Contract</t>
  </si>
  <si>
    <t xml:space="preserve">1, 19, 20, 24, 26, 29, 37, 74</t>
  </si>
  <si>
    <t xml:space="preserve">regional-20261025-813a853cf2d17c67</t>
  </si>
  <si>
    <t xml:space="preserve">813a853cf2d17c67813e51ab7f1e78801551e55c72efa8351661cad8285bb1f2</t>
  </si>
  <si>
    <t xml:space="preserve">base_issuer_in_operative_body: CIMB Aviva Takaful Berhad
endorsement_issuer: Sun Life Malaysia Takaful Berhad
product_name: LiveLife Senior
observed_dated_endorsements: 1 July 2019
name_change_notice_effective_date: 19 August 2013
version_boundary_note: Observed dates belong to endorsements/name-change notice, not proof of base edition or current adoption.</t>
  </si>
  <si>
    <t xml:space="preserve">p1 identifies LiveLife Senior with two master references; p19 notice, p20 cover and p29 issuer/contract clauses support historical CIMB Aviva base plus Sun Life amendments.
p24 rider combos and p37 operative accidental-death wording support the compound role; no single bank/channel selection inferred.</t>
  </si>
  <si>
    <t xml:space="preserve">https://www.sunlifemalaysia.com/getContentAsset/d1c35cd9-9a79-4046-9f7b-b4c9e29600da/826411a5-9a44-43a6-8410-a7ad95da6d70/LiveLife-Senior-Master-Contract.pdf</t>
  </si>
  <si>
    <t xml:space="preserve">B17-MY-010:accepted-role-only:20261026</t>
  </si>
  <si>
    <t xml:space="preserve">B17-MY-011</t>
  </si>
  <si>
    <t xml:space="preserve">LiveLife Senior+ Master Contract</t>
  </si>
  <si>
    <t xml:space="preserve">main_contract_with_endorsements_and_rider_options</t>
  </si>
  <si>
    <t xml:space="preserve">1, 15, 23, 24, 25, 26, 27, 28, 31, 32, 35, 41, 78</t>
  </si>
  <si>
    <t xml:space="preserve">1, 23, 26, 27, 28, 32, 41, 78</t>
  </si>
  <si>
    <t xml:space="preserve">regional-20261025-e0d097d682cd3c46</t>
  </si>
  <si>
    <t xml:space="preserve">e0d097d682cd3c468ed49f1134bfbc736a6c7b0387b3e3b0be4780caf8d4f508</t>
  </si>
  <si>
    <t xml:space="preserve">base_issuer_in_operative_body: Sun Life Malaysia Takaful Berhad
endorsement_issuer: Sun Life Malaysia Takaful Berhad
product_name: LiveLife Senior+
master_reference_code: CIMB-LLS002-06012014 &amp; CIMBI-LLS002-06012014
observed_dated_endorsements: 1 July 2019
version_boundary_note: Reference codes and endorsement dates are not base-edition, current-use or adoption evidence.</t>
  </si>
  <si>
    <t xml:space="preserve">Rider options in schedule do not establish selection or applicability to any individual certificate.
Named master holder and base edition were not established.
All accepted observations are limited to role/identity anchors; uninspected clauses, exact holder/channel selection, base edition, amendments and language completeness remain pending.</t>
  </si>
  <si>
    <t xml:space="preserve">p1 identifies LiveLife Senior+ and both CIMB/CIMBI reference strings; p23 cover, p32 issuer/contract clauses and p41 accidental-death wording support Sun Life main wording.
p26-p28 contain basic benefits, rider combos A/B and fee schedule. These are generic tables, not proof of named holder or certificate-specific rider election.</t>
  </si>
  <si>
    <t xml:space="preserve">https://www.sunlifemalaysia.com/getContentAsset/6a855fa2-2220-410f-8bec-e6b7cfbaefd6/826411a5-9a44-43a6-8410-a7ad95da6d70/LiveLifePlus-Senior-Master-Contract_1.pdf</t>
  </si>
  <si>
    <t xml:space="preserve">B17-MY-011:accepted-role-only:20261026</t>
  </si>
  <si>
    <t xml:space="preserve">B17-MY-012</t>
  </si>
  <si>
    <t xml:space="preserve">LivePro+ Master Contract</t>
  </si>
  <si>
    <t xml:space="preserve">1, 15, 21, 22, 23, 24, 31, 40, 79</t>
  </si>
  <si>
    <t xml:space="preserve">1, 21, 23, 24, 25, 26, 31, 40, 79</t>
  </si>
  <si>
    <t xml:space="preserve">regional-20261025-f8ddde67d7a1ea50</t>
  </si>
  <si>
    <t xml:space="preserve">f8ddde67d7a1ea50f8c663fde99650eb6c3346d1fdb473a9704eefeceb614962</t>
  </si>
  <si>
    <t xml:space="preserve">base_issuer_in_operative_body: Sun Life Malaysia Takaful Berhad
endorsement_issuer: Sun Life Malaysia Takaful Berhad
product_name: LivePro+
master_reference_code: CELC-LPP001-03102014
observed_dated_endorsements: 1 July 2019; 1 January 2015
version_boundary_note: Reference codes and endorsement dates are not base-edition, current-use or adoption evidence.</t>
  </si>
  <si>
    <t xml:space="preserve">Complete schedule, named master holder and base edition were not established.
Different observed English/Malay printed totals require language and pagination reconciliation; no completeness inference.
All accepted observations are limited to role/identity anchors; uninspected clauses, exact holder/channel selection, base edition, amendments and language completeness remain pending.
Adjacent physical p25/p26 show printed2/29 then4/29; contents physicalp24 locates master schedule at printed3.</t>
  </si>
  <si>
    <t xml:space="preserve">Adjacent physical p25/p26 show printed2/29 then4/29; contents physicalp24 locates master schedule at printed3.
Retain broad main_contract_with_endorsements; additionally observe embedded Rider Combo A table at physical26, not standalone rider wording.
p1/p21 identify LivePro+ / CELC-LPP001-03102014 with 2019/2015 amendments. p23 cover, p31 issuer/contract clauses and p40 accidental-death wording support main wording.
New narrow check p25/p26 shows adjacent printed 2/29 then 4/29; contents p24 places master schedule at printed3. The missing local printed3 transition remains a schedule gap, not a whole-file absence claim.
p26 also displays a Rider Combo A benefit table embedded in main wording; no independent rider or selected coverage inferred.</t>
  </si>
  <si>
    <t xml:space="preserve">https://www.sunlifemalaysia.com/getContentAsset/cd7ec929-f1cb-4187-bc66-73b3d36fa64b/826411a5-9a44-43a6-8410-a7ad95da6d70/LivePro-Master-Contract.pdf</t>
  </si>
  <si>
    <t xml:space="preserve">B17-MY-012:accepted-role-only:20261026</t>
  </si>
  <si>
    <t xml:space="preserve">B17-MY-013</t>
  </si>
  <si>
    <t xml:space="preserve">LiveShield Master Contract</t>
  </si>
  <si>
    <t xml:space="preserve">historical_main_contract_with_endorsements_and_rider_options</t>
  </si>
  <si>
    <t xml:space="preserve">1, 15, 19, 20, 21, 22, 23, 24, 27, 28, 31, 37, 72</t>
  </si>
  <si>
    <t xml:space="preserve">1, 19, 20, 23, 24, 28, 37, 72</t>
  </si>
  <si>
    <t xml:space="preserve">regional-20261025-83f699cb2d47f803</t>
  </si>
  <si>
    <t xml:space="preserve">83f699cb2d47f8032b69f678e436dde5a1e4ac791d1e013ca773be81ff4427b4</t>
  </si>
  <si>
    <t xml:space="preserve">base_issuer_in_operative_body: CIMB Aviva Takaful Berhad
endorsement_issuer: Sun Life Malaysia Takaful Berhad
product_name: LiveShield
master_reference_code: AVIVA-LS001-06112012
observed_dated_endorsements: 1 July 2019
documentary_name_change_bridge: In-file p19 notice gives Sun Life name effective 19 August 2013; documentary bridge only, not registry verification.
version_boundary_note: Reference codes and endorsement dates are not base-edition, current-use or adoption evidence.</t>
  </si>
  <si>
    <t xml:space="preserve">Historical base identity differs from frozen Sun Life source label; documented in-file name-change bridge, not registry verification or source reassignment.
Rider-combo table does not establish certificate selection; base edition and named holder remain unestablished.
All accepted observations are limited to role/identity anchors; uninspected clauses, exact holder/channel selection, base edition, amendments and language completeness remain pending.</t>
  </si>
  <si>
    <t xml:space="preserve">p1 LiveShield / AVIVA-LS001-06112012, p19 name-change notice, p20 cover and p28 issuer/contract clauses support historical CIMB Aviva base plus Sun Life endorsement.
p23/p24 schedule rider-combo and fee tables and p37 operative death wording support main-containing compound role; AVIVA prefix is not a named-holder verification.</t>
  </si>
  <si>
    <t xml:space="preserve">https://www.sunlifemalaysia.com/getContentAsset/13bb4de5-83ba-41d0-9a2a-8d148a2e330a/826411a5-9a44-43a6-8410-a7ad95da6d70/LiveShield-Master-Contract.pdf</t>
  </si>
  <si>
    <t xml:space="preserve">B17-MY-013:accepted-role-only:20261026</t>
  </si>
  <si>
    <t xml:space="preserve">B17-MY-014</t>
  </si>
  <si>
    <t xml:space="preserve">LiveShield+ Master Contract</t>
  </si>
  <si>
    <t xml:space="preserve">1, 15, 23, 24, 25, 26, 27, 28, 30, 31, 35, 40, 75</t>
  </si>
  <si>
    <t xml:space="preserve">1, 23, 26, 27, 28, 31, 40, 75</t>
  </si>
  <si>
    <t xml:space="preserve">regional-20261025-58bd3a423b5864ec</t>
  </si>
  <si>
    <t xml:space="preserve">58bd3a423b5864ec93f033656f1383e60537855e283389c8a3ffa76728004f7f</t>
  </si>
  <si>
    <t xml:space="preserve">base_issuer_in_operative_body: Sun Life Malaysia Takaful Berhad
endorsement_issuer: Sun Life Malaysia Takaful Berhad
product_name: LiveShield+
master_reference_code: SLM-LS002-06012014
observed_dated_endorsements: 1 July 2019
version_boundary_note: Reference codes and endorsement dates are not base-edition, current-use or adoption evidence.</t>
  </si>
  <si>
    <t xml:space="preserve">Rider-combo schedule does not establish individual certificate selection.
Named master holder, base edition and full language/attachment reconciliation remain unestablished.
All accepted observations are limited to role/identity anchors; uninspected clauses, exact holder/channel selection, base edition, amendments and language completeness remain pending.</t>
  </si>
  <si>
    <t xml:space="preserve">p1/p23 identify LiveShield+ / SLM-LS002-06012014 and Sun Life; p31 issuer/contract clauses and p40 accidental-death wording support main role.
p26/p27 distinguish basic benefits, rider-combo options and fee schedule. No individual certificate selection, holder or current edition has been established.</t>
  </si>
  <si>
    <t xml:space="preserve">https://www.sunlifemalaysia.com/getContentAsset/545b01fc-345e-434e-ac3d-ca98dedd8dc9/826411a5-9a44-43a6-8410-a7ad95da6d70/LiveShieldPlus-Master-Contract_1.pdf</t>
  </si>
  <si>
    <t xml:space="preserve">B17-MY-014:accepted-role-only:20261026</t>
  </si>
  <si>
    <t xml:space="preserve">B17-MY-015</t>
  </si>
  <si>
    <t xml:space="preserve">LiveSmart Master Contract</t>
  </si>
  <si>
    <t xml:space="preserve">1, 15, 19, 20, 21, 22, 23, 24, 26, 27, 31, 36, 69</t>
  </si>
  <si>
    <t xml:space="preserve">1, 19, 20, 23, 24, 27, 36, 69</t>
  </si>
  <si>
    <t xml:space="preserve">regional-20261025-598ec941d85e0b31</t>
  </si>
  <si>
    <t xml:space="preserve">598ec941d85e0b31676b3a03d654e496981178e93ab4755b0ea71477d6da112d</t>
  </si>
  <si>
    <t xml:space="preserve">base_issuer_in_operative_body: CIMB Aviva Takaful Berhad
endorsement_issuer: Sun Life Malaysia Takaful Berhad
product_name: LiveSmart
master_reference_code: BONUS-LS001-01062012
observed_dated_endorsements: 1 July 2019
documentary_name_change_bridge: In-file p19 notice gives Sun Life name effective 19 August 2013; documentary bridge only, not registry verification.
version_boundary_note: Reference codes and endorsement dates are not base-edition, current-use or adoption evidence.</t>
  </si>
  <si>
    <t xml:space="preserve">Historical issuer difference has an in-file name-change notice, not independent registry verification or source reassignment.
Rider-combo selection, named holder and base edition remain unestablished.
All accepted observations are limited to role/identity anchors; uninspected clauses, exact holder/channel selection, base edition, amendments and language completeness remain pending.</t>
  </si>
  <si>
    <t xml:space="preserve">p1 LiveSmart / BONUS-LS001-01062012, p19 name-change notice, p20 cover and p27 issuer/contract clauses support historical CIMB Aviva base plus Sun Life amendment.
p23 schedule includes basic benefits and rider combo; p36 is operative accidental-death wording. BONUS is not treated as a proven named holder.</t>
  </si>
  <si>
    <t xml:space="preserve">https://www.sunlifemalaysia.com/getContentAsset/c0371797-c65a-4f80-9a44-945c2d505c2b/826411a5-9a44-43a6-8410-a7ad95da6d70/LiveSmart-Master-Contract.pdf</t>
  </si>
  <si>
    <t xml:space="preserve">B17-MY-015:accepted-role-only:20261026</t>
  </si>
  <si>
    <t xml:space="preserve">B17-MY-016</t>
  </si>
  <si>
    <t xml:space="preserve">LiveSmart Senior Master Contract</t>
  </si>
  <si>
    <t xml:space="preserve">1, 15, 19, 20, 21, 22, 23, 24, 26, 27, 31, 35, 69</t>
  </si>
  <si>
    <t xml:space="preserve">1, 19, 20, 23, 24, 27, 35, 69</t>
  </si>
  <si>
    <t xml:space="preserve">regional-20261025-2acd14d90841d540</t>
  </si>
  <si>
    <t xml:space="preserve">2acd14d90841d540723b4b28c8b35a75907456dba059f7f0000edce291ebc943</t>
  </si>
  <si>
    <t xml:space="preserve">base_issuer_in_operative_body: CIMB Aviva Takaful Berhad
endorsement_issuer: Sun Life Malaysia Takaful Berhad
product_name: LiveSmart Senior
master_reference_code: BONUS-LSS001-01062012
observed_dated_endorsements: 1 July 2019
documentary_name_change_bridge: In-file p19 notice gives Sun Life name effective 19 August 2013; documentary bridge only, not registry verification.
version_boundary_note: Reference codes and endorsement dates are not base-edition, current-use or adoption evidence.</t>
  </si>
  <si>
    <t xml:space="preserve">p1 LiveSmart Senior / BONUS-LSS001-01062012, p19 notice, p20 historical cover and p27 issuer/contract clauses support historical CIMB Aviva base plus Sun Life amendment.
p23 schedule includes rider-combo options and p35 operative accidental-death wording; neither base edition nor executed holder is established.</t>
  </si>
  <si>
    <t xml:space="preserve">https://www.sunlifemalaysia.com/getContentAsset/7be881dc-c463-40dc-8ed0-00d0b0c4392d/826411a5-9a44-43a6-8410-a7ad95da6d70/LiveSmart-Senior-Master-Contract.pdf</t>
  </si>
  <si>
    <t xml:space="preserve">B17-MY-016:accepted-role-only:20261026</t>
  </si>
  <si>
    <t xml:space="preserve">B17-MY-017</t>
  </si>
  <si>
    <t xml:space="preserve">LiveSure Ladies Master Contract</t>
  </si>
  <si>
    <t xml:space="preserve">1, 15, 18, 19, 20, 21, 27, 28, 35, 74</t>
  </si>
  <si>
    <t xml:space="preserve">1, 18, 19, 20, 21, 22, 27, 35, 74</t>
  </si>
  <si>
    <t xml:space="preserve">regional-20261025-0067649d5e35f8ae</t>
  </si>
  <si>
    <t xml:space="preserve">0067649d5e35f8ae4373dae7a9225934491a052290bd41985152b59dd1ce8181</t>
  </si>
  <si>
    <t xml:space="preserve">base_issuer_in_operative_body: Sun Life Malaysia Takaful Berhad
endorsement_issuer: Sun Life Malaysia Takaful Berhad
product_name: LiveSure Ladies
master_reference_code: BR-LSL001-19012015
observed_dated_endorsements: 1 July 2019
version_boundary_note: Reference codes and endorsement dates are not base-edition, current-use or adoption evidence.</t>
  </si>
  <si>
    <t xml:space="preserve">Internal annexure-reference discrepancy: endorsement p18 calls important notice PA013, while base contents p20 and terminal notice p74 identify PA014. This is unreconciled; no correction applied.
Named master holder, complete schedule and base edition were not established.
All accepted observations are limited to role/identity anchors; uninspected clauses, exact holder/channel selection, base edition, amendments and language completeness remain pending.
Adjacent physicalp21/p22 show printed2/27 then4/27; contents physicalp20 locates master schedule at printed3.</t>
  </si>
  <si>
    <t xml:space="preserve">Adjacent physicalp21/p22 show printed2/27 then4/27; contents physicalp20 locates master schedule at printed3.
Retain broad main_contract_with_endorsements; additionally observe embedded Rider Combo A table at physical22, not standalone rider wording.
p1/p19 identify LiveSure Ladies / BR-LSL001-19012015 and Sun Life; p27 issuer/contract clauses and p35 accidental-death wording support main role.
p18 amendment calls important notice PA013, but p20 contents and p74 terminal notice identify PA014; retain unreconciled annexure mismatch.
New narrow check p21/p22 shows adjacent printed2/27 then4/27; contents p20 lists master schedule at printed3. p22 has an embedded Rider Combo A table, not independent rider wording.</t>
  </si>
  <si>
    <t xml:space="preserve">https://www.sunlifemalaysia.com/getContentAsset/ebf7b2a1-1a6c-4380-b4af-5ec47b3bca90/826411a5-9a44-43a6-8410-a7ad95da6d70/LiveSure-Ladies-Master-Contract.pdf</t>
  </si>
  <si>
    <t xml:space="preserve">B17-MY-017:accepted-role-only:20261026</t>
  </si>
  <si>
    <t xml:space="preserve">B17-MY-018</t>
  </si>
  <si>
    <t xml:space="preserve">Long Term House Owner Takaful Contract - Permodalan RISDA Berhad</t>
  </si>
  <si>
    <t xml:space="preserve">main_contract_with_endorsements_source_subidentity_unresolved</t>
  </si>
  <si>
    <t xml:space="preserve">1, 4, 5, 6, 7, 8, 10, 44</t>
  </si>
  <si>
    <t xml:space="preserve">1, 5, 6, 7, 8, 10, 44</t>
  </si>
  <si>
    <t xml:space="preserve">regional-20261025-1f9483e1bef697a6</t>
  </si>
  <si>
    <t xml:space="preserve">1f9483e1bef697a617103240ea849daa5207452ce77c807aa515b3d74242604c</t>
  </si>
  <si>
    <t xml:space="preserve">base_issuer_in_operative_body: Sun Life Malaysia Takaful Berhad
endorsement_issuer: Sun Life Malaysia Takaful Berhad
product_name: Long Term Houseowner Takaful (LTHO)
master_reference_code: LTHORI32
observed_dated_endorsements: 1 January 2015
version_boundary_note: Reference codes and endorsement dates are not base-edition, current-use or adoption evidence.</t>
  </si>
  <si>
    <t xml:space="preserve">Permodalan RISDA Berhad source subidentity is not confirmed by the inspected body anchors; no holder reassignment or target-specific primary promotion.
Expected schedule printed page 3 is absent between physical p7 and p8; full-file schedule/package completeness was not established.
Master reference transcribed visually as LTHORI32; letter-I/number-1 glyph remains a minor transcription uncertainty.
All accepted observations are limited to role/identity anchors; uninspected clauses, exact holder/channel selection, base edition, amendments and language completeness remain pending.</t>
  </si>
  <si>
    <t xml:space="preserve">p1/p5 identify LTHO / LTHORI32 and Sun Life, p7 expressly establishes operator and indemnity basis; p10 is operative building indemnity wording.
Contents p6 locates master schedule at printed3; adjacent p7/p8 show2/19 then4/19. No Permodalan RISDA holder was established by these anchors; glyph and full schedule remain unresolved.</t>
  </si>
  <si>
    <t xml:space="preserve">https://www.sunlifemalaysia.com/getContentAsset/20c4f63e-f297-4986-8ed8-1a0670d68030/826411a5-9a44-43a6-8410-a7ad95da6d70/Long-Term-House-Owner-Takaful-Contract-Permodalan-RISDA-Berhad.pdf</t>
  </si>
  <si>
    <t xml:space="preserve">B17-MY-018:accepted-role-only:20261026</t>
  </si>
  <si>
    <t xml:space="preserve">B17-MY-019</t>
  </si>
  <si>
    <t xml:space="preserve">Mortgage Reducing Term Takaful with Funeral Benefit Contract (MRTT33) - Bahagian Pinjaman Perumahan</t>
  </si>
  <si>
    <t xml:space="preserve">1, 15, 16, 17, 18, 19, 20, 27, 28, 54</t>
  </si>
  <si>
    <t xml:space="preserve">1, 15, 16, 17, 18, 19, 20, 28, 54</t>
  </si>
  <si>
    <t xml:space="preserve">regional-20261025-e7cd29c495978add</t>
  </si>
  <si>
    <t xml:space="preserve">e7cd29c495978addf3b528b3173252011a3bc0f18e057a5f7536994a2c70ca6c</t>
  </si>
  <si>
    <t xml:space="preserve">base_issuer_in_operative_body: Sun Life Malaysia Takaful Berhad
endorsement_issuer: Sun Life Malaysia Takaful Berhad
product_name: Mortgage Reducing Term Takaful with Funeral Benefit
master_reference_code: MRTT33
observed_dated_endorsements: 1 July 2020
version_boundary_note: Reference codes and endorsement dates are not base-edition, current-use or adoption evidence.</t>
  </si>
  <si>
    <t xml:space="preserve">Bahagian Pinjaman Perumahan source subidentity is not confirmed by inspected body anchors; no target-specific primary promotion.
Expected schedule printed page 3 is absent between physical p17 and p18; complete schedule/package and base edition remain unestablished.
All accepted observations are limited to role/identity anchors; uninspected clauses, exact holder/channel selection, base edition, amendments and language completeness remain pending.</t>
  </si>
  <si>
    <t xml:space="preserve">p1/p15 identify MRTT with Funeral Benefit / MRTT33 and Sun Life; p19 issuer definition, p20 master-contract constitution and p28 death-benefit wording support main role.
p16 contents locates master schedule at printed3; adjacent p17/p18 show2/20 then4/20. Bahagian Pinjaman Perumahan source association remains unverified, without a conflicting named holder in these anchors.</t>
  </si>
  <si>
    <t xml:space="preserve">https://www.sunlifemalaysia.com/getContentAsset/5e8da202-33b3-41d1-a291-2c96c7892265/826411a5-9a44-43a6-8410-a7ad95da6d70/Mortgage-Reducing-Term-Takaful-with-Funeral-Benefit-Contract-(MRTT33)-Bahagian-Pinjaman-Perumahan.pdf</t>
  </si>
  <si>
    <t xml:space="preserve">B17-MY-019:accepted-role-only:20261026</t>
  </si>
  <si>
    <t xml:space="preserve">B17-MY-020</t>
  </si>
  <si>
    <t xml:space="preserve">Mortgage Reducing Term Takaful Contract - CIMB Bank Berhad</t>
  </si>
  <si>
    <t xml:space="preserve">1, 15, 19, 20, 21, 22, 23, 24, 25, 30, 31, 32, 48, 49</t>
  </si>
  <si>
    <t xml:space="preserve">1, 15, 19, 20, 21, 22, 23, 25, 31, 49</t>
  </si>
  <si>
    <t xml:space="preserve">regional-20261025-f5859e236ab2c1b1</t>
  </si>
  <si>
    <t xml:space="preserve">f5859e236ab2c1b12ad0da4e5061c780939817dc12f891cb1faadc3df89d2bb9</t>
  </si>
  <si>
    <t xml:space="preserve">base_issuer_in_operative_body: CIMB Aviva Takaful Berhad
endorsement_issuer: Sun Life Malaysia Takaful Berhad
product_name: Mortgage Reducing Term Takaful (MRTT) - CIMB Bank Berhad
master_reference_code: GCT00001
master_holder: CIMB Bank Berhad (base cover)
observed_dated_endorsements: 1 July 2020
documentary_name_change_bridge: In-file p19 notice gives Sun Life name effective 19 August 2013; documentary bridge only, not registry verification.
version_boundary_note: Reference codes and endorsement dates are not base-edition, current-use or adoption evidence.</t>
  </si>
  <si>
    <t xml:space="preserve">Historical issuer difference is supported by name-change/formerly-known-as notices, not independent registry verification or source reassignment.
Base cover names CIMB Bank Berhad, but no complete executed schedule or base edition was verified.
Undated surrender-charge endorsement must be reconciled before any substantive adoption.
All accepted observations are limited to role/identity anchors; uninspected clauses, exact holder/channel selection, base edition, amendments and language completeness remain pending.</t>
  </si>
  <si>
    <t xml:space="preserve">p1 identifies MRTT/GCT00001; p19 name-change notice, p20 historical CIMB Aviva cover naming CIMB Bank Berhad and p21 former-name notice preserve documentary identity without registry verification.
p23 operator definition, p25 contract constitution and p31 death/TPD provisions support operative historical main wording. p15 surrender amendment has no calendar effective date on the inspected page; p49 is visually blank.
Cover naming is not a complete executed holder schedule; all amendment and schedule reconciliation remains pending.</t>
  </si>
  <si>
    <t xml:space="preserve">https://www.sunlifemalaysia.com/getContentAsset/b5d6b58a-e7d3-4d36-8e6a-2be47c64aa5c/826411a5-9a44-43a6-8410-a7ad95da6d70/Mortgage-Reducing-Term-Takaful-Contract-CIMB-Bank-Berhad.pdf</t>
  </si>
  <si>
    <t xml:space="preserve">B17-MY-020:accepted-role-only:20261026</t>
  </si>
  <si>
    <t xml:space="preserve">B17-MY-021</t>
  </si>
  <si>
    <t xml:space="preserve">Mortgage Reducing Term Takaful Contract - CIMB Islamic Bank Berhad</t>
  </si>
  <si>
    <t xml:space="preserve">1, 17, 18, 19, 20, 21, 22, 23, 24, 25, 30, 31, 33, 49</t>
  </si>
  <si>
    <t xml:space="preserve">1, 17, 19, 20, 23, 25, 31</t>
  </si>
  <si>
    <t xml:space="preserve">regional-20261025-87e734910c01b617</t>
  </si>
  <si>
    <t xml:space="preserve">87e734910c01b617e789e3c56b1f27e255731a3508878b7e5448db8f361293d2</t>
  </si>
  <si>
    <t xml:space="preserve">base_issuer_in_operative_body: CIMB Aviva Takaful Berhad
product_name: Mortgage Reducing Term Takaful (MRTT)
master_reference_code: GCT00002
master_holder: CIMB Islamic Bank Berhad (base cover)
observed_dated_endorsements: 1 July 2020; 1 April 2015
version_boundary_note: Reference numbers, product-year labels and endorsement dates do not establish base edition or current adoption.
endorsement_issuer: Sun Life Malaysia Takaful Berhad
documentary_name_change_notice: In-file notice states name changed to Sun Life Malaysia Takaful Berhad effective 19 August 2013; historical base issuer preserved separately; not registry verified.</t>
  </si>
  <si>
    <t xml:space="preserve">Base issuer is historical CIMB Aviva, with a name-change notice and former-name statement linking it to Sun Life; preserve the frozen source owner.
Complete schedule, all endorsements and language/pagination boundaries were not reconciled.
All current-adoption, base-edition, full-schedule, language and endorsement-completeness conclusions remain pending. Exact file role is not a product/family closure.</t>
  </si>
  <si>
    <t xml:space="preserve">p1 and p17 identify MRTT/GCT00002 and endorsements effective 1 July 2020 and 1 April 2015.
p19 in-file name-change notice states Sun Life Malaysia Takaful Berhad effective 19 August 2013; p20 historical cover states CIMB Aviva Takaful Berhad, MRTT and CIMB Islamic Bank Berhad. This is documentary linkage, not a corporate-registry verification.
p23 identifies historical operator; p25 constitutes the contract from schedules/certificates/proposals/amendments; p31 supplies operative death/TPD benefit provisions.</t>
  </si>
  <si>
    <t xml:space="preserve">https://www.sunlifemalaysia.com/getContentAsset/c63cee33-1a5c-49af-9a5a-d71798a16789/826411a5-9a44-43a6-8410-a7ad95da6d70/Mortgage-Reducing-Term-Takaful-Contract-CIMB-Islamic-Bank-Berhad.pdf</t>
  </si>
  <si>
    <t xml:space="preserve">B17-MY-021:accepted-role-only:20261026</t>
  </si>
  <si>
    <t xml:space="preserve">B17-MY-022</t>
  </si>
  <si>
    <t xml:space="preserve">Mortgage Reducing Term Takaful Contract - Permodalan RISDA Berhad</t>
  </si>
  <si>
    <t xml:space="preserve">1, 17, 18, 19, 21, 22, 23, 24, 25, 26, 31, 50</t>
  </si>
  <si>
    <t xml:space="preserve">1, 17, 21, 22, 23, 24, 26, 31</t>
  </si>
  <si>
    <t xml:space="preserve">regional-20261025-a1244aa45329d1c6</t>
  </si>
  <si>
    <t xml:space="preserve">a1244aa45329d1c61acd7bf2470c722f433f0a22ff71678f7d7f146ea2ff1b9d</t>
  </si>
  <si>
    <t xml:space="preserve">base_issuer_in_operative_body: Sun Life Malaysia Takaful Berhad
product_name: Mortgage Reducing Term Takaful (MRTT)
master_reference_code: MRTTRI32
observed_dated_endorsements: 1 July 2020; 1 January 2015
version_boundary_note: Reference numbers, product-year labels and endorsement dates do not establish base edition or current adoption.
endorsement_issuer: Sun Life Malaysia Takaful Berhad</t>
  </si>
  <si>
    <t xml:space="preserve">Permodalan RISDA Berhad association in the frozen target was not verified on inspected anchors; no conflicting holder was seen.
Adjacent physical pages 23/24 jump from printed 2 to 4, where the contents lists the master schedule at printed 3; schedule completeness remains unverified.
All current-adoption, base-edition, full-schedule, language and endorsement-completeness conclusions remain pending. Exact file role is not a product/family closure.</t>
  </si>
  <si>
    <t xml:space="preserve">p1 and p17 identify MRTT/MRTTRI32 with dated endorsements. p21 names Sun Life Malaysia Takaful Berhad and MRTT Master Contract.
Contents p22 locates master schedule at printed p3; adjacent physical p23/p24 show printed p2/p4. Do not claim the holder schedule is present or absent elsewhere without a full inventory.
p24 identifies operator; p26 is operative contract constitution and p31 death-benefit wording. No RISDA holder was identified within these anchors; retain source label separately.</t>
  </si>
  <si>
    <t xml:space="preserve">https://www.sunlifemalaysia.com/getContentAsset/fed16f94-e1fa-428e-aa6e-44c16d1fa065/826411a5-9a44-43a6-8410-a7ad95da6d70/Mortgage-Reducing-Term-Takaful-Contract-Permodalan-RISDA-Berhad.pdf</t>
  </si>
  <si>
    <t xml:space="preserve">B17-MY-022:accepted-role-only:20261026</t>
  </si>
  <si>
    <t xml:space="preserve">B17-MY-023</t>
  </si>
  <si>
    <t xml:space="preserve">Mortgage Reducing Term Takaful with Funeral Benefit Contract (MRTTRI33) - Permodalan RISDA Berhad</t>
  </si>
  <si>
    <t xml:space="preserve">1, 15, 16, 17, 18, 19, 20, 27, 28, 30, 31, 54</t>
  </si>
  <si>
    <t xml:space="preserve">1, 15, 16, 17, 18, 20, 31</t>
  </si>
  <si>
    <t xml:space="preserve">regional-20261025-e31cf3f4665d3125</t>
  </si>
  <si>
    <t xml:space="preserve">e31cf3f4665d3125c2f7380f6411d957c80300dc087902aecb80cca0b5e41c5f</t>
  </si>
  <si>
    <t xml:space="preserve">base_issuer_in_operative_body: Sun Life Malaysia Takaful Berhad
product_name: Mortgage Reducing Term Takaful with Funeral Benefit
master_reference_code: MRTTRI33
observed_dated_endorsements: 1 July 2020
version_boundary_note: Reference numbers, product-year labels and endorsement dates do not establish base edition or current adoption.
endorsement_issuer: Sun Life Malaysia Takaful Berhad</t>
  </si>
  <si>
    <t xml:space="preserve">Permodalan RISDA Berhad association in the frozen target was not verified on inspected anchors; no conflicting holder was seen.
Adjacent physical pages 17/18 jump from printed 2 to 4; master-schedule completeness remains unverified.
Contents lists funeral benefit at printed 16, but the inspected funeral annexure is at printed 17; pagination must be reconciled.
All current-adoption, base-edition, full-schedule, language and endorsement-completeness conclusions remain pending. Exact file role is not a product/family closure.</t>
  </si>
  <si>
    <t xml:space="preserve">p1 identifies MRTT with Funeral Benefit/MRTTRI33; p15 names Sun Life Malaysia Takaful Berhad and the same core product.
p16 contents lists master schedule at printed p3 and funeral benefit at printed p16; p17/p18 adjacent show printed p2/p4.
p20 is operative master-contract constitution; p31 is funeral-benefit annexure MRTT009 at printed p17, not the printed p16 stated in contents. No RISDA holder was identified within these anchors.</t>
  </si>
  <si>
    <t xml:space="preserve">https://www.sunlifemalaysia.com/getContentAsset/a1005d49-c56d-4bc7-8da3-bd722b8b8106/826411a5-9a44-43a6-8410-a7ad95da6d70/Mortgage-Reducing-Term-Takaful-with-Funeral-Benefit-Contract-(MRTTRI33)-Permodalan-RISDA-Berhad.pdf</t>
  </si>
  <si>
    <t xml:space="preserve">B17-MY-023:accepted-role-only:20261026</t>
  </si>
  <si>
    <t xml:space="preserve">B17-MY-024</t>
  </si>
  <si>
    <t xml:space="preserve">Mortgage Reducing Term Takaful with Funeral Benefit 2018 Master Contract</t>
  </si>
  <si>
    <t xml:space="preserve">1, 5, 6, 7, 8, 9, 10, 18, 20, 28</t>
  </si>
  <si>
    <t xml:space="preserve">1, 5, 6, 7, 8, 10, 18, 28</t>
  </si>
  <si>
    <t xml:space="preserve">regional-20261025-aa026f2cfa5e8196</t>
  </si>
  <si>
    <t xml:space="preserve">aa026f2cfa5e81966bafe95492a2035314deee5930c19b876c9fefeb78622185</t>
  </si>
  <si>
    <t xml:space="preserve">base_issuer_in_operative_body: Sun Life Malaysia Takaful Berhad
product_name: Takaful Pengurangan Tempoh Gadai Janji dengan Manfaat Khairat Kematian 2018
master_reference_code: MRTTFB18
master_holder: Lembaga Pembiayaan Perumahan Sektor Awam (endorsement)
observed_dated_endorsements: 1 July 2020; 1 April 2019
version_boundary_note: Reference numbers, product-year labels and endorsement dates do not establish base edition or current adoption.
endorsement_issuer: Sun Life Malaysia Takaful Berhad</t>
  </si>
  <si>
    <t xml:space="preserve">The inspected master wording is Malay; notes are limited to confidently identified title, issuer and operative-role anchors, not full legal translation.
Terminal file page says 22 of 24; remaining numbering/schedule completeness must be reconciled.
All current-adoption, base-edition, full-schedule, language and endorsement-completeness conclusions remain pending. Exact file role is not a product/family closure.</t>
  </si>
  <si>
    <t xml:space="preserve">p1 and p5 Malay endorsements identify MRTTFB18, title incorporating 2018, and effective dates 1 July 2020 and 1 April 2019. p5 names Lembaga Pembiayaan Perumahan Sektor Awam as master-contract holder.
p6 base cover and p8 Kami definition identify Sun Life Malaysia Takaful Berhad. p10 master-contract clause and p18 death-benefit annexure establish operative main wording rather than a brochure.
p7/p8 adjacent printed p1/p2 do not show a local numeric gap; terminal physical p28 footer is printed p22 of24. The latter is a pagination/completeness question, not proof that exactly two pages were removed. Malay observations limited to confidently identified identity/role anchors; not a full translation.</t>
  </si>
  <si>
    <t xml:space="preserve">https://www.sunlifemalaysia.com/getContentAsset/9b267bd9-24d6-4860-a4a9-e0b62be74877/826411a5-9a44-43a6-8410-a7ad95da6d70/Mortgage-Reducing-Term-Takaful-with-Funeral-Benefit-2018-Master-Contract.pdf</t>
  </si>
  <si>
    <t xml:space="preserve">B17-MY-024:accepted-role-only:20261026</t>
  </si>
  <si>
    <t xml:space="preserve">B17-MY-025</t>
  </si>
  <si>
    <t xml:space="preserve">Reducing Term Takaful (RTT) Master Contract</t>
  </si>
  <si>
    <t xml:space="preserve">1, 9, 10, 11, 12, 13, 14, 16, 33</t>
  </si>
  <si>
    <t xml:space="preserve">1, 10, 11, 12, 13, 14, 33</t>
  </si>
  <si>
    <t xml:space="preserve">regional-20261025-007fea2536c49066</t>
  </si>
  <si>
    <t xml:space="preserve">007fea2536c49066d9f834789df094caa85ed3945a68b8df45c5327700ec546a</t>
  </si>
  <si>
    <t xml:space="preserve">base_issuer_in_operative_body: CIMB Aviva Takaful Berhad
product_name: Reducing Term Takaful
master_reference_code: RTT0413
observed_dated_endorsements: 1 July 2020
version_boundary_note: Reference numbers, product-year labels and endorsement dates do not establish base edition or current adoption.
endorsement_issuer: Sun Life Malaysia Takaful Berhad
documentary_name_change_notice: In-file notice states name changed to Sun Life Malaysia Takaful Berhad effective 19 August 2013; historical base issuer preserved separately; not registry verified.</t>
  </si>
  <si>
    <t xml:space="preserve">Base issuer is historical CIMB Aviva with an explicit Sun Life name-change notice; preserve frozen source ownership.
Terminal Malay page says 12 of 13; appendices/schedules and numbering are not fully reconciled.
All current-adoption, base-edition, full-schedule, language and endorsement-completeness conclusions remain pending. Exact file role is not a product/family closure.</t>
  </si>
  <si>
    <t xml:space="preserve">p1 and p11 show RTT0413/Reducing Term Takaful; p11/p12 identify historical CIMB Aviva Takaful Berhad. p10 name-change notice states Sun Life Malaysia Takaful Berhad effective 19 August 2013.
p13 defines master-contract constitution; p14 contains actual death and TPD benefit clauses. No named master holder established.
Terminal physical p33 is a Malay Appendix I formula, printed p12 of13. Incomplete numbering/schedule reconciliation remains pending; no exact missing-page count inferred.</t>
  </si>
  <si>
    <t xml:space="preserve">https://www.sunlifemalaysia.com/getContentAsset/d061eb44-5e81-4ed1-a577-8d7e5c2c9616/826411a5-9a44-43a6-8410-a7ad95da6d70/Reducing-Term-Takaful-(RTT)-Master-Contract.pdf</t>
  </si>
  <si>
    <t xml:space="preserve">B17-MY-025:accepted-role-only:20261026</t>
  </si>
  <si>
    <t xml:space="preserve">B17-MY-026</t>
  </si>
  <si>
    <t xml:space="preserve">Reducing Term Takaful 2015 (RTT 2015) Master Contract</t>
  </si>
  <si>
    <t xml:space="preserve">1, 9, 10, 11, 12, 13, 14, 20, 22, 42</t>
  </si>
  <si>
    <t xml:space="preserve">1, 9, 10, 11, 12, 13, 20, 42</t>
  </si>
  <si>
    <t xml:space="preserve">regional-20261025-3749e1422850b74a</t>
  </si>
  <si>
    <t xml:space="preserve">3749e1422850b74a264fa92c437b19221d6f9a75fd57bf455b3946fd0d1ecead</t>
  </si>
  <si>
    <t xml:space="preserve">base_issuer_in_operative_body: Sun Life Malaysia Takaful Berhad
product_name: Reducing Term Takaful 2015 (RTT 2015)
master_reference_code: RTT0815
observed_dated_endorsements: 1 July 2020; 1 July 2019
version_boundary_note: Reference numbers, product-year labels and endorsement dates do not establish base edition or current adoption.
endorsement_issuer: Sun Life Malaysia Takaful Berhad</t>
  </si>
  <si>
    <t xml:space="preserve">2015 is observed product nomenclature, not independently verified base edition/current adoption.
Adjacent physical pages 11/12 jump from printed 2 to 4; terminal Malay page says 22 of 25; schedules and language pagination require reconciliation.
All current-adoption, base-edition, full-schedule, language and endorsement-completeness conclusions remain pending. Exact file role is not a product/family closure.</t>
  </si>
  <si>
    <t xml:space="preserve">p1 identifies RTT0815/Reducing Term Takaful 2015 and 1 July 2020 endorsement; p9 Malay endorsement states 1 July 2019. Product year 2015 is not an independently established base edition or current-use date.
p10 cover and p12 operator definition identify Sun Life Malaysia Takaful Berhad. p13 contract constitution and p20 operative death-benefit section establish main wording.
Adjacent physical p11/p12 show printed p2/p4; terminal physical p42 is printed p22 of25. These remain schedule/pagination questions, not an assertion of complete annexures or an exact missing-page count.</t>
  </si>
  <si>
    <t xml:space="preserve">https://www.sunlifemalaysia.com/getContentAsset/9e977818-922d-45fe-a544-a745c6be1d27/826411a5-9a44-43a6-8410-a7ad95da6d70/Reducing-Term-Takaful-2015-(RTT-2015)-Master-Contract.pdf</t>
  </si>
  <si>
    <t xml:space="preserve">B17-MY-026:accepted-role-only:20261026</t>
  </si>
  <si>
    <t xml:space="preserve">B17-MY-027</t>
  </si>
  <si>
    <t xml:space="preserve">Sinar Ri'ayah Enhanced Master Contract</t>
  </si>
  <si>
    <t xml:space="preserve">1, 3, 4, 5, 6, 7, 9, 10, 11, 15, 41</t>
  </si>
  <si>
    <t xml:space="preserve">1, 3, 4, 5, 7, 15, 41</t>
  </si>
  <si>
    <t xml:space="preserve">regional-20261025-b186c42360193352</t>
  </si>
  <si>
    <t xml:space="preserve">b186c4236019335247621069565f108f7e3b66eec51a4bb481ffb67c0751a373</t>
  </si>
  <si>
    <t xml:space="preserve">base_issuer_in_operative_body: Sun Life Malaysia Takaful Berhad
product_name: Sinar Ri’ayah Enhanced (footer: Group Credit Takaful Plan)
master_reference_code: SRE0423
observed_dated_endorsements: 1 July 2025
version_boundary_note: Reference numbers, product-year labels and endorsement dates do not establish base edition or current adoption.
endorsement_issuer: Sun Life Malaysia Takaful Berhad</t>
  </si>
  <si>
    <t xml:space="preserve">Group Credit Takaful Plan is an observed footer descriptor for the named master wording, not a separately counted product.
Base edition, complete schedule and language-boundary reconciliation remain pending.
All current-adoption, base-edition, full-schedule, language and endorsement-completeness conclusions remain pending. Exact file role is not a product/family closure.</t>
  </si>
  <si>
    <t xml:space="preserve">p1 identifies Sinar Ri’ayah Enhanced/SRE0423 with 1 July 2025 endorsement. p3 cover and p7 operator definition identify Sun Life Malaysia Takaful Berhad.
p4/p5 are adjacent printed p2/p3, not an observed page jump. p7 contains master-contract constitution; p15 contains operative death-benefit clauses.
Footer descriptor Group Credit Takaful Plan is retained in observed identity as a descriptor of the named master wording, not another product. No holder or complete schedule established. Terminal p41 is Malay annexure SRE010, printed p21 of21; that is not proof the entire package is complete.</t>
  </si>
  <si>
    <t xml:space="preserve">https://www.sunlifemalaysia.com/getContentAsset/3f7d0617-7835-4108-b949-18d814fa83bf/826411a5-9a44-43a6-8410-a7ad95da6d70/10-Sinar-Ri-ayah-Enhanced-Master-Contract-from-website-_0725.pdf?language=en</t>
  </si>
  <si>
    <t xml:space="preserve">B17-MY-027:accepted-role-only:20261026</t>
  </si>
  <si>
    <t xml:space="preserve">B17-MY-028</t>
  </si>
  <si>
    <t xml:space="preserve">Sinar Ri'ayah Master Contract</t>
  </si>
  <si>
    <t xml:space="preserve">1, 9, 10, 11, 12, 13, 22, 44</t>
  </si>
  <si>
    <t xml:space="preserve">1, 9, 10, 11, 13, 22, 44</t>
  </si>
  <si>
    <t xml:space="preserve">regional-20261025-119af78332b262d3</t>
  </si>
  <si>
    <t xml:space="preserve">119af78332b262d35614498b74b5fa6aefca7f3047341ba14da05d95cb0b4b84</t>
  </si>
  <si>
    <t xml:space="preserve">base_issuer_in_operative_body: Sun Life Malaysia Takaful Berhad
product_name: Sinar Ri’ayah
master_reference_code: SR0118
observed_dated_endorsements: 1 July 2020
version_boundary_note: Reference numbers, product-year labels and endorsement dates do not establish base edition or current adoption.
endorsement_issuer: Sun Life Malaysia Takaful Berhad</t>
  </si>
  <si>
    <t xml:space="preserve">Adjacent physical pages 10/11 jump from printed 2 to 4; terminal Malay page says 20 of 23; schedules and pagination require reconciliation.
All current-adoption, base-edition, full-schedule, language and endorsement-completeness conclusions remain pending. Exact file role is not a product/family closure.</t>
  </si>
  <si>
    <t xml:space="preserve">p1 identifies Sinar Ri’ayah/SR0118, effective 1 July 2020 endorsement; p9 cover and p13 operator definition identify Sun Life Malaysia Takaful Berhad.
Adjacent physical p10/p11 show printed p2/p4. p13 master-contract clause and p22 TPD-benefit annexure show operative main wording.
Terminal physical p44 is Malay SR009 formula, printed p20 of23. Unreconciled pagination/schedules remain pending without an exact missing-page inference.</t>
  </si>
  <si>
    <t xml:space="preserve">https://www.sunlifemalaysia.com/getContentAsset/f694374a-9401-4060-870f-bc7eebebfb72/826411a5-9a44-43a6-8410-a7ad95da6d70/Sinar-Ri-ayah-Master-Contract.pdf</t>
  </si>
  <si>
    <t xml:space="preserve">B17-MY-028:accepted-role-only:20261026</t>
  </si>
  <si>
    <t xml:space="preserve">B17-MY-029</t>
  </si>
  <si>
    <t xml:space="preserve">Sinar Health Plan Master Contract</t>
  </si>
  <si>
    <t xml:space="preserve">1, 8, 9, 11, 12, 14, 15, 17, 18, 19, 28, 30, 85</t>
  </si>
  <si>
    <t xml:space="preserve">1, 9, 11, 14, 15, 16, 17, 28, 30</t>
  </si>
  <si>
    <t xml:space="preserve">regional-20261025-199b9808ba8e1581</t>
  </si>
  <si>
    <t xml:space="preserve">199b9808ba8e1581dd599e55ce62b6763c88cc079dce4941b5a37d761f531117</t>
  </si>
  <si>
    <t xml:space="preserve">base_issuer_in_operative_body: Sun Life Malaysia Takaful Berhad
product_name: Sinar Health Plan
master_reference_code: SHP0118
observed_dated_endorsements: 1 July 2020; 15 April 2020; 1 July 2019
version_boundary_note: Reference numbers, product-year labels and endorsement dates do not establish base edition or current adoption.
endorsement_issuer: Sun Life Malaysia Takaful Berhad</t>
  </si>
  <si>
    <t xml:space="preserve">Adjacent physical pages 15/16 display printed pages 2/9 (of41), confirmed by independently inspecting physical p16; physical p17 is printed10. Master schedule and intervening printed numbering remain unreconciled; no statement that these absent numbers necessarily correspond to removed pages.
All amendments and English/Malay wording were not compared.
All current-adoption, base-edition, full-schedule, language and endorsement-completeness conclusions remain pending. Exact file role is not a product/family closure.</t>
  </si>
  <si>
    <t xml:space="preserve">Adjacent physical pages 15/16 display printed pages 2/9 (of41), confirmed by independently inspecting physical p16; physical p17 is printed10. Master schedule and intervening printed numbering remain unreconciled; no statement that these absent numbers necessarily correspond to removed pages.
p1/p9/p11 identify Sinar Health Plan/SHP0118 and endorsements effective 1 July 2020, 15 April 2020 and 1 July 2019. p14 cover and p17 operator definition name Sun Life Malaysia Takaful Berhad.
Additional QA anchor physical p16 is printed p9 of41. Therefore adjacent physical p15/p16 jump printed p2 to p9, rather than merely an uninspected interval between p15 and p17. p17 is printed p10 of41.
p17 begins operative master-contract clause, p28 opens hospital-benefit annexure SHP004, and p30 contains actual surgical/hospital-income payment provisions. This is main-containing wording, not solely a health summary.</t>
  </si>
  <si>
    <t xml:space="preserve">https://www.sunlifemalaysia.com/getContentAsset/d8f32af5-b834-4a14-9458-bdab5e4ca221/826411a5-9a44-43a6-8410-a7ad95da6d70/Sinar-Health-Plan-Master-Contract.pdf</t>
  </si>
  <si>
    <t xml:space="preserve">B17-MY-029:accepted-role-only:20261026</t>
  </si>
  <si>
    <t xml:space="preserve">B17-MY-030</t>
  </si>
  <si>
    <t xml:space="preserve">Takaful Health Plan Master Contract</t>
  </si>
  <si>
    <t xml:space="preserve">1, 17, 18, 19, 31, 35, 36, 39, 40, 41, 42, 43, 45, 49, 55, 57, 98</t>
  </si>
  <si>
    <t xml:space="preserve">1, 35, 39, 40, 41, 42, 55</t>
  </si>
  <si>
    <t xml:space="preserve">regional-20261025-44fe7b77f50318e3</t>
  </si>
  <si>
    <t xml:space="preserve">44fe7b77f50318e3629e3a4150aedfe16ca44c41f813129dd633d9659914d083</t>
  </si>
  <si>
    <t xml:space="preserve">base_issuer_in_operative_body: Sun Life Malaysia Takaful Berhad
product_name: Takaful Health Plan
master_reference_code: THP0714 and THP1114 (endorsements)
observed_dated_endorsements: 1 July 2020; 1 January 2015
version_boundary_note: Reference numbers, product-year labels and endorsement dates do not establish base edition or current adoption.
endorsement_issuer: Sun Life Malaysia Takaful Berhad</t>
  </si>
  <si>
    <t xml:space="preserve">Endorsements refer to two master numbers, THP0714 and THP1114; inspected generic base cover/body do not resolve variant-to-schedule mapping.
Adjacent physical pages 40/41 jump from printed 2 to 9; master schedules/numbering require reconciliation.
Critical-illness definitions occur in amendment and base sections; no full amendment reconciliation or standalone-rider conclusion.
All current-adoption, base-edition, full-schedule, language and endorsement-completeness conclusions remain pending. Exact file role is not a product/family closure.</t>
  </si>
  <si>
    <t xml:space="preserve">p1 and p35 endorsements both refer to THP0714 and THP1114, with effective dates 1 July 2020 and 1 January 2015. No single master number adopted.
p39 cover names Takaful Health Plan and Sun Life Malaysia Takaful Berhad; p42 identifies operator and constitutive master-contract materials. Adjacent p40/p41 show printed p2/p9.
p55 THP005 contains operative health-benefit clauses including critical illness, kidney dialysis and chemotherapy/radiotherapy. This supports file-level main-containing role only, not a standalone rider or resolved variant-to-schedule association.</t>
  </si>
  <si>
    <t xml:space="preserve">https://www.sunlifemalaysia.com/getContentAsset/3e7fb3a9-d9ae-4da7-ba8b-ad948b0c7817/826411a5-9a44-43a6-8410-a7ad95da6d70/Takaful-Health-Plan-Master-Contract.pdf</t>
  </si>
  <si>
    <t xml:space="preserve">B17-MY-030:accepted-role-only:20261026</t>
  </si>
  <si>
    <t xml:space="preserve">B18-MY-001</t>
  </si>
  <si>
    <t xml:space="preserve">Sun Mozi Protect Senior Master Contract</t>
  </si>
  <si>
    <t xml:space="preserve">1, 10, 11, 12, 13, 18, 19, 20, 30, 77</t>
  </si>
  <si>
    <t xml:space="preserve">1, 11, 20, 30, 77</t>
  </si>
  <si>
    <t xml:space="preserve">regional-20261025-ff48df2f603b9d20</t>
  </si>
  <si>
    <t xml:space="preserve">ff48df2f603b9d20e32a3fd218f8cf737cca0f9776bb5e5698d8ae4597327830</t>
  </si>
  <si>
    <t xml:space="preserve">base_issuer_in_operative_body: Sun Life Malaysia Takaful Berhad
product_name: Sun Mozi Protect Senior
master_reference_code: SMS1216
master_holder: Bank Islam Malaysia Berhad (p1 endorsement)
observed_dated_endorsements: 1 July 2020
version_boundary_note: Observed endorsement dates and reference codes do not establish base edition, latest version or current adoption.</t>
  </si>
  <si>
    <t xml:space="preserve">All uninspected contents and all endorsement/base relationships remain pending full review.
No complete schedule, language-boundary or rider-applicability reconciliation; no package-completeness or current-version conclusion.</t>
  </si>
  <si>
    <t xml:space="preserve">p1 names Sun Mozi Protect Senior / SMS1216 / Bank Islam Malaysia Berhad and 1 July 2020 amendment; p11 base cover and p20 issuer/constitution clause support the same main-contract identity; p30 is operative SMS005 death benefit. p77 is terminal SMS014 ambulance-benefit section footer 34 of 34, not package-completeness proof.</t>
  </si>
  <si>
    <t xml:space="preserve">https://www.sunlifemalaysia.com/getContentAsset/4d319c12-1a88-494c-a88d-1ee6379ffe30/826411a5-9a44-43a6-8410-a7ad95da6d70/Sun-Mozi-Protect-Senior-Master-Contract.pdf</t>
  </si>
  <si>
    <t xml:space="preserve">B18-MY-001:accepted-role-only:20261026</t>
  </si>
  <si>
    <t xml:space="preserve">B18-MY-002</t>
  </si>
  <si>
    <t xml:space="preserve">Sun Mozi Shield-i Master Contract</t>
  </si>
  <si>
    <t xml:space="preserve">1, 10, 15, 16, 17, 18, 23, 24, 25, 36, 80</t>
  </si>
  <si>
    <t xml:space="preserve">1, 16, 25, 36, 80</t>
  </si>
  <si>
    <t xml:space="preserve">regional-20261025-48d6deaa31e56d70</t>
  </si>
  <si>
    <t xml:space="preserve">48d6deaa31e56d700eff143227707e103f924cce5af654df8bededb9ab0625ac</t>
  </si>
  <si>
    <t xml:space="preserve">base_issuer_in_operative_body: Sun Life Malaysia Takaful Berhad
product_name: Sun Mozi Shield-i
master_reference_code: SMH0117
master_holder: CIMB Bank Berhad (p1 endorsement)
observed_dated_endorsements: 21 November 2022
version_boundary_note: Observed endorsement dates and reference codes do not establish base edition, latest version or current adoption.</t>
  </si>
  <si>
    <t xml:space="preserve">p1 names Sun Mozi Shield-i / SMH0117 / CIMB Bank Berhad and 21 November 2022 amendment; p16 cover and p25 issuer/constitution clause support main-contract identity; p36 operative SMH005 death benefit. Terminal p80 prints 34 of 34, not package-completeness proof.</t>
  </si>
  <si>
    <t xml:space="preserve">https://www.sunlifemalaysia.com/getContentAsset/d79dccfa-1e6f-41b1-b7c5-396a392d64ad/826411a5-9a44-43a6-8410-a7ad95da6d70/Sun-Mozi-Shield-i-Master-Contract.pdf</t>
  </si>
  <si>
    <t xml:space="preserve">B18-MY-002:accepted-role-only:20261026</t>
  </si>
  <si>
    <t xml:space="preserve">B18-MY-003</t>
  </si>
  <si>
    <t xml:space="preserve">Sun PowerLife-i Master Contract</t>
  </si>
  <si>
    <t xml:space="preserve">1, 10, 21, 22, 23, 33, 43, 87</t>
  </si>
  <si>
    <t xml:space="preserve">1, 21, 33, 43, 87</t>
  </si>
  <si>
    <t xml:space="preserve">regional-20261025-8f5671eac86e1734</t>
  </si>
  <si>
    <t xml:space="preserve">8f5671eac86e1734bfb41f4d287b40d8b88d6a967e8aeb2f2bfbf1daf4c64704</t>
  </si>
  <si>
    <t xml:space="preserve">base_issuer_in_operative_body: Sun Life Malaysia Takaful Berhad
product_name: Sun PowerLife-i (a plan under Takaful Lifestyle PA Series)
master_reference_code: CIMB-SPL001-16032016 &amp; CIMBI-SPL001-16032016
observed_dated_endorsements: 1 July 2019
version_boundary_note: Observed endorsement dates and reference codes do not establish base edition, latest version or current adoption.</t>
  </si>
  <si>
    <t xml:space="preserve">All uninspected contents and all endorsement/base relationships remain pending full review.
No complete schedule, language-boundary or rider-applicability reconciliation; no package-completeness or current-version conclusion.
Named master holder is not independently established from the sampled body; reference-code prefixes are not holder proof.</t>
  </si>
  <si>
    <t xml:space="preserve">p1 identifies Sun PowerLife-i, both reference codes and 1 July 2019 amendment; p21 footer identifies PA-series plan; p33 defines Sun Life Malaysia Takaful and contribution-based contract; p43 contains operative PA005 promise. p87 terminal notice footer prints 34 of 34. No named master holder is established.</t>
  </si>
  <si>
    <t xml:space="preserve">https://www.sunlifemalaysia.com/getContentAsset/9b402507-7528-4cab-a81f-5eb2376fe909/826411a5-9a44-43a6-8410-a7ad95da6d70/Sun-PowerLife-i-Master-Contract.pdf</t>
  </si>
  <si>
    <t xml:space="preserve">B18-MY-003:accepted-role-only:20261026</t>
  </si>
  <si>
    <t xml:space="preserve">B18-MY-004</t>
  </si>
  <si>
    <t xml:space="preserve">Sun PowerLife Senior-i Master Contract</t>
  </si>
  <si>
    <t xml:space="preserve">1, 10, 21, 22, 23, 33, 42, 86</t>
  </si>
  <si>
    <t xml:space="preserve">1, 21, 33, 42, 86</t>
  </si>
  <si>
    <t xml:space="preserve">regional-20261025-07e92428d49c7362</t>
  </si>
  <si>
    <t xml:space="preserve">07e92428d49c7362196cea9dd2d5137c071a4f5d243933863dd009736b8d3a94</t>
  </si>
  <si>
    <t xml:space="preserve">base_issuer_in_operative_body: Sun Life Malaysia Takaful Berhad
product_name: Sun PowerLife Senior-i (a plan under Takaful Lifestyle PA Series)
master_reference_code: CIMB-SPLS001-16032016 &amp; CIMBI-SPLS001-16032016
observed_dated_endorsements: 1 July 2019
version_boundary_note: Observed endorsement dates and reference codes do not establish base edition, latest version or current adoption.</t>
  </si>
  <si>
    <t xml:space="preserve">p1 identifies Senior-i variant, both reference codes and 1 July 2019 amendment; p21 footer identifies PA-series plan; p33 defines Sun Life Malaysia Takaful and contribution-based contract; p42 contains operative PA005 promise. p86 terminal notice footer prints 33 of 33. No named master holder is established.</t>
  </si>
  <si>
    <t xml:space="preserve">https://www.sunlifemalaysia.com/getContentAsset/907ec54a-46c4-4849-a6bb-21f52c33f116/826411a5-9a44-43a6-8410-a7ad95da6d70/Sun-PowerLife-Senior-i-Master-Contract.pdf</t>
  </si>
  <si>
    <t xml:space="preserve">B18-MY-004:accepted-role-only:20261026</t>
  </si>
  <si>
    <t xml:space="preserve">B18-MY-005</t>
  </si>
  <si>
    <t xml:space="preserve">Sun Power Secure Master Contract</t>
  </si>
  <si>
    <t xml:space="preserve">1, 10, 21, 22, 23, 29, 39, 74</t>
  </si>
  <si>
    <t xml:space="preserve">1, 21, 23, 29, 39, 74</t>
  </si>
  <si>
    <t xml:space="preserve">regional-20261025-5c9d9aea70f4e52f</t>
  </si>
  <si>
    <t xml:space="preserve">5c9d9aea70f4e52f5d2e22e6e4db67319521fb603799f0d244151003d90e7903</t>
  </si>
  <si>
    <t xml:space="preserve">base_issuer_in_operative_body: Sun Life Malaysia Takaful Berhad
product_name: Sun Power Secure (a plan under Takaful Lifestyle PA Series)
master_reference_code: TUNE-SPS001-11042016
observed_dated_endorsements: 1 July 2019
version_boundary_note: Observed endorsement dates and reference codes do not establish base edition, latest version or current adoption.</t>
  </si>
  <si>
    <t xml:space="preserve">All uninspected contents and all endorsement/base relationships remain pending full review.
No complete schedule, language-boundary or rider-applicability reconciliation; no package-completeness or current-version conclusion.
Rider Combo A is visibly included in schedule options; no certificate-level applicability or independent-product conclusion.
Named master holder is not independently established from the sampled body; reference-code prefixes are not holder proof.</t>
  </si>
  <si>
    <t xml:space="preserve">p1 identifies Sun Power Secure / TUNE-SPS001-11042016 / 1 July 2019; p21 PA-series footer, p29 issuer/constitution and p39 operative PA005 promise support main-containing role. p23 separates Basic benefits and Rider Combo A, not certificate-specific rider selection; p74 terminal notice prints 27 of 27.</t>
  </si>
  <si>
    <t xml:space="preserve">https://www.sunlifemalaysia.com/getContentAsset/6e5e825b-d90b-408d-aafe-5fccfa67242c/826411a5-9a44-43a6-8410-a7ad95da6d70/Sun-Power-Secure-Master-Contract.pdf</t>
  </si>
  <si>
    <t xml:space="preserve">B18-MY-005:accepted-role-only:20261026</t>
  </si>
  <si>
    <t xml:space="preserve">B18-MY-006</t>
  </si>
  <si>
    <t xml:space="preserve">Sun Power Shield-i Master Contract</t>
  </si>
  <si>
    <t xml:space="preserve">1, 10, 13, 14, 15, 17, 24, 33, 71</t>
  </si>
  <si>
    <t xml:space="preserve">1, 14, 17, 24, 33, 71</t>
  </si>
  <si>
    <t xml:space="preserve">regional-20261025-111bfab404a84d24</t>
  </si>
  <si>
    <t xml:space="preserve">111bfab404a84d24abba9bd6c35b54789c4a9328d04cf48f0382d0fab9ed94ec</t>
  </si>
  <si>
    <t xml:space="preserve">base_issuer_in_operative_body: Sun Life Malaysia Takaful Berhad
product_name: Sun PowerShield-i (a plan under Takaful Lifestyle PA Series)
master_reference_code: SLM-SPS001-16032016
observed_dated_endorsements: 1 July 2018
version_boundary_note: Observed endorsement dates and reference codes do not establish base edition, latest version or current adoption.</t>
  </si>
  <si>
    <t xml:space="preserve">All uninspected contents and all endorsement/base relationships remain pending full review.
No complete schedule, language-boundary or rider-applicability reconciliation; no package-completeness or current-version conclusion.
Undated sampled notice endorsement is not assigned a date by inference. Reference code/date digits do not establish base edition.
Named master holder is not independently established from the sampled body; reference-code prefixes are not holder proof.
Independent QA: physical p14 notice amendment names PA013, whereas physical p17 contents and terminal p71 notice identify PA014. Cross-reference mismatch is unresolved; no amendment applicability repair or package adoption.</t>
  </si>
  <si>
    <t xml:space="preserve">p1 identifies Sun PowerShield-i / SLM-SPS001-16032016 / 1 July 2018; p24 issuer/constitution and p33 operative PA005 promise support main-containing role. p14 separate notice amendment has no sampled calendar effective date. Its PA013 label differs from notice PA014 in p17 contents and terminal p71; do not reconcile by assumption.</t>
  </si>
  <si>
    <t xml:space="preserve">https://www.sunlifemalaysia.com/getContentAsset/3c0cd9e2-aa4f-49d1-9951-7843b7f00a8e/826411a5-9a44-43a6-8410-a7ad95da6d70/Sun-Power-Shield-i-Master-Contract.pdf</t>
  </si>
  <si>
    <t xml:space="preserve">B18-MY-006:accepted-role-only:20261026</t>
  </si>
  <si>
    <t xml:space="preserve">B18-MY-007</t>
  </si>
  <si>
    <t xml:space="preserve">Sun Raudhah Master Contract</t>
  </si>
  <si>
    <t xml:space="preserve">1, 10, 15, 17, 18, 19, 20, 21, 25, 35, 36, 96</t>
  </si>
  <si>
    <t xml:space="preserve">1, 15, 17, 18, 19, 20, 25, 35, 96</t>
  </si>
  <si>
    <t xml:space="preserve">regional-20261025-d1ff89cba0202900</t>
  </si>
  <si>
    <t xml:space="preserve">d1ff89cba020290072599fc2a8e2086eed2882834a2bf7f1ab299fcec7b1c1e7</t>
  </si>
  <si>
    <t xml:space="preserve">base_issuer_in_operative_body: Sun Life Malaysia Takaful Berhad
product_name: Sun Raudhah
master_reference_code: SSI1117
observed_dated_endorsements: 1 July 2025; 1 July 2019
version_boundary_note: Observed endorsement dates and reference codes do not establish base edition, latest version or current adoption.</t>
  </si>
  <si>
    <t xml:space="preserve">All uninspected contents and all endorsement/base relationships remain pending full review.
No complete schedule, language-boundary or rider-applicability reconciliation; no package-completeness or current-version conclusion.
Listed master-contract schedule printed p4 is not established: physical p19 printed p3 immediately precedes p20 printed p5. No missing-page cure or package adoption.
Named master holder is not independently established from the sampled body; reference-code prefixes are not holder proof.</t>
  </si>
  <si>
    <t xml:space="preserve">p1 identifies Sun Raudhah / SSI1117 / 1 July 2025; p15 names a 1 July 2019 amendment. p17 cover, p19 introduction and p25 issuer/constitution support identity; p35 operative death promise supports main role. p18 contents lists schedule printed p4, but p19 printed p3 is immediately followed by p20 printed p5. Terminal p96 prints 42 of 42; schedule/holder and completeness remain unresolved.</t>
  </si>
  <si>
    <t xml:space="preserve">https://www.sunlifemalaysia.com/getContentAsset/cfa6069f-6585-4e1f-bbd9-717e97e30886/826411a5-9a44-43a6-8410-a7ad95da6d70/11-Sun-Raudhah-Master-Contract-Website-_0725.pdf?language=en</t>
  </si>
  <si>
    <t xml:space="preserve">B18-MY-007:accepted-role-only:20261026</t>
  </si>
  <si>
    <t xml:space="preserve">B18-MY-008</t>
  </si>
  <si>
    <t xml:space="preserve">Takaful Al Hakeem Master Contract</t>
  </si>
  <si>
    <t xml:space="preserve">1, 10, 21, 22, 23, 28, 37, 74</t>
  </si>
  <si>
    <t xml:space="preserve">1, 21, 28, 37, 74</t>
  </si>
  <si>
    <t xml:space="preserve">regional-20261025-8098fa1d3e7de478</t>
  </si>
  <si>
    <t xml:space="preserve">8098fa1d3e7de4784adc8304f0e40adca9fe431fd3ce0a253f6eab2ddb0b7b90</t>
  </si>
  <si>
    <t xml:space="preserve">base_issuer_in_operative_body: Sun Life Malaysia Takaful Berhad
product_name: Takaful Al Hakeem (a plan under Takaful Lifestyle PA Series)
master_reference_code: MBSB-TAH001-05042016
observed_dated_endorsements: 1 July 2019
version_boundary_note: Observed endorsement dates and reference codes do not establish base edition, latest version or current adoption.</t>
  </si>
  <si>
    <t xml:space="preserve">p1 identifies Takaful Al Hakeem / MBSB-TAH001-05042016 / 1 July 2019; p21 PA-series footer, p28 issuer/constitution and p37 operative PA005 promise support main-containing role. p74 terminal notice prints 27 of 27; reference prefix is not master-holder evidence.</t>
  </si>
  <si>
    <t xml:space="preserve">https://www.sunlifemalaysia.com/getContentAsset/96e97200-5e36-4623-803e-2575ab4ffacf/826411a5-9a44-43a6-8410-a7ad95da6d70/Takaful-Al-Hakeem-Master-Contract.pdf</t>
  </si>
  <si>
    <t xml:space="preserve">B18-MY-008:accepted-role-only:20261026</t>
  </si>
  <si>
    <t xml:space="preserve">B18-MY-009</t>
  </si>
  <si>
    <t xml:space="preserve">Xpress Cash Awam-i Protector Plan Contract</t>
  </si>
  <si>
    <t xml:space="preserve">1, 2, 3, 28, 46, 47, 49, 98</t>
  </si>
  <si>
    <t xml:space="preserve">1, 2, 46, 47, 49, 98</t>
  </si>
  <si>
    <t xml:space="preserve">regional-20261025-4ffdb311ade64271</t>
  </si>
  <si>
    <t xml:space="preserve">4ffdb311ade642716189e0d8cb707b04df31741e234d35beefc6f0fa95527995</t>
  </si>
  <si>
    <t xml:space="preserve">base_issuer_in_operative_body: CIMB Aviva Takaful Berhad
product_name: Xpress Cash Awam-i Protector Plan / Group Family Reducing Term Takaful (Single Contribution) Plan
observed_dated_endorsements: 21 March 2011
version_boundary_note: Observed endorsement dates and reference codes do not establish base edition, latest version or current adoption.
documentary_name_change_bridge: In-file p1 notice effective 19 August 2013; not externally registry-verified.</t>
  </si>
  <si>
    <t xml:space="preserve">All uninspected contents and all endorsement/base relationships remain pending full review.
No complete schedule, language-boundary or rider-applicability reconciliation; no package-completeness or current-version conclusion.
Historical operative issuer differs from frozen Sun Life source label. In-file 2013 name-change notice is preserved, not external registry verification or an ownership reassignment.
All attachment-table completeness and endorsement/base language relationships remain unreconciled.
Named master holder is not independently established from the sampled body; reference-code prefixes are not holder proof.</t>
  </si>
  <si>
    <t xml:space="preserve">p1 contains documentary notice of Sun Life Malaysia Takaful name change effective 19 August 2013; p2 historical endorsement dated 21 March 2011. p46 cover and p47 preamble explicitly retain CIMB Aviva Takaful Berhad, Xpress Cash Awam-i Protector Plan, and Group Family Reducing Term Takaful (Single Contribution) Plan. p49 contains operative death/TPD promises. Terminal p98 table footer prints 28 of 28; no table values or full attachments reviewed.</t>
  </si>
  <si>
    <t xml:space="preserve">https://www.sunlifemalaysia.com/getContentAsset/fb5cc8d1-2e36-46a3-b2f3-f4c0f8a7d480/826411a5-9a44-43a6-8410-a7ad95da6d70/Xpress-Cash-Awam-i-Protector-Plan-Contract.pdf</t>
  </si>
  <si>
    <t xml:space="preserve">B18-MY-009:accepted-role-only:20261026</t>
  </si>
  <si>
    <t xml:space="preserve">B18-MY-010</t>
  </si>
  <si>
    <t xml:space="preserve">Xpress Cash Protector-i Plan Contract</t>
  </si>
  <si>
    <t xml:space="preserve">1, 5, 7, 8, 9, 11, 14, 15, 16, 17, 18, 24, 41</t>
  </si>
  <si>
    <t xml:space="preserve">1, 5, 8, 14, 15, 16, 24, 41</t>
  </si>
  <si>
    <t xml:space="preserve">regional-20261025-1adabb1c8d9ad484</t>
  </si>
  <si>
    <t xml:space="preserve">1adabb1c8d9ad4848d3e79851572b947a43b939d2a1312469d14c4fd4b320983</t>
  </si>
  <si>
    <t xml:space="preserve">base_issuer_in_operative_body: Sun Life Malaysia Takaful Berhad
product_name: Xpress Cash Protector-i
master_reference_code: XCPI1114
observed_dated_endorsements: 1 July 2025; 1 July 2020; 1 July 2019
version_boundary_note: Observed endorsement dates and reference codes do not establish base edition, latest version or current adoption.</t>
  </si>
  <si>
    <t xml:space="preserve">All uninspected contents and all endorsement/base relationships remain pending full review.
No complete schedule, language-boundary or rider-applicability reconciliation; no package-completeness or current-version conclusion.
Physical p15 printed p2 immediately precedes p16 printed p4; intervening schedule p3 not established.
Terminal physical p41 footer is printed p15 of 17. Ending/completeness remains explicitly unresolved.
Issuer supported by base cover, base footers and 2020 amendment; sampled base definition does not separately define we/us by name.
Named master holder is not independently established from the sampled body; reference-code prefixes are not holder proof.</t>
  </si>
  <si>
    <t xml:space="preserve">p1 / p5 / p8 identify XCPI1114 and 1 July 2025 / 1 July 2020 / 1 July 2019 amendments. p14 cover and base footers identify Sun Life Malaysia Takaful; p15 operative introduction and p24 TPD promise support main role. Physical p15 printed p2 immediately precedes p16 printed p4; terminal p41 is printed p15 of 17. Preserve schedule/end gap uncertainty and null holder; no named we/us definition independently established here.</t>
  </si>
  <si>
    <t xml:space="preserve">https://www.sunlifemalaysia.com/getContentAsset/9f303fa3-5de6-4bec-b6d6-eeafa93f1ea1/826411a5-9a44-43a6-8410-a7ad95da6d70/12-Master-Contract_Xpress-Cash-Protector-i-Plan-from-website-_0725.pdf?language=en</t>
  </si>
  <si>
    <t xml:space="preserve">B18-MY-010:accepted-role-only:20261026</t>
  </si>
  <si>
    <t xml:space="preserve">B18-MY-011</t>
  </si>
  <si>
    <t xml:space="preserve">Sun ShieldEasy-i Master Contract</t>
  </si>
  <si>
    <t xml:space="preserve">main_contract_with_endorsements_holder_identity_conflict</t>
  </si>
  <si>
    <t xml:space="preserve">1, 10, 11, 12, 14, 15, 16, 17, 18, 19, 27, 28, 63</t>
  </si>
  <si>
    <t xml:space="preserve">1, 11, 18, 28, 63</t>
  </si>
  <si>
    <t xml:space="preserve">regional-20261025-b56d423ae6d70d1c</t>
  </si>
  <si>
    <t xml:space="preserve">b56d423ae6d70d1cfcf990eeb7b414b8c701f027c9104bd915c94361059648ec</t>
  </si>
  <si>
    <t xml:space="preserve">base_issuer_in_operative_body: Sun Life Malaysia Takaful Berhad
product_name: Sun ShieldEasy-i
master_reference_code: SSE1117 (endorsement)
base_defined_you: Innovate Ventures Sdn Bhd (IVSB)
endorsement_master_holder: Angkatan Koperasi Kebangsaan Malaysia Berhad
observed_dated_endorsements: 1 July 2020
version_boundary_note: Observed reference codes, title years and endorsement dates do not establish base edition, current version, individual applicability or adoption.</t>
  </si>
  <si>
    <t xml:space="preserve">P1 endorsement holder and p18 base-defined counterparty conflict. Main-containing file role is observed, but unqualified primary identity mapping is withheld; no holder/source-owner move.
P1 amendment annexure SMS003 versus base SSE003 and printed totals (26/27/28) require reconciliation; no package completeness conclusion.
Full schedule, intervening endorsements and language equivalence were not reviewed.</t>
  </si>
  <si>
    <t xml:space="preserve">p1 Sun ShieldEasy-i/SSE1117 endorsement names Angkatan Koperasi Kebangsaan Malaysia Berhad and 1 July 2020. p11 is matching titled master-contract cover. p18 explicitly defines issuer as Sun Life Malaysia Takaful and you as Innovate Ventures Sdn Bhd (IVSB), and starts operative constitution; p28 has SSE005 conditional death payment. p63 is terminal Malay funeral-expense annexure, printed 28 of 28.
Holder conflict and p1 SMS003 versus base SSE identifiers remain unresolved; no holder normalization or primary-target adoption.</t>
  </si>
  <si>
    <t xml:space="preserve">Conflicting endorsement master holder and base-defined counterpart; no owner/holder resolution.</t>
  </si>
  <si>
    <t xml:space="preserve">https://www.sunlifemalaysia.com/getContentAsset/eb3c1547-b8a9-4673-be8c-82e94f86b355/826411a5-9a44-43a6-8410-a7ad95da6d70/Sun-ShieldEasy-i-Master-Contract.pdf</t>
  </si>
  <si>
    <t xml:space="preserve">B18-MY-011:accepted-role-only:20261026</t>
  </si>
  <si>
    <t xml:space="preserve">B18-MY-012</t>
  </si>
  <si>
    <t xml:space="preserve">Sun Auto Takaful Master Contract</t>
  </si>
  <si>
    <t xml:space="preserve">1, 7, 9, 10, 15, 16, 21, 51</t>
  </si>
  <si>
    <t xml:space="preserve">1, 7, 11, 16, 21, 51</t>
  </si>
  <si>
    <t xml:space="preserve">regional-20261025-3a19c9dc518692e3</t>
  </si>
  <si>
    <t xml:space="preserve">3a19c9dc518692e32bdfca89ae70dbbfc3a525d08b82e0bc29311abdb69af3a1</t>
  </si>
  <si>
    <t xml:space="preserve">base_issuer_in_operative_body: Sun Life Malaysia Takaful Berhad
product_name: Sun Auto Takaful
master_reference_code: SAT0816 (endorsements)
observed_dated_endorsements: 1 July 2025; 1 July 2019
base_defined_you: master contract holder as stated in master contract schedule
version_boundary_note: Observed reference codes, title years and endorsement dates do not establish base edition, current version, individual applicability or adoption.</t>
  </si>
  <si>
    <t xml:space="preserve">Master-holder name, schedule and base-edition date not established by sampled anchors.
Observed endorsement dates/reference do not establish current edition or adoption.
Independent QA additionally observed a schedule-defined counterpart; no named holder was established.</t>
  </si>
  <si>
    <t xml:space="preserve">p1 and p7 identify Sun Auto Takaful/SAT0816 endorsements dated 1 July 2025 and 1 July 2019. p11 is another Malay endorsement, not a base cover. p16 explicitly names Sun Life Malaysia Takaful, defines you by the master-contract schedule, and contains operative application/contribution constitution; p21 includes benefit payment. p51 is terminal Malay SAT009, printed 21 of 21.
QA adds the observed schedule-defined counterpart; named holder remains null and no full schedule or edition reconciliation follows.</t>
  </si>
  <si>
    <t xml:space="preserve">https://www.sunlifemalaysia.com/getContentAsset/b3ac3ec0-adbb-4615-aecc-8a366bfbc16a/826411a5-9a44-43a6-8410-a7ad95da6d70/13-Sun-Auto-Takaful-Master-Contract-Website-_0725.pdf?language=en</t>
  </si>
  <si>
    <t xml:space="preserve">B18-MY-012:accepted-role-only:20261026</t>
  </si>
  <si>
    <t xml:space="preserve">B18-MY-013</t>
  </si>
  <si>
    <t xml:space="preserve">Sun Perlindungan-i Master Contract</t>
  </si>
  <si>
    <t xml:space="preserve">1, 2, 3, 7, 8, 9, 21, 56</t>
  </si>
  <si>
    <t xml:space="preserve">1, 9, 21, 56</t>
  </si>
  <si>
    <t xml:space="preserve">regional-20261025-22d5ebe338cb0b0a</t>
  </si>
  <si>
    <t xml:space="preserve">22d5ebe338cb0b0a7aaa9c3a477290b8fbaa94ac03da3a21a69621538d8c999d</t>
  </si>
  <si>
    <t xml:space="preserve">base_issuer_in_operative_body: Sun Life Malaysia Takaful Berhad
product_name: Sun Perlindungan-i
annexure_prefix: SPG
base_defined_you: Pragya Sukha Sdn Bhd
observed_dated_endorsements: 
version_boundary_note: Observed reference codes, title years and endorsement dates do not establish base edition, current version, individual applicability or adoption.</t>
  </si>
  <si>
    <t xml:space="preserve">Pragya Sukha is observed as base-defined you; explicit schedule/master-holder capacity was not separately verified.
No base-version date or full language/package reconciliation established.</t>
  </si>
  <si>
    <t xml:space="preserve">p1 explicitly identifies Sun Life Malaysia Takaful / Master Contract / Sun Perlindungan-i. p9 defines issuer and Pragya Sukha Sdn Bhd as you and starts the contribution-based constitution. p21 SPG006 has operative conditional TPD payment; p56 is terminal Malay SPG011, printed 28 of 28.
Pragya Sukha remains an observed defined counterparty, not a verified schedule-holder or source-owner reassignment.</t>
  </si>
  <si>
    <t xml:space="preserve">https://www.sunlifemalaysia.com/getContentAsset/fc765617-b16b-432d-ad37-edee2e48a9c0/826411a5-9a44-43a6-8410-a7ad95da6d70/Sun-Perlindungan-i-Master-Contract.pdf</t>
  </si>
  <si>
    <t xml:space="preserve">B18-MY-013:accepted-role-only:20261026</t>
  </si>
  <si>
    <t xml:space="preserve">B18-MY-014</t>
  </si>
  <si>
    <t xml:space="preserve">Sun Wealth Protect-i Master Contract</t>
  </si>
  <si>
    <t xml:space="preserve">1, 17, 18, 19, 24, 25, 35, 39, 105</t>
  </si>
  <si>
    <t xml:space="preserve">1, 17, 24, 25, 35, 105</t>
  </si>
  <si>
    <t xml:space="preserve">regional-20261025-af447ec910b35f11</t>
  </si>
  <si>
    <t xml:space="preserve">af447ec910b35f111a7e9dc73d236be0ca47b5104beec5534f45d3df65374c5b</t>
  </si>
  <si>
    <t xml:space="preserve">base_issuer_in_operative_body: Sun Life Malaysia Takaful Berhad
product_name: Sun Wealth Protect-i
master_reference_code: SWP0917 (endorsement)
base_defined_you: master contract holder as shown in master contract schedule
observed_dated_endorsements: 1 July 2025
version_boundary_note: Observed reference codes, title years and endorsement dates do not establish base edition, current version, individual applicability or adoption.</t>
  </si>
  <si>
    <t xml:space="preserve">Do not merge with MY-015: same base title is not proof of same variant/current edition; MY-014 defines you as master holder while MY-015 defines certificate owner.
Master holder/schedule and uninspected endorsements remain unverified.
P1 amendment annexure label and other internal numbering require full reconciliation.</t>
  </si>
  <si>
    <t xml:space="preserve">p1 SWP0917 Sun Wealth Protect-i endorsement is dated 1 July 2025; p17 is a matching base cover. p24 defines Sun Life Malaysia Takaful and you as schedule master holder; p25 is operative contract constitution and p35 SWP005 death payment. p105 is terminal Malay continuation printed 45 of 45.
Do not merge with MY-015: different exact bytes and different defined counterpart. The p1 amendment annexure identifier is not reconciled to base SWP labels.</t>
  </si>
  <si>
    <t xml:space="preserve">https://www.sunlifemalaysia.com/getContentAsset/6ec3fca9-476d-4bc5-b022-0f92752398f5/826411a5-9a44-43a6-8410-a7ad95da6d70/15-Sun-Wealth-Protect-i-Master-Contract-Website-_0725.pdf?language=en</t>
  </si>
  <si>
    <t xml:space="preserve">B18-MY-014:accepted-role-only:20261026</t>
  </si>
  <si>
    <t xml:space="preserve">B18-MY-015</t>
  </si>
  <si>
    <t xml:space="preserve">Sun Wealth Protect-i Master Contract (SLMT)</t>
  </si>
  <si>
    <t xml:space="preserve">1, 2, 3, 7, 8, 9, 19, 24, 89</t>
  </si>
  <si>
    <t xml:space="preserve">1, 8, 9, 19, 89</t>
  </si>
  <si>
    <t xml:space="preserve">regional-20261025-dddb09da3fb6f60d</t>
  </si>
  <si>
    <t xml:space="preserve">dddb09da3fb6f60d63de385744e99f53a37f647caacf1c32f8e27ebe6e80fba2</t>
  </si>
  <si>
    <t xml:space="preserve">base_issuer_in_operative_body: Sun Life Malaysia Takaful Berhad
product_name: Sun Wealth Protect-i
annexure_prefix: SWP
base_defined_you: certificate owner as shown in certificate of takaful
observed_dated_endorsements: 
version_boundary_note: Observed reference codes, title years and endorsement dates do not establish base edition, current version, individual applicability or adoption.</t>
  </si>
  <si>
    <t xml:space="preserve">SLMT label and filename date are source labels, not independently established edition dates.
No version/date inferred from formatting or comparison with MY-014; separate bytes/records preserved.
Schedule, contract counterpart applicability and full multilingual equivalence remain unresolved.</t>
  </si>
  <si>
    <t xml:space="preserve">p1 explicitly identifies Sun Life Malaysia Takaful / Master Contract / Sun Wealth Protect-i with PIDM notice. p8 defines issuer and you as certificate owner; p9 provides operative constitution and p19 SWP005 death payment. p89 is terminal Malay continuation printed 46 of 46.
No SLMT or filename-derived edition date adopted; counterpart difference from MY-014 retained.</t>
  </si>
  <si>
    <t xml:space="preserve">https://www.sunlifemalaysia.com/getContentAsset/06c241e8-551e-42ae-b4a6-f2ecc8e8b988/826411a5-9a44-43a6-8410-a7ad95da6d70/Web-Sun-Wealth-Protect-i-Master-Contract_SLMT_20260801.pdf</t>
  </si>
  <si>
    <t xml:space="preserve">B18-MY-015:accepted-role-only:20261026</t>
  </si>
  <si>
    <t xml:space="preserve">B18-MY-016</t>
  </si>
  <si>
    <t xml:space="preserve">Mortgage Reducing Term Takaful with Refund of Contribution (MRTT ROC)</t>
  </si>
  <si>
    <t xml:space="preserve">main_contract_with_endorsements_and_integrated_roc_benefit_variant_unresolved</t>
  </si>
  <si>
    <t xml:space="preserve">1, 7, 8, 9, 10, 11, 13, 19, 20, 25, 47</t>
  </si>
  <si>
    <t xml:space="preserve">1, 7, 8, 10, 11, 19, 47</t>
  </si>
  <si>
    <t xml:space="preserve">regional-20261025-2c7725270f76af8d</t>
  </si>
  <si>
    <t xml:space="preserve">2c7725270f76af8d58c017ce5e3cf93f400b109acdcb043e5529fd32f984e24a</t>
  </si>
  <si>
    <t xml:space="preserve">base_issuer_in_operative_body: Sun Life Malaysia Takaful Berhad
product_name: Group Mortgage Reducing Term Takaful with Refund of Contribution Rider (MRTT ROC)
observed_variant: Business Financing (base footer and operative eligibility)
master_reference_code: MROC0220 (endorsement)
observed_dated_endorsements: 6 December 2025
base_defined_you: master contract holder as stated in master contract schedule
version_boundary_note: Observed reference codes, title years and endorsement dates do not establish base edition, current version, individual applicability or adoption.</t>
  </si>
  <si>
    <t xml:space="preserve">Frozen generic MRTT ROC target omits Business Financing qualification observed in operative body. Unqualified primary mapping withheld pending variant/schedule reconciliation; source record unchanged.
Rider wording in cover does not make the whole file rider-only; main contract and integrated contribution-return-related payment text are actually observed.
Full rider relationship, schedule and endorsement reconciliation remain pending.
Independent QA additionally observed a schedule-defined counterpart; no named holder was established.</t>
  </si>
  <si>
    <t xml:space="preserve">p1 identifies MROC0220 and a 6 December 2025 endorsement. p7 titles the master contract with Refund of Contribution Rider; p8 explicitly has Business Financing footer, p10 defines issuer and schedule-holder counterpart, p11 operative constitution and business-financing applicant eligibility, and p19 reducing death sum plus rider contributions. p47 is terminal Malay formula printed 21 of 21.
Not rider-only: an operative master contract is observed. Generic frozen target does not establish the Business Financing variant, so primary-target mapping stays withheld.</t>
  </si>
  <si>
    <t xml:space="preserve">Business Financing qualification observed in operative body is absent from generic frozen target; variant/schedule mapping unresolved.</t>
  </si>
  <si>
    <t xml:space="preserve">https://www.sunlifemalaysia.com/getContentAsset/ec520ee3-6d0a-4622-935d-47b0f0290cf5/826411a5-9a44-43a6-8410-a7ad95da6d70/7-Group-Mortgage-Reducing-Term-Takaful-Master-Contract-MRTT-with-ROC-_1225.pdf?language=en</t>
  </si>
  <si>
    <t xml:space="preserve">B18-MY-016:accepted-role-only:20261026</t>
  </si>
  <si>
    <t xml:space="preserve">B18-MY-017</t>
  </si>
  <si>
    <t xml:space="preserve">Mortgage Reducing Term Takaful with Funeral Benefit 2024 (MRTT)</t>
  </si>
  <si>
    <t xml:space="preserve">main_contract_with_endorsement_malay</t>
  </si>
  <si>
    <t xml:space="preserve">1, 2, 3, 5, 6, 7, 17, 27</t>
  </si>
  <si>
    <t xml:space="preserve">1, 2, 5, 7, 17, 27</t>
  </si>
  <si>
    <t xml:space="preserve">regional-20261025-8c41fd47fd040236</t>
  </si>
  <si>
    <t xml:space="preserve">8c41fd47fd040236237c2c5d476f4cfb55516e996220404c1ae0e567fcf65f70</t>
  </si>
  <si>
    <t xml:space="preserve">base_issuer_in_operative_body: Sun Life Malaysia Takaful Berhad
product_name: Takaful Pengurangan Tempoh Gadai Janji dengan Manfaat Khairat Kematian 2024
master_reference_code: MRTTFB24 (endorsement)
observed_dated_endorsements: 1 Julai 2025
base_defined_you: master contract holder as stated in master contract schedule
version_boundary_note: Observed reference codes, title years and endorsement dates do not establish base edition, current version, individual applicability or adoption.</t>
  </si>
  <si>
    <t xml:space="preserve">2024 is observed in title; not evidence of current-edition adoption.
Printed totals vary (24/25 and final 26 of25); no completeness inferred.
Master schedule and named holder remain unverified; sampled Malay anchors only, not full legal/language review.
Independent QA additionally observed a schedule-defined counterpart; no named holder was established.</t>
  </si>
  <si>
    <t xml:space="preserve">p1 identifies the Malay funeral-benefit 2024 title/MRTTFB24 and 1 Julai 2025 endorsement; p2 has the same title and Kontrak Induk. p5 explicitly defines Kami as Sun Life Malaysia Takaful and Anda by the master-contract schedule. p7 contains operative constitution, p17 MRTT007 conditional TPD payment, and p27 terminal MRTT013 formula printed 26 of 25.
Limited Malay identity/role anchors only; no English-counterpart inference, complete legal translation or current-edition adoption. Named schedule holder remains null.</t>
  </si>
  <si>
    <t xml:space="preserve">https://www.sunlifemalaysia.com/getContentAsset/0d9d4e55-1e2d-40cc-a384-29679e8a3ff4/826411a5-9a44-43a6-8410-a7ad95da6d70/9-MRTT-with-Funeral-Benefit-2024-MRTT-Website-_0725.pdf?language=en</t>
  </si>
  <si>
    <t xml:space="preserve">B18-MY-017:accepted-role-only:20261026</t>
  </si>
  <si>
    <t xml:space="preserve">B18-KH-018</t>
  </si>
  <si>
    <t xml:space="preserve">composite_english_basic_policy_medical_rider_services_khmer_unresolved</t>
  </si>
  <si>
    <t xml:space="preserve">1, 25, 46, 52, 53, 55, 61, 65, 66, 75, 84, 91</t>
  </si>
  <si>
    <t xml:space="preserve">1, 53, 55, 65, 66, 84, 91</t>
  </si>
  <si>
    <t xml:space="preserve">regional-20261025-4b414b3c8f4df54f</t>
  </si>
  <si>
    <t xml:space="preserve">4b414b3c8f4df54fd38b15069402ca2cd358672fae61ad83cb7e3465aa34c02a</t>
  </si>
  <si>
    <t xml:space="preserve">base_issuer_in_operative_body: AIA (Cambodia) Life Insurance Plc. (English p53)
observed_base_title: INSURANCE POLICY AIA [Khmer product name not reliably transcribed]
observed_services_title: AIA SAMRAB SOKAPHEAB complementary value-added services/benefits
form_number: [IMR0] observed on medical English cover p65
version_boundary_note: Observed reference codes, title years and endorsement dates do not establish base edition, current version, individual applicability or adoption.</t>
  </si>
  <si>
    <t xml:space="preserve">Khmer language/title/sections remain unresolved and are not inferred from filename, source label or English counterpart.
English basic policy + medical rider + services are observed as a composite; package completeness/attachment applicability is not established.
Frozen AIA Chambong transliteration not independently validated from Khmer title; primary target mapping withheld.
Copy-permitted ordinary text attempts on p1/46/47/60/75/91 yielded sparse unreadable body; no OCR, and failed text attempts do not count as verified anchors.</t>
  </si>
  <si>
    <t xml:space="preserve">p1 contains AIA logo and IMR0 with Khmer title/contents that QA does not semantically validate. p53 English Basic Policy definitions name AIA (Cambodia) Life Insurance Plc.; p55 gives death/TPD promises. p65 medical cover is labelled Insurance Policy, but p66 expressly defines that section as a Rider attaching to Basic Policy. p84 separately titles AIA SAMRAB SOKAPHEAB complementary value-added services/benefits; p91 is terminal service exclusion continuation.
Composite English main/rider/services structure accepted only. Khmer title, Chambong transliteration, semantic equivalence and attachment applicability remain unresolved; no unqualified primary-target mapping.</t>
  </si>
  <si>
    <t xml:space="preserve">Khmer basic-product identity and source transliteration unresolved within composite main/rider/services file.</t>
  </si>
  <si>
    <t xml:space="preserve">https://www.aia.com.kh/en/products/health/medical-protection/aia-somrab-sokhapheap</t>
  </si>
  <si>
    <t xml:space="preserve">https://www.aia.com.kh/content/dam/kh-wise/policy-contract/AIA-PolicyContract-SamrabSokapheab-AIA-Chambong.pdf</t>
  </si>
  <si>
    <t xml:space="preserve">B18-KH-018:accepted-role-only:20261026</t>
  </si>
  <si>
    <t xml:space="preserve">B18-KH-019</t>
  </si>
  <si>
    <t xml:space="preserve">main_policy_with_iema_rider_english_observed_khmer_unresolved</t>
  </si>
  <si>
    <t xml:space="preserve">1, 21, 22, 24, 34, 40</t>
  </si>
  <si>
    <t xml:space="preserve">regional-20261025-5afad175725a0d1d</t>
  </si>
  <si>
    <t xml:space="preserve">5afad175725a0d1df646fb6076379823cc7acfb17329be111256fbefe7624f24</t>
  </si>
  <si>
    <t xml:space="preserve">base_issuer_in_operative_body: Forte Insurance (Cambodia) Plc. (English p22)
product_name: Personal Accident and International Emergency Medical Assistance Insurance (English)
rider_name: Rider of International Emergency Medical Assistance (IEMA)
version_boundary_note: Observed reference codes, title years and endorsement dates do not establish base edition, current version, individual applicability or adoption.</t>
  </si>
  <si>
    <t xml:space="preserve">File-level main-containing proposal is limited to actually inspected English wording; Khmer semantics/equivalence remains unresolved.
No current edition date, complete attachment schedule or rider applicability verified.</t>
  </si>
  <si>
    <t xml:space="preserve">p1 has Forte branding and English issuer footer, but Khmer wording is not semantically validated. p21 provides the exact English target title and contents listing IEMA rider; p22 expressly names Forte Insurance (Cambodia) Plc. and operative proposal/premium promise. p24 has contract composition and coverage promise, p34 explicit IEMA rider cover, p40 terminal rider continuation printed 20 of 20.
File-level primary support limited to actually observed English main wording; not Khmer validation, complete package adoption or rider applicability.</t>
  </si>
  <si>
    <t xml:space="preserve">https://www.forteinsurance.com/individuals-and-families/personal-accident-and-international-emergency-medical-assistance-insurance/</t>
  </si>
  <si>
    <t xml:space="preserve">https://www.forteinsurance.com/uploads/PAEvacuation/PA%20Evacuation%20Wording%20KH-EN.pdf</t>
  </si>
  <si>
    <t xml:space="preserve">B18-KH-019:accepted-role-only:20261026</t>
  </si>
  <si>
    <t xml:space="preserve">B18-KH-020</t>
  </si>
  <si>
    <t xml:space="preserve">main_master_policy_with_covid_endorsement_and_benefit_summaries</t>
  </si>
  <si>
    <t xml:space="preserve">1, 2, 4, 5, 6, 7, 8, 10, 18</t>
  </si>
  <si>
    <t xml:space="preserve">1, 5, 7, 10, 18</t>
  </si>
  <si>
    <t xml:space="preserve">regional-20261025-5db728f5ad0d6fb9</t>
  </si>
  <si>
    <t xml:space="preserve">5db728f5ad0d6fb900494904e13ca464260e1fc45336f239ec12f489a544dc14</t>
  </si>
  <si>
    <t xml:space="preserve">base_issuer_in_operative_body: Forte Insurance (Cambodia) Plc.
product_name: Tune Protect Travel - AirAsia
source_historical_cutoff: Prior to 14 June 2023: source selection label only, not body-verified
version_boundary_note: Observed reference codes, title years and endorsement dates do not establish base edition, current version, individual applicability or adoption.</t>
  </si>
  <si>
    <t xml:space="preserve">Source-page prior-to-14-June-2023 selection label is not independently established by sampled body; no current-version or historical applicability adoption.
COVID endorsement, summaries and base page numbering/relationships not fully reconciled; not a package-completeness conclusion.
Observed Plus Comprehensive Plan label in COVID endorsement schedule is not verification of any selected plan/certificate applicability or exact frozen product-plan mapping.</t>
  </si>
  <si>
    <t xml:space="preserve">Copy permission was independently verified before bounded ordinary text reads. p1 identifies Tune Protect Travel-AirAsia and attached COVID-19 endorsement; p5 is Return Plan summary and distinguishes operative policy wording. p7 expressly names Forte Insurance (Cambodia) Plc. and Master Policy agreement; p10 has conditional accident payment; p18 gives Forte sole responsibility and terminal base provisions.
Plus Comprehensive Plan appears within p1 COVID extension schedule; no selected plan/certificate applicability or source historical cutoff was verified. The role observation is not a primary product-plan mapping or current edition claim.</t>
  </si>
  <si>
    <t xml:space="preserve">https://www.tuneprotect.com/airasia/cambodia/en/product/comprehensive-travel-insurance-plus-plan/</t>
  </si>
  <si>
    <t xml:space="preserve">https://s3.ap-southeast-1.amazonaws.com/tuneprotect.com/airasia/tpaa/sites/8/TPAA_CA_PW_DuoPlan_prior14June2023.pdf</t>
  </si>
  <si>
    <t xml:space="preserve">B18-KH-020:accepted-role-only:20261026</t>
  </si>
  <si>
    <t xml:space="preserve">前次角色工单</t>
  </si>
  <si>
    <t xml:space="preserve">现存物理页</t>
  </si>
  <si>
    <t xml:space="preserve">执行展示页</t>
  </si>
  <si>
    <t xml:space="preserve">执行语义页</t>
  </si>
  <si>
    <t xml:space="preserve">独立QA展示页</t>
  </si>
  <si>
    <t xml:space="preserve">独立QA语义页</t>
  </si>
  <si>
    <t xml:space="preserve">语言未解页</t>
  </si>
  <si>
    <t xml:space="preserve">内容审读结果</t>
  </si>
  <si>
    <t xml:space="preserve">文件严格状态</t>
  </si>
  <si>
    <t xml:space="preserve">独立QA结论</t>
  </si>
  <si>
    <t xml:space="preserve">已验收全文增量</t>
  </si>
  <si>
    <t xml:space="preserve">已验收部分增量</t>
  </si>
  <si>
    <t xml:space="preserve">已验收严格增量</t>
  </si>
  <si>
    <t xml:space="preserve">主角色新增</t>
  </si>
  <si>
    <t xml:space="preserve">全审计量页数</t>
  </si>
  <si>
    <t xml:space="preserve">私有内容元数据包</t>
  </si>
  <si>
    <t xml:space="preserve">严格理由与实质未解</t>
  </si>
  <si>
    <t xml:space="preserve">身份与版次限制</t>
  </si>
  <si>
    <t xml:space="preserve">语言边界</t>
  </si>
  <si>
    <t xml:space="preserve">页序与缺件限制</t>
  </si>
  <si>
    <t xml:space="preserve">独立QA纠正</t>
  </si>
  <si>
    <t xml:space="preserve">执行逐页证明</t>
  </si>
  <si>
    <t xml:space="preserve">独立QA逐页证明</t>
  </si>
  <si>
    <t xml:space="preserve">批次冻结UTC</t>
  </si>
  <si>
    <t xml:space="preserve">内容验收条件</t>
  </si>
  <si>
    <t xml:space="preserve">任务唯一性</t>
  </si>
  <si>
    <t xml:space="preserve">读取方法及权利</t>
  </si>
  <si>
    <t xml:space="preserve">其他计数边界</t>
  </si>
  <si>
    <t xml:space="preserve">B19-MY-001</t>
  </si>
  <si>
    <t xml:space="preserve">B19</t>
  </si>
  <si>
    <t xml:space="preserve">现存页全审</t>
  </si>
  <si>
    <t xml:space="preserve">verified</t>
  </si>
  <si>
    <t xml:space="preserve">已通过</t>
  </si>
  <si>
    <t xml:space="preserve">全28页已审。MRTT002附表未提供、正文页脚连续1–22／标24页均披露；未发现实质正文或身份冲突，按文件级口径严格通过，不代表个人齐套。</t>
  </si>
  <si>
    <t xml:space="preserve">Sun Life Malaysia Takaful Berhad；LPPSA持有人由附批支持。MRTTFB18、2018标题及2019／2020批单日期不等于基础版次或当前采用。</t>
  </si>
  <si>
    <t xml:space="preserve">28页马来文已完整语义审读；无英文对应本，不作双语等同或认证翻译。</t>
  </si>
  <si>
    <t xml:space="preserve">物理7–28页对应连续页脚1–22，标总24。缺MRTT002附表，不能据分母推定恰好少两页正文。2019／2020批单仅优先于其明确修改范围。</t>
  </si>
  <si>
    <t xml:space="preserve">无追加纠正；原角色限制保留。</t>
  </si>
  <si>
    <t xml:space="preserve">delivery-batch19-20261026/partition1/B19-MY-001-page-proof.json</t>
  </si>
  <si>
    <t xml:space="preserve">qa-b19-full-review-20261026/my/page-review-proof.json</t>
  </si>
  <si>
    <t xml:space="preserve">Permission/hash preflight before content. Every present page independently visually semantically read. No restricted text extraction, OCR, print, password, unlock, security changes or network.</t>
  </si>
  <si>
    <t xml:space="preserve">新增原件、当前采用、齐套、独立产品、产品缺口闭合均0。历史角色工单不重计。</t>
  </si>
  <si>
    <t xml:space="preserve">B19-MY-002</t>
  </si>
  <si>
    <t xml:space="preserve">needs_review</t>
  </si>
  <si>
    <t xml:space="preserve">33页已全审，严格待核：双方语文均未提供被纳入的Appendix II现金价值公式；2015税务条款29与2020新增变更条款29冲突未协调。</t>
  </si>
  <si>
    <t xml:space="preserve">现行文件主体Sun Life Malaysia Takaful Berhad；保留历史CIMB Aviva及2013更名通知。来源具名持有人／版次不自动采用。</t>
  </si>
  <si>
    <t xml:space="preserve">33页英文／马来文均已完整审读；FATCA措辞不完全直译，不推定英文优先或认证等同。</t>
  </si>
  <si>
    <t xml:space="preserve">英文正文连续2–11（标12页），马来文2–12（标13页）；均止于Appendix I。缺II现金价值公式属于实质引用缺件；另缺III／IV表及具名附表。</t>
  </si>
  <si>
    <t xml:space="preserve">delivery-batch19-20261026/partition1/B19-MY-002-page-proof.json</t>
  </si>
  <si>
    <t xml:space="preserve">B19-MY-003</t>
  </si>
  <si>
    <t xml:space="preserve">27页已全审，严格待核：2025制裁批单指向SCI003而正文是MRTT003；净供款在参与者账户按月扣tabarru与全数转风险基金的正文安排未协调。</t>
  </si>
  <si>
    <t xml:space="preserve">Sun Life Malaysia Takaful Berhad；MRTTFB24。2025批单日期不证明基础版次或现行采用；具名持有人未由缺失附表核定。</t>
  </si>
  <si>
    <t xml:space="preserve">27页马来文已完整审读；无英文对应本。已纠正：供款和利润均不获保证。</t>
  </si>
  <si>
    <t xml:space="preserve">目录列MRTT002附表位于页脚3但未提供；正文页脚2后接4，现存4–26连续。末页26／25及目录偏移保留，不推定更多尾页缺失。</t>
  </si>
  <si>
    <t xml:space="preserve">delivery-batch19-20261026/partition1/B19-MY-003-page-proof.json</t>
  </si>
  <si>
    <t xml:space="preserve">B19-KH-004</t>
  </si>
  <si>
    <t xml:space="preserve">部分语义审读</t>
  </si>
  <si>
    <t xml:space="preserve">仅部分语义审读。40页均展示，英文20页已完整读，高棉文20页语义未解。英文主表事件6／附约事件7及子女最低14岁／14天差异保留。</t>
  </si>
  <si>
    <t xml:space="preserve">Forte Insurance。保留来源产品／历史截止日期限制，不从文件角色推定个人签发、现行版次、当前采用或产品闭合。</t>
  </si>
  <si>
    <t xml:space="preserve">高棉文物理1–20仅结构及数字观察；英文21–40已完整语义审读。双语等同与优先关系未核定，不能以40页展示冒充全文。</t>
  </si>
  <si>
    <t xml:space="preserve">主英文Section II第7行指事件6，附约用事件7（物理28／37）；子女最低年龄14岁／14天（物理22／35）不可静默修正。</t>
  </si>
  <si>
    <t xml:space="preserve">Additional English dependant child minimum-age difference found at physical pp22/35.
All40 displayed, but only English physical21-40 semantically read; Khmer1-20 not counted as full reading.</t>
  </si>
  <si>
    <t xml:space="preserve">delivery-batch19-20261026/partition2/B19-KH-004/page-proof.json</t>
  </si>
  <si>
    <t xml:space="preserve">qa-b19-full-review-20261026/kh/page-review-proof.json</t>
  </si>
  <si>
    <t xml:space="preserve">Independent source archive/member hashes and permissions verified before content. PA ordinary read-only visual only; Tune ordinary copy-permitted private text plus every-page visual. All source and executor files preserved.</t>
  </si>
  <si>
    <t xml:space="preserve">B19-KH-005</t>
  </si>
  <si>
    <t xml:space="preserve">18页英文已全审，严格待核：76岁以上福利与75岁以上除外、婴儿医疗扩展与仅意外定义、Return离境暂停／终止的实质矛盾保留。</t>
  </si>
  <si>
    <t xml:space="preserve">Forte为保险人，AirAsia Berhad为主保单持有人（物理17）。未核定选定Plus／Plan 10／25／50、个人签发或当前采用。</t>
  </si>
  <si>
    <t xml:space="preserve">18页英文以允许复制的普通文字及逐页视觉核读。无双语对应本；COVID批单仅优先其修改，不泛化成疫情除外冲突。</t>
  </si>
  <si>
    <t xml:space="preserve">物理7及8页页脚均确认为5；物理9–18对应6–15，重复／重启不证明具体正文缺页。另保留自然灾害承保／除外、延误&gt;2／≥2小时、交通工具及诉讼措辞疑点。</t>
  </si>
  <si>
    <t xml:space="preserve">Physical8 visible footer5 positively confirmed, replacing prior footer uncertainty; physical7 also printed5.
All listed material age/infant/duration issues directly checked in both permitted text and ordinary visual display.
No generic COVID/pandemic conflict asserted: explicit COVID endorsement controls its modifications.</t>
  </si>
  <si>
    <t xml:space="preserve">delivery-batch19-20261026/partition2/B19-KH-005/page-proof.json</t>
  </si>
  <si>
    <t xml:space="preserve">来源保司</t>
  </si>
  <si>
    <t xml:space="preserve">来源产品标签</t>
  </si>
  <si>
    <t xml:space="preserve">本批决定</t>
  </si>
  <si>
    <t xml:space="preserve">既存原件SHA-256</t>
  </si>
  <si>
    <t xml:space="preserve">既存归属ID</t>
  </si>
  <si>
    <t xml:space="preserve">既存材料ID</t>
  </si>
  <si>
    <t xml:space="preserve">原主文标记</t>
  </si>
  <si>
    <t xml:space="preserve">接受后主文标记</t>
  </si>
  <si>
    <t xml:space="preserve">历史全文完成</t>
  </si>
  <si>
    <t xml:space="preserve">历史审读状态</t>
  </si>
  <si>
    <t xml:space="preserve">新增合同包</t>
  </si>
  <si>
    <t xml:space="preserve">新增闭合</t>
  </si>
  <si>
    <t xml:space="preserve">主角色增量</t>
  </si>
  <si>
    <t xml:space="preserve">唯一工单计数</t>
  </si>
  <si>
    <t xml:space="preserve">本行范围核对</t>
  </si>
  <si>
    <t xml:space="preserve">既存物理页数</t>
  </si>
  <si>
    <t xml:space="preserve">本批读取范围</t>
  </si>
  <si>
    <t xml:space="preserve">未解与身份版次限制</t>
  </si>
  <si>
    <t xml:space="preserve">方法与观察边界</t>
  </si>
  <si>
    <t xml:space="preserve">原来源入口</t>
  </si>
  <si>
    <t xml:space="preserve">接受证据</t>
  </si>
  <si>
    <t xml:space="preserve">历史审读时间UTC</t>
  </si>
  <si>
    <t xml:space="preserve">原生标识状态</t>
  </si>
  <si>
    <t xml:space="preserve">实际发布状态</t>
  </si>
  <si>
    <t xml:space="preserve">B20-ID-001</t>
  </si>
  <si>
    <t xml:space="preserve">B20</t>
  </si>
  <si>
    <t xml:space="preserve">PT Asuransi Sinar Mas</t>
  </si>
  <si>
    <t xml:space="preserve">Simas Travel Overseas 2024</t>
  </si>
  <si>
    <t xml:space="preserve">未取得主文</t>
  </si>
  <si>
    <t xml:space="preserve">20e8361470604539c28bb58ca91304d83b7a1326cb7c5d89445c2c837ad29833</t>
  </si>
  <si>
    <t xml:space="preserve">LABEL:b65679dd08faa721585f5ac3</t>
  </si>
  <si>
    <t xml:space="preserve">m-1e7b8e953081ed4e036fb4cb</t>
  </si>
  <si>
    <t xml:space="preserve">pending</t>
  </si>
  <si>
    <t xml:space="preserve">仅目视宣传册第1／5页；独立QA只复核SHA、页数与权限。</t>
  </si>
  <si>
    <t xml:space="preserve">主文仍缺。已记录3个RIPLAY／宣传册链接但未下载；链接变化不证明新SHA、当前采用或销售。</t>
  </si>
  <si>
    <t xml:space="preserve">官方产品页与公开除外介绍页的有限检查；不推断全站无公开合同。</t>
  </si>
  <si>
    <t xml:space="preserve">https://www.sinarmas.co.id/produk/simas-travel-overseas-proteksi-untuk-perjalanan-anda</t>
  </si>
  <si>
    <t xml:space="preserve">B20独立QA六项决定；PH-004含同工单补充</t>
  </si>
  <si>
    <t xml:space="preserve">原生ID缺失，不补造</t>
  </si>
  <si>
    <t xml:space="preserve">网站v122／索引v98已回验</t>
  </si>
  <si>
    <t xml:space="preserve">B20-ID-002</t>
  </si>
  <si>
    <t xml:space="preserve">Simas Rumah Hemat ++</t>
  </si>
  <si>
    <t xml:space="preserve">f1db9c2f9d796be1b9d7fb2bf6543c22442af40524f527bb12e97c1fc0f78053</t>
  </si>
  <si>
    <t xml:space="preserve">LABEL:2b98627c22eb6c65013b0144</t>
  </si>
  <si>
    <t xml:space="preserve">m-e33a45fb3f8759008936986b</t>
  </si>
  <si>
    <t xml:space="preserve">本批未重开原件正文；旧4页全文审读保留。</t>
  </si>
  <si>
    <t xml:space="preserve">主文及地震组件仍缺。2个支持链接未下载；中介授权与采用未核定。</t>
  </si>
  <si>
    <t xml:space="preserve">官方页与FAQ可读；中介页Cache miss为工具未命中，不是来源拒绝。</t>
  </si>
  <si>
    <t xml:space="preserve">https://www.sinarmas.co.id/personal/produk/simas-rumah-hemat-asuransi-untuk-rumah-tinggal-dengan-jaminan-lengkap</t>
  </si>
  <si>
    <t xml:space="preserve">B20-PH-003</t>
  </si>
  <si>
    <t xml:space="preserve">Starr International Insurance Philippines Branch</t>
  </si>
  <si>
    <t xml:space="preserve">TraveLead Short Term Travel Insurance</t>
  </si>
  <si>
    <t xml:space="preserve">既存主文标记纠正</t>
  </si>
  <si>
    <t xml:space="preserve">e09b1459a1981734333596af6255e810aee9fbe8885aeac57c868e273c401f36</t>
  </si>
  <si>
    <t xml:space="preserve">LABEL:3373beb13e639e62b8970f42</t>
  </si>
  <si>
    <t xml:space="preserve">m-6b2a2dffcbafdfb86c6efb62</t>
  </si>
  <si>
    <t xml:space="preserve">执行只读8／20页锚点。QA复核两端与8–20页页脚；不是新全篇审读。</t>
  </si>
  <si>
    <t xml:space="preserve">既存20页合订含宣传1–7及正式主文8–20（印页1–13）。02222016仅表单码，不证明签发／生效或现行采用。附表及个人凭证未证。</t>
  </si>
  <si>
    <t xml:space="preserve">官网入口无决定性新材料；结论依既存精确原件及历史全文证据。</t>
  </si>
  <si>
    <t xml:space="preserve">https://www.starrinsurance.com.ph/static/products/pdf/starr_ph/Policy_Wording_Single_Travel.pdf</t>
  </si>
  <si>
    <t xml:space="preserve">B20-PH-004</t>
  </si>
  <si>
    <t xml:space="preserve">Pru Life UK</t>
  </si>
  <si>
    <t xml:space="preserve">PRULove Wealth Direct</t>
  </si>
  <si>
    <t xml:space="preserve">8cd326e259539c8d802a67f4c7ffb93dc0a7dec949b9b625d9807144b4768d7d</t>
  </si>
  <si>
    <t xml:space="preserve">LABEL:e29f0499f81a7a396d1dbed6</t>
  </si>
  <si>
    <t xml:space="preserve">m-8f686acde4595124509bf809</t>
  </si>
  <si>
    <t xml:space="preserve">执行与QA仅第3页独立Policy Contract依赖锚点；旧3页全审保留。</t>
  </si>
  <si>
    <t xml:space="preserve">现存3页产品摘要不等于独立Policy Contract；追加浏览器观察仍未取得主文。</t>
  </si>
  <si>
    <t xml:space="preserve">初次HTTP200仅资源标记；后续普通浏览器转应用错误。无确认WAF／403。补充归同一PH-004工单。</t>
  </si>
  <si>
    <t xml:space="preserve">https://prushoppe.prulifeuk.com.ph/</t>
  </si>
  <si>
    <t xml:space="preserve">B20-TH-005</t>
  </si>
  <si>
    <t xml:space="preserve">Rabbit Life Insurance Public Company Limited</t>
  </si>
  <si>
    <t xml:space="preserve">health-protect</t>
  </si>
  <si>
    <t xml:space="preserve">9f2029405f02ab1c5157290acb0d3de1b30201deb27018a887d7a5bb17f603a4</t>
  </si>
  <si>
    <t xml:space="preserve">LABEL:52d5983a457c97f3ac57ea31</t>
  </si>
  <si>
    <t xml:space="preserve">m-a41927a60b35ce2913a500e1</t>
  </si>
  <si>
    <t xml:space="preserve">仅目视第1／3页，未读第2页；独立QA仅元数据复核。</t>
  </si>
  <si>
    <t xml:space="preserve">现存宣传册属补充医疗保障线索，不证明基础寿险主文或配套条款齐全。</t>
  </si>
  <si>
    <t xml:space="preserve">TH共享顺序批处理首个403后仍发出另外2个已知URL，三次403后停止；如实保留该例外，不称首拒即停。</t>
  </si>
  <si>
    <t xml:space="preserve">https://www.rabbitlife.co.th/th/products</t>
  </si>
  <si>
    <t xml:space="preserve">B20-TH-006</t>
  </si>
  <si>
    <t xml:space="preserve">hero-10-1</t>
  </si>
  <si>
    <t xml:space="preserve">f0ebb5ca0df52e70ec8e9f372087a12d44f932799df9d732f58fa80b8f52df7e</t>
  </si>
  <si>
    <t xml:space="preserve">LABEL:4a58be9273a418616546e1d8</t>
  </si>
  <si>
    <t xml:space="preserve">m-5062ae2e8fbf24566329da63</t>
  </si>
  <si>
    <t xml:space="preserve">本批未重开Hero正文；旧2页宣传册全审保留。</t>
  </si>
  <si>
    <t xml:space="preserve">Hero／Gold Hero别名为历史元数据；本批未取得正式主文。</t>
  </si>
  <si>
    <t xml:space="preserve">同一TH顺序批处理例外归本批历史；不据403推断公开合同不存在。</t>
  </si>
  <si>
    <t xml:space="preserve">B21-PH-001</t>
  </si>
  <si>
    <t xml:space="preserve">B21</t>
  </si>
  <si>
    <t xml:space="preserve">Paramount Life and General Insurance Corporation</t>
  </si>
  <si>
    <t xml:space="preserve">OFW Insurance</t>
  </si>
  <si>
    <t xml:space="preserve">f8ca9e2040dc2a18ae0379f52a89b28680840df0e183e8e868677e4384f71723</t>
  </si>
  <si>
    <t xml:space="preserve">LABEL:5887d5dd98dc3bfdc738966a</t>
  </si>
  <si>
    <t xml:space="preserve">m-f21678c449843ccc00725703</t>
  </si>
  <si>
    <t xml:space="preserve">12页页首角色扫描及有限首尾锚点；视觉页1、3、4、8、12，不是新逐页全文审读。</t>
  </si>
  <si>
    <t xml:space="preserve">样本合订：主文与附表1–7，附加条款8–11，批单12。SAMPLE与空白签发栏保留；旧needs_review、身份未解及合同包缺件未闭合。</t>
  </si>
  <si>
    <t xml:space="preserve">从既存私有归档核对同一原件。无新公共下载；只接受is_primary误分类纠正。</t>
  </si>
  <si>
    <t xml:space="preserve">https://www.paramount.com.ph/ofw-insurance</t>
  </si>
  <si>
    <t xml:space="preserve">B21接受角色行及验证记录</t>
  </si>
  <si>
    <t xml:space="preserve">旧存值</t>
  </si>
  <si>
    <t xml:space="preserve">真实基线</t>
  </si>
  <si>
    <t xml:space="preserve">当前值</t>
  </si>
  <si>
    <t xml:space="preserve">历史校准</t>
  </si>
  <si>
    <t xml:space="preserve">本批增量</t>
  </si>
  <si>
    <t xml:space="preserve">工单增量</t>
  </si>
  <si>
    <t xml:space="preserve">对账检查</t>
  </si>
  <si>
    <t xml:space="preserve">SEA</t>
  </si>
  <si>
    <t xml:space="preserve">现存文件标签</t>
  </si>
  <si>
    <t xml:space="preserve">既存原件ID</t>
  </si>
  <si>
    <t xml:space="preserve">历史角色工单</t>
  </si>
  <si>
    <t xml:space="preserve">现存物理页数</t>
  </si>
  <si>
    <t xml:space="preserve">执行逐页语义审读</t>
  </si>
  <si>
    <t xml:space="preserve">QA逐页显示</t>
  </si>
  <si>
    <t xml:space="preserve">QA逐页语义审读</t>
  </si>
  <si>
    <t xml:space="preserve">未读页数</t>
  </si>
  <si>
    <t xml:space="preserve">独立QA接受</t>
  </si>
  <si>
    <t xml:space="preserve">严格状态</t>
  </si>
  <si>
    <t xml:space="preserve">既存主文标记</t>
  </si>
  <si>
    <t xml:space="preserve">新增部分</t>
  </si>
  <si>
    <t xml:space="preserve">新增全审页数</t>
  </si>
  <si>
    <t xml:space="preserve">本行计量门槛</t>
  </si>
  <si>
    <t xml:space="preserve">独立QA汇总完成UTC</t>
  </si>
  <si>
    <t xml:space="preserve">归档成员与JSON定位</t>
  </si>
  <si>
    <t xml:space="preserve">未解事项摘要</t>
  </si>
  <si>
    <t xml:space="preserve">身份及版次边界</t>
  </si>
  <si>
    <t xml:space="preserve">分页及现存范围</t>
  </si>
  <si>
    <t xml:space="preserve">审读方法与限制</t>
  </si>
  <si>
    <t xml:space="preserve">源检查点定位</t>
  </si>
  <si>
    <t xml:space="preserve">来源归档SHA-256</t>
  </si>
  <si>
    <t xml:space="preserve">范围冻结UTC</t>
  </si>
  <si>
    <t xml:space="preserve">现存归档原件成员</t>
  </si>
  <si>
    <t xml:space="preserve">源检查点字节SHA</t>
  </si>
  <si>
    <t xml:space="preserve">B22-MY-001</t>
  </si>
  <si>
    <t xml:space="preserve">已接受</t>
  </si>
  <si>
    <t xml:space="preserve">full_present_file</t>
  </si>
  <si>
    <t xml:space="preserve">independent-qa.json#/documents/accepted-rows.json/0</t>
  </si>
  <si>
    <t xml:space="preserve">2020账户给付批单：英文含组合撤回给付，马来文未见对应项。HIV特定给付与一般除外需解释，不作绝对矛盾结论。</t>
  </si>
  <si>
    <t xml:space="preserve">参考码SHP0118；文件内主合同持有人：未建立。基础版次日期、个人签发及当前采用均未确认。</t>
  </si>
  <si>
    <t xml:space="preserve">英马基础印页2→9，SHP002及个人计划附表未建立；不推定缺失物理页。</t>
  </si>
  <si>
    <t xml:space="preserve">普通只读逐页图像显示，英／马来文直接语义审读；不提取文本、不OCR、不打印、不改变安全设置。复制／打印限制保留；不作法律许可或认证翻译推定。</t>
  </si>
  <si>
    <t xml:space="preserve">qa-b22-full-review-20261026/accepted-rows.json#/0</t>
  </si>
  <si>
    <t xml:space="preserve">d8dd60e6ef6061e4984143b9d891b5dd848b86f8833f800902ad758355a66515</t>
  </si>
  <si>
    <t xml:space="preserve">acquisition-regional-my-id-th/originals/MY-SUN-083_Sinar_Health_Plan_Master_Contract_199b9808ba.pdf</t>
  </si>
  <si>
    <t xml:space="preserve">903ca9df26162b2eabeecf73d67c2541c99f9e009fc3c4ab4f62d365cfaad87d</t>
  </si>
  <si>
    <t xml:space="preserve">网站v123／索引v99已回验</t>
  </si>
  <si>
    <t xml:space="preserve">B22-MY-002</t>
  </si>
  <si>
    <t xml:space="preserve">independent-qa.json#/documents/accepted-rows.json/1</t>
  </si>
  <si>
    <t xml:space="preserve">2020账户条款18.1英马文本扣费基础不同；18.2另有每月转账，不据此认定实际双重收费。</t>
  </si>
  <si>
    <t xml:space="preserve">参考码["THP0714","THP1114"]；文件内主合同持有人：未建立。基础版次日期、个人签发及当前采用均未确认。</t>
  </si>
  <si>
    <t xml:space="preserve">英马基础印页2→9，THP002及个人计划附表未建立。</t>
  </si>
  <si>
    <t xml:space="preserve">qa-b22-full-review-20261026/accepted-rows.json#/1</t>
  </si>
  <si>
    <t xml:space="preserve">acquisition-regional-my-id-th/originals/MY-SUN-084_Takaful_Health_Plan_Master_Contract_44fe7b77f5.pdf</t>
  </si>
  <si>
    <t xml:space="preserve">B22-MY-003</t>
  </si>
  <si>
    <t xml:space="preserve">independent-qa.json#/documents/accepted-rows.json/2</t>
  </si>
  <si>
    <t xml:space="preserve">未替换15.3(d)保障届满年龄英文70／马来文75；TPD历史差异按2019批单适用队列区分。另有续保与骨折范围差异。</t>
  </si>
  <si>
    <t xml:space="preserve">参考码SMS1216；文件内主合同持有人：Bank Islam Malaysia Berhad。基础版次日期、个人签发及当前采用均未确认。</t>
  </si>
  <si>
    <t xml:space="preserve">现存77物理页全部审读；2019替换条款按证书队列适用。</t>
  </si>
  <si>
    <t xml:space="preserve">qa-b22-full-review-20261026/accepted-rows.json#/2</t>
  </si>
  <si>
    <t xml:space="preserve">acquisition-regional-my-id-th/originals/MY-SUN-085_Sun_Mozi_Protect_Senior_Master_Contract_ff48df2f60.pdf</t>
  </si>
  <si>
    <t xml:space="preserve">B22-MY-004</t>
  </si>
  <si>
    <t xml:space="preserve">independent-qa.json#/documents/accepted-rows.json/3</t>
  </si>
  <si>
    <t xml:space="preserve">2020批单引用SMS003而基础附件为SMH003；续保年次及退保时点双语表述待核。</t>
  </si>
  <si>
    <t xml:space="preserve">参考码SMH0117；文件内主合同持有人：CIMB Bank Berhad。基础版次日期、个人签发及当前采用均未确认。</t>
  </si>
  <si>
    <t xml:space="preserve">现存80物理页全部审读；代码引用与正文关联待核。</t>
  </si>
  <si>
    <t xml:space="preserve">qa-b22-full-review-20261026/accepted-rows.json#/3</t>
  </si>
  <si>
    <t xml:space="preserve">acquisition-regional-my-id-th/originals/MY-SUN-086_Sun_Mozi_Shield-i_Master_Contract_48d6deaa31.pdf</t>
  </si>
  <si>
    <t xml:space="preserve">B22-MY-005</t>
  </si>
  <si>
    <t xml:space="preserve">independent-qa.json#/documents/accepted-rows.json/4</t>
  </si>
  <si>
    <t xml:space="preserve">英文给付表页脚为LiveLife，与LiveActive封面、邻页及马来文表不一致。SID剩余身故给付与终止条款仅属协调问题。</t>
  </si>
  <si>
    <t xml:space="preserve">参考码BSN-LA001-02052013；文件内主合同持有人：未建立。基础版次日期、个人签发及当前采用均未确认。</t>
  </si>
  <si>
    <t xml:space="preserve">现存74物理页全部审读；表页脚身份冲突保留。</t>
  </si>
  <si>
    <t xml:space="preserve">qa-b22-full-review-20261026/accepted-rows.json#/4</t>
  </si>
  <si>
    <t xml:space="preserve">acquisition-regional-my-id-th/originals/MY-SUN-053_LiveActive_Master_Contract_a8ea43c046.pdf</t>
  </si>
  <si>
    <t xml:space="preserve">B22-MY-006</t>
  </si>
  <si>
    <t xml:space="preserve">independent-qa.json#/documents/accepted-rows.json/5</t>
  </si>
  <si>
    <t xml:space="preserve">OFS批单指向PA013，但现存重要通知为PA012。SID剩余身故给付与终止条款仅属协调问题。</t>
  </si>
  <si>
    <t xml:space="preserve">参考码MAXIS-LF001-01062012；文件内主合同持有人：未建立。基础版次日期、个人签发及当前采用均未确认。</t>
  </si>
  <si>
    <t xml:space="preserve">现存70物理页全部审读；重要通知附件代码待核。</t>
  </si>
  <si>
    <t xml:space="preserve">qa-b22-full-review-20261026/accepted-rows.json#/5</t>
  </si>
  <si>
    <t xml:space="preserve">acquisition-regional-my-id-th/originals/MY-SUN-054_LiveFree_Master_Contract_d12a7db584.pdf</t>
  </si>
  <si>
    <t xml:space="preserve">B22-MY-007</t>
  </si>
  <si>
    <t xml:space="preserve">independent-qa.json#/documents/accepted-rows.json/6</t>
  </si>
  <si>
    <t xml:space="preserve">OFS批单指向PA013而重要通知为PA012；目录TPD页码不符但正文存在。SID协调问题不单独作为严格失败依据。</t>
  </si>
  <si>
    <t xml:space="preserve">参考码MAXIS-LF002-06012014；文件内主合同持有人：未建立。基础版次日期、个人签发及当前采用均未确认。</t>
  </si>
  <si>
    <t xml:space="preserve">现存73物理页全部审读；目录定位误差不等于缺失TPD正文。</t>
  </si>
  <si>
    <t xml:space="preserve">qa-b22-full-review-20261026/accepted-rows.json#/6</t>
  </si>
  <si>
    <t xml:space="preserve">acquisition-regional-my-id-th/originals/MY-SUN-055_LiveFree_Master_Contract_61659b2196.pdf</t>
  </si>
  <si>
    <t xml:space="preserve">B22-MY-008</t>
  </si>
  <si>
    <t xml:space="preserve">independent-qa.json#/documents/accepted-rows.json/7</t>
  </si>
  <si>
    <t xml:space="preserve">OFS批单指向PA013，但其为周收入、重要通知为PA014；骨折范围双语颗粒度不同；现存附表印页跳号仍待核。</t>
  </si>
  <si>
    <t xml:space="preserve">参考码CELC-LPP001-03102014；文件内主合同持有人：未建立。基础版次日期、个人签发及当前采用均未确认。</t>
  </si>
  <si>
    <t xml:space="preserve">附表印页1、2、4、6等跳号；完整读完79物理页不证明发行文件齐全。</t>
  </si>
  <si>
    <t xml:space="preserve">qa-b22-full-review-20261026/accepted-rows.json#/7</t>
  </si>
  <si>
    <t xml:space="preserve">acquisition-regional-my-id-th/originals/MY-SUN-062_LivePro_Master_Contract_f8ddde67d7.pdf</t>
  </si>
  <si>
    <t xml:space="preserve">来源保司标签</t>
  </si>
  <si>
    <t xml:space="preserve">独立QA完成UTC</t>
  </si>
  <si>
    <t xml:space="preserve">归档接受行定位</t>
  </si>
  <si>
    <t xml:space="preserve">严格阻断问题及物理页</t>
  </si>
  <si>
    <t xml:space="preserve">版次与适用边界</t>
  </si>
  <si>
    <t xml:space="preserve">现存组成及物理页</t>
  </si>
  <si>
    <t xml:space="preserve">源接受行检查点</t>
  </si>
  <si>
    <t xml:space="preserve">源接受检查点字节SHA</t>
  </si>
  <si>
    <t xml:space="preserve">QA已接受严格状态</t>
  </si>
  <si>
    <t xml:space="preserve">问题ID</t>
  </si>
  <si>
    <t xml:space="preserve">非阻断范围／解释边界</t>
  </si>
  <si>
    <t xml:space="preserve">已澄清或替代事项</t>
  </si>
  <si>
    <t xml:space="preserve">严格判定依据</t>
  </si>
  <si>
    <t xml:space="preserve">归档问题记录定位</t>
  </si>
  <si>
    <t xml:space="preserve">归档执行结果定位</t>
  </si>
  <si>
    <t xml:space="preserve">文件内参考码</t>
  </si>
  <si>
    <t xml:space="preserve">文件内主合同持有人</t>
  </si>
  <si>
    <t xml:space="preserve">基础版次日期</t>
  </si>
  <si>
    <t xml:space="preserve">文件内保司身份</t>
  </si>
  <si>
    <t xml:space="preserve">文件内产品身份</t>
  </si>
  <si>
    <t xml:space="preserve">源问题检查点</t>
  </si>
  <si>
    <t xml:space="preserve">归档接受行规范SHA</t>
  </si>
  <si>
    <t xml:space="preserve">归档执行逐页证据</t>
  </si>
  <si>
    <t xml:space="preserve">归档独立QA逐页证据</t>
  </si>
  <si>
    <t xml:space="preserve">原权限与实际方法</t>
  </si>
  <si>
    <t xml:space="preserve">B23-MY-001</t>
  </si>
  <si>
    <t xml:space="preserve">001-TPD-age 物理页23,24,38,40：Base benefit EN/BM and EN termination use70; BM termination4.1(f) uses75. No priority/replacing clause found; 2.4x confirms75 and benefit70.
001-rider-reduction-date 物理页2,6：Rider2.2.8 reduces residual death cover from TPD onset in EN, but approval date in BM. Confirmed2.4x; base approval wording does not expressly replace later rider.
001-incontestability-start 物理页16,30：EN9.1/9.2 measure2years from issue; BM from commencement. Distinct dates; confirmed2.4x with no controlling-language rule seen.</t>
  </si>
  <si>
    <t xml:space="preserve">Reference code and amendment effective dates are not established base edition, current adoption or issued personal policy.</t>
  </si>
  <si>
    <t xml:space="preserve">物理页1-8：27Feb2026 conditional ROP rider EN/BM
物理页9-10：9Dec2025 pre-existing amendments EN/BM
物理页11-24：EN cover and base printed1-13
物理页25-40：BM cover and base printed1-15</t>
  </si>
  <si>
    <t xml:space="preserve">独立普通只读逐页图像显示及语义审读；必要处普通放大核对。未文本提取、OCR、打印或解除安全限制；原件SHA与权限不改，不作法律许可推定。</t>
  </si>
  <si>
    <t xml:space="preserve">qa-b23-full-review-20261026/accepted-rows.json#/0</t>
  </si>
  <si>
    <t xml:space="preserve">acquisition-regional-my-id-th/originals/MY-SUN-003_Biz_Shield_Plus_Level_Master_Policy_d72c61d2ba.pdf</t>
  </si>
  <si>
    <t xml:space="preserve">744aa73b3cbee496e913403a84be5b4b2b85e0799f3f88152d8e1f9e8d432358</t>
  </si>
  <si>
    <t xml:space="preserve">网站v124／索引v100已回验</t>
  </si>
  <si>
    <t xml:space="preserve">001-TPD-age；001-rider-reduction-date；001-incontestability-start</t>
  </si>
  <si>
    <t xml:space="preserve">无已识别项；范围限制仍见相关字段。</t>
  </si>
  <si>
    <t xml:space="preserve"> 物理页9,10,12,21,23,26,36,38：9Dec2025 expressly replaces old pre-existing definition and exclusions with12month windows; old unlimited wording is not live conflict.
 物理页1,5,13,27,28：Rider conditional on certificate; TPD definition reference to BSPL002 is genuine.
 物理页17,18,21,22,23,24,32,33,36,37,38,39,40：Specific lesser-TPD/loan-cessation continuation qualifies general termination; no blanket termination conclusion.
 物理页38：2.4x confirms negative tidak before cap; no missing-negation issue.
 物理页17,31：Nominee acceptance/receipt phrasing retained as interpretation nuance, not separate categorical contradiction.</t>
  </si>
  <si>
    <t xml:space="preserve">Unresolved substantive wording, bilingual or incorporated-component questions identified in issues-and-clarifications; missing personal schedule alone is not the veto.</t>
  </si>
  <si>
    <t xml:space="preserve">independent-qa.json#/documents/issues-and-clarifications.json/records/0</t>
  </si>
  <si>
    <t xml:space="preserve">execution-evidence.json#/documents/group1~1B23-MY-001-result.json</t>
  </si>
  <si>
    <t xml:space="preserve">BSPL0625</t>
  </si>
  <si>
    <t xml:space="preserve">CIMB Bank Berhad</t>
  </si>
  <si>
    <t xml:space="preserve">未建立</t>
  </si>
  <si>
    <t xml:space="preserve">Biz Shield Plus (Level)</t>
  </si>
  <si>
    <t xml:space="preserve">qa-b23-full-review-20261026/issues-and-clarifications.json#/records/0</t>
  </si>
  <si>
    <t xml:space="preserve">ac2ac4e76c940689c31988a317624294ef5971861baff39de62afdc4e8a77672</t>
  </si>
  <si>
    <t xml:space="preserve">execution-evidence.json#/documents/group1~1B23-MY-001-pages.jsonl</t>
  </si>
  <si>
    <t xml:space="preserve">independent-qa.json#/documents/page-review-proof.json/by_task/B23-MY-001</t>
  </si>
  <si>
    <t xml:space="preserve">复制允许=False；打印允许=True；原件权限与SHA未改变。实际未提取、OCR、打印或解锁。</t>
  </si>
  <si>
    <t xml:space="preserve">B23-MY-002</t>
  </si>
  <si>
    <t xml:space="preserve">BSPR-TPD-age 物理页24,39,41：BM BSPR004 termination 4.1(f) on physical p41 says age 75, while EN p24 says 70 and BM benefit 1.2 p39 also says 70. 3x visual check confirms 75, not 70; later rider does not expressly replace this main-benefit termination provision.
BSPR-rider-reduction-date 物理页2,6：2026 rider 2.2.8 EN makes future death reduction effective at TPD onset; BM makes it effective when the TPD claim is approved. Distinct timing is unreconciled in the rider; main-benefit approval wording does not silently amend the rider.
BSPR-incontestability-date 物理页16,31：Incontestability 9.1 and 9.2 start from certificate issue date in EN and certificate commencement date in BM. 3x visual comparison confirms both wordings; they are not established as the same date.</t>
  </si>
  <si>
    <t xml:space="preserve">Codes and amendment dates are not an independently established base-edition date, current adoption or individual issuance proof.</t>
  </si>
  <si>
    <t xml:space="preserve">物理页1-8：27 February 2026 optional BSPR006 return-of-premium rider, EN and BM.
物理页9-10：9 December 2025 pre-existing-condition definition and first-12-month exclusion replacements.
物理页11-25：EN base cover, general provisions, death, TPD and reducing-sum formula.
物理页26-42：BM base counterpart, all present pages.</t>
  </si>
  <si>
    <t xml:space="preserve">qa-b23-full-review-20261026/accepted-rows.json#/1</t>
  </si>
  <si>
    <t xml:space="preserve">acquisition-regional-my-id-th/originals/MY-SUN-004_Biz_Shield_Plus_Reducing_Master_Policy_5f8f4352a6.pdf</t>
  </si>
  <si>
    <t xml:space="preserve">BSPR-TPD-age；BSPR-rider-reduction-date；BSPR-incontestability-date</t>
  </si>
  <si>
    <t xml:space="preserve"> 物理页9,10,21,23,37,39：2025 endorsement expressly replaces pre-existing-condition wording; superseded unlimited base exclusion is not a live conflict.
 物理页18,22,24,34,38,41：Express written option to continue after loan/client relationship ends qualifies the general termination wording.
 物理页25,42：Reducing-sum positive-interest formula is readable and agrees between languages; do not invent a zero-interest branch or call its absence a demonstrated arithmetic error.</t>
  </si>
  <si>
    <t xml:space="preserve">Unresolved operative inconsistency or incorporated-component issue identified below; missing personal schedule/source cutoff is not the sole veto.</t>
  </si>
  <si>
    <t xml:space="preserve">independent-qa.json#/documents/issues-and-clarifications.json/records/1</t>
  </si>
  <si>
    <t xml:space="preserve">execution-evidence.json#/documents/group3~1B23-MY-002-result.json</t>
  </si>
  <si>
    <t xml:space="preserve">BSPR0625</t>
  </si>
  <si>
    <t xml:space="preserve">CIMB (named in endorsements)</t>
  </si>
  <si>
    <t xml:space="preserve">Biz Shield Plus (Reducing)</t>
  </si>
  <si>
    <t xml:space="preserve">qa-b23-full-review-20261026/issues-and-clarifications.json#/records/1</t>
  </si>
  <si>
    <t xml:space="preserve">dad2edb7e36c3df0e78afaef3d553ce61e5d5e2720e6eef3e8c3353386069be6</t>
  </si>
  <si>
    <t xml:space="preserve">execution-evidence.json#/documents/group3~1B23-MY-002-pages.json</t>
  </si>
  <si>
    <t xml:space="preserve">independent-qa.json#/documents/page-review-proof.json/by_task/B23-MY-002</t>
  </si>
  <si>
    <t xml:space="preserve">B23-MY-003</t>
  </si>
  <si>
    <t xml:space="preserve">文件级严格核验通过；不含个人签发、当前采用或齐套结论。</t>
  </si>
  <si>
    <t xml:space="preserve">物理页1-5：June2021 TPD EN/BM amendment
物理页6-7：July2020 age/gender/variation EN/BM
物理页8-9：March2016 payment EN/BM
物理页10-15：March2015 eligibility/termination EN/BM
物理页16-19：January2015 material information/tax/FATCA/TPD EN/BM
物理页20-31：EN cover, contents, base excluding master schedule
物理页32-44：BM counterpart excluding master schedule</t>
  </si>
  <si>
    <t xml:space="preserve">qa-b23-full-review-20261026/accepted-rows.json#/2</t>
  </si>
  <si>
    <t xml:space="preserve">acquisition-regional-my-id-th/originals/MY-SUN-009_Group_Amanah_Saham_Assurance_Contract_GASA_2014_2480171341.pdf</t>
  </si>
  <si>
    <t xml:space="preserve">无严格问题ID</t>
  </si>
  <si>
    <t xml:space="preserve"> 物理页1,2,3,4,5,28,29,41,42：2021 expressly replaces older TPD limit, definition and exclusions. Applicable read8m, any-occupation/ADL6months and new exclusion set; old2m and older anatomical wording not live contradictions.
 物理页6,7,22,24,34,36：2020 NGAS002 heading differs GASA002 base, but same exact GASA0714/product attachment and5.2,10,11.2 pinpoint linkage uniquely identify clauses. Bounded heading defect, not unresolved product identity.
 物理页8,9,26,38：2016 replaces19.1 with19.1-19.3 allocation; BM Kelayakan caption does not change clear numbered payment body.
 物理页10,11,12,13,14,15,25,27,30,37,40,43：2015 specifically replaces eligibility and terminations, including early-settlement continuation and lesser-TPD residual death. General payment termination is read with specific continuation, not independent conflict.
 物理页31,44：Both formula pages independently enlarged2.4x; dp level period, pp repayment and n=dp+pp agree. Positive-interest exponent(12n)-(t-1) and zero-interest(12n)-t are explicit separate branches, not a translation discrepancy or proof of actuarial error.
 物理页21,22,33,34：GASA001 master schedule not present; printed folio2 absent both languages. Exact master reference/issuer/product established; holder and individualized parameters unverified. Missing schedule not sole strict veto.</t>
  </si>
  <si>
    <t xml:space="preserve">No unresolved material operative conflict identified in present file after amendments; absent individualized schedule remains a scope limit.</t>
  </si>
  <si>
    <t xml:space="preserve">independent-qa.json#/documents/issues-and-clarifications.json/records/2</t>
  </si>
  <si>
    <t xml:space="preserve">execution-evidence.json#/documents/group1~1B23-MY-003-result.json</t>
  </si>
  <si>
    <t xml:space="preserve">GASA0714</t>
  </si>
  <si>
    <t xml:space="preserve">Group Amanah Saham Assurance (GASA 2014)</t>
  </si>
  <si>
    <t xml:space="preserve">qa-b23-full-review-20261026/issues-and-clarifications.json#/records/2</t>
  </si>
  <si>
    <t xml:space="preserve">f7d36270e4e3c567939a0074e1331e7325e4f51e11af42d3884e946a7da76a88</t>
  </si>
  <si>
    <t xml:space="preserve">execution-evidence.json#/documents/group1~1B23-MY-003-pages.jsonl</t>
  </si>
  <si>
    <t xml:space="preserve">independent-qa.json#/documents/page-review-proof.json/by_task/B23-MY-003</t>
  </si>
  <si>
    <t xml:space="preserve">复制允许=False；打印允许=False；原件权限与SHA未改变。实际未提取、OCR、打印或解锁。</t>
  </si>
  <si>
    <t xml:space="preserve">B23-MY-004</t>
  </si>
  <si>
    <t xml:space="preserve">MLTA-payment-cap-translation 物理页20,33：Paying benefits 27.1 EN expressly caps payment to the holder at the lower of actual outstanding loan and sum assured; BM 27.1 states actual outstanding financing without that express cap. Both 27.3 surplus provisions remain, but do not themselves supply the missing higher-loan cap. Needs reconciliation rather than assumed correction.
MLTA-wrong-annex-link 物理页17,31,21,22,34,35：General termination 15.2(a) points to MRTA003/MRTA004 in both languages although the present death/TPD annexes are MLTA003/MLTA004. Uncorrected cross-product linkage; actual intended target should not be silently rewritten.</t>
  </si>
  <si>
    <t xml:space="preserve">物理页1-2：December 2025 sanctions endorsement.
物理页3-8：May 2023 nominee, TPD cap/definition/exclusion replacements, EN/BM.
物理页9-11：July 2020 age/gender and law replacements.
物理页12-24：EN cover and present base general/death/TPD provisions.
物理页25-38：BM cover and present base counterpart.</t>
  </si>
  <si>
    <t xml:space="preserve">qa-b23-full-review-20261026/accepted-rows.json#/3</t>
  </si>
  <si>
    <t xml:space="preserve">acquisition-regional-my-id-th/originals/MY-SUN-011_Group_Mortgage_Level_Term_Assurance_Master_Policy_MLTA_2015_d6f1b31f6a.pdf</t>
  </si>
  <si>
    <t xml:space="preserve">MLTA-payment-cap-translation；MLTA-wrong-annex-link</t>
  </si>
  <si>
    <t xml:space="preserve">MLTA-schedule-boundary 物理页13,14,26,27：Master schedule MLTA001 printed folio2 is absent in each language. This limits holder/individual terms, but is not the sole strict veto and does not establish physical-page tampering.</t>
  </si>
  <si>
    <t xml:space="preserve"> 物理页3,4,5,6,7,8,22,35：2023 TPD cap, any-work definition and exclusions explicitly supersede corresponding old 2m/occupation/exclusion text; superseded wording is not a live inconsistency.
 物理页17,18,23,24,31,36,38：Specific residual-death and written loan-continuation provisions qualify general termination. Do not treat every termination sentence as unconditional.</t>
  </si>
  <si>
    <t xml:space="preserve">independent-qa.json#/documents/issues-and-clarifications.json/records/3</t>
  </si>
  <si>
    <t xml:space="preserve">execution-evidence.json#/documents/group3~1B23-MY-004-result.json</t>
  </si>
  <si>
    <t xml:space="preserve">MLTA0615</t>
  </si>
  <si>
    <t xml:space="preserve">CIMB (named in 2023 endorsement)</t>
  </si>
  <si>
    <t xml:space="preserve">Group Mortgage Level Term Assurance</t>
  </si>
  <si>
    <t xml:space="preserve">qa-b23-full-review-20261026/issues-and-clarifications.json#/records/3</t>
  </si>
  <si>
    <t xml:space="preserve">560bb41a91075da50686481f6821036dc50befbbea83133b9116a1bf4ec34d05</t>
  </si>
  <si>
    <t xml:space="preserve">execution-evidence.json#/documents/group3~1B23-MY-004-pages.json</t>
  </si>
  <si>
    <t xml:space="preserve">independent-qa.json#/documents/page-review-proof.json/by_task/B23-MY-004</t>
  </si>
  <si>
    <t xml:space="preserve">B23-MY-005</t>
  </si>
  <si>
    <t xml:space="preserve">Master code and endorsement dates are not proof of base edition, current sale/adoption or personal issuance.</t>
  </si>
  <si>
    <t xml:space="preserve">2025 sanctions endorsement, pp1-2
2022 nomination replacement, pp3-4
2021 TPD cap/definition/exclusion replacement, pp5-9
2020 age/gender/alteration replacements, pp10-12
EN master body pp13-26; BM counterpart pp27-42; reducing-sum formulas pp26/42</t>
  </si>
  <si>
    <t xml:space="preserve">qa-b23-full-review-20261026/accepted-rows.json#/4</t>
  </si>
  <si>
    <t xml:space="preserve">acquisition-regional-my-id-th/originals/MY-SUN-012_Group_Mortgage_Reducing_Term_Assurance_Master_Policy_MRTA_2015_3777f3abd7.pdf</t>
  </si>
  <si>
    <t xml:space="preserve">MRTA0615-personal-schedule-boundary 物理页14,15,28,29：Contents-to-body pagination omits schedule folio2 in both languages. Personal amount, term and issuance cannot be established; this does not alone defeat exact-file verification.</t>
  </si>
  <si>
    <t xml:space="preserve"> 物理页5,6,7,8,9,23,24,38,39,40：2021 endorsement replaces the cap, whole TPD definition and exclusion clause; old RM2m / own-or-similar wording is not treated as operative contradiction. Malay negative cap wording was enlarged and confirms maximum RM8m.
 物理页10,11,12,17,31：2020 whole age clause supersedes the old age-voiding clause; no live inconsistency inferred from superseded text.
 物理页26,42：Reducing-sum schedule is present in both languages; positive-interest and zero-interest branches visually read. Formula review is not actuarial validation.
 物理页2：BM endorsement heading is imprecise, but exact master number, annex code and clause29 tie the sanctions addition to this master.</t>
  </si>
  <si>
    <t xml:space="preserve">All 42 present pages read. Master identity, bilingual benefit/claims structure and amendment precedence are traceable; no material unresolved operative contradiction found within this exact file.</t>
  </si>
  <si>
    <t xml:space="preserve">independent-qa.json#/documents/issues-and-clarifications.json/records/4</t>
  </si>
  <si>
    <t xml:space="preserve">execution-evidence.json#/documents/group2~1B23-MY-005-result.json</t>
  </si>
  <si>
    <t xml:space="preserve">MRTA0615</t>
  </si>
  <si>
    <t xml:space="preserve">Group Mortgage Reducing Term Assurance (MRTA 2015)</t>
  </si>
  <si>
    <t xml:space="preserve">qa-b23-full-review-20261026/issues-and-clarifications.json#/records/4</t>
  </si>
  <si>
    <t xml:space="preserve">675df3edbdfbd6a1792be160c6ce05b3015fe6967c5cdb78c8e3914b1a566423</t>
  </si>
  <si>
    <t xml:space="preserve">execution-evidence.json#/documents/group2~1B23-MY-005-page-notes.json</t>
  </si>
  <si>
    <t xml:space="preserve">independent-qa.json#/documents/page-review-proof.json/by_task/B23-MY-005</t>
  </si>
  <si>
    <t xml:space="preserve">B23-MY-006</t>
  </si>
  <si>
    <t xml:space="preserve">GBLI0615-BM-assembly-linkage 物理页41,50,51,52,53,54,55,56,57：BM business-loan sequence reaches printed11 at physical50, then scanned business-loan printed14-15 at51-52; physical53-56 instead carry generic MRTA2015 born-digital printed12-15, before business-loan formula16 at57. This supplies otherwise absent TPD12-13 and duplicates14-15 without an explicit adoption/assembly explanation. Header/footer differences and live, unreplaced clauses on53 need issuer linkage clarification; no missing physical bytes or contract invalidity is asserted.</t>
  </si>
  <si>
    <t xml:space="preserve">2025/2022/2021/2020 endorsements pp1-12
Return-of-premium rider pp13-20
Signed master introduction p21; blank p22
EN cover/body pp23-37; blank p38
BM cover/body/compiled annexes pp39-57; blank p58</t>
  </si>
  <si>
    <t xml:space="preserve">qa-b23-full-review-20261026/accepted-rows.json#/5</t>
  </si>
  <si>
    <t xml:space="preserve">acquisition-regional-my-id-th/originals/MY-SUN-013_Group_Mortgage_Reducing_Term_Assurance_Master_Policy_MRTA_2015_-_Business_Loan_764a37e7b6.pdf</t>
  </si>
  <si>
    <t xml:space="preserve">GBLI0615-BM-assembly-linkage</t>
  </si>
  <si>
    <t xml:space="preserve">GBLI0615-rider-scope 物理页13,14,17,18：Return-of-premium rider is conditional on certificate inclusion; no individual selection/adoption verified.</t>
  </si>
  <si>
    <t xml:space="preserve"> 物理页5,6,7,8,9,53,54：2021 whole TPD-definition/exclusion and cap replacements take precedence; old cap/definition are not the blocker. Unreplaced benefit clauses remain relevant to assembly linkage.
 物理页25,27,41,43,44：Master schedule and eligibility language were read rather than inferring scope from Business Loan title alone.
 物理页29,45：EN and BM incontestability clauses both use issue-date; no bilingual date conflict retained.
 物理页37,57：Reducing-sum formulas are present, and blank physical pages were inspected, not counted as unread.</t>
  </si>
  <si>
    <t xml:space="preserve">All 58 present pages read; unresolved authority/assembly linkage for operative BM inserted pages remains beyond personal schedule scope.</t>
  </si>
  <si>
    <t xml:space="preserve">independent-qa.json#/documents/issues-and-clarifications.json/records/5</t>
  </si>
  <si>
    <t xml:space="preserve">execution-evidence.json#/documents/group2~1B23-MY-006-result.json</t>
  </si>
  <si>
    <t xml:space="preserve">GBLI0615</t>
  </si>
  <si>
    <t xml:space="preserve">Group Mortgage Reducing Term Assurance (MRTA 2015 - Business Loan)</t>
  </si>
  <si>
    <t xml:space="preserve">qa-b23-full-review-20261026/issues-and-clarifications.json#/records/5</t>
  </si>
  <si>
    <t xml:space="preserve">a63dbdcdefe5e8dd86cda8f49acb07501aeed96813ab2ac41546b3253a3d97d8</t>
  </si>
  <si>
    <t xml:space="preserve">execution-evidence.json#/documents/group2~1B23-MY-006-page-notes.json</t>
  </si>
  <si>
    <t xml:space="preserve">independent-qa.json#/documents/page-review-proof.json/by_task/B23-MY-006</t>
  </si>
  <si>
    <t xml:space="preserve">B23-MY-007</t>
  </si>
  <si>
    <t xml:space="preserve">物理页1-2：July 2020 age/gender and legal-compliance endorsement.
物理页3-6：January 2015 definition/disclosure, tax and TPD effective-cover amendments.
物理页7：August 2013 bilingual insurer-name endorsement.
物理页8-19：EN base cover and present general/death/TPD/formula provisions.
物理页20-32：BM base counterpart and formula.</t>
  </si>
  <si>
    <t xml:space="preserve">qa-b23-full-review-20261026/accepted-rows.json#/6</t>
  </si>
  <si>
    <t xml:space="preserve">acquisition-regional-my-id-th/originals/MY-SUN-014_Mortgage_Reducing_Term_Assurance_Master_Policy_-_for_certificate_issued_after_5th_Aug_2013_0c4a8cc94b.pdf</t>
  </si>
  <si>
    <t xml:space="preserve">MRTA-schedule-applicability-boundary 物理页9,10,21,22：Master schedule printed folio2 is absent in both languages. Holder, individual selected parameters and applicability to a particular certificate are not established; filename after-5-August-2013 label is not independent issue proof. These are scope limits, not a file-level strict veto.</t>
  </si>
  <si>
    <t xml:space="preserve"> 物理页1,2,3,4,5,6,7：Read endorsements as replacements/renaming rather than simultaneous conflicting base promises.
 物理页17,18,30,31：Specific partial-TPD residual-death continuation qualifies the general termination language.
 物理页19,32：3x visual recheck confirms EN/BM identical MRTA005 piecewise formula: ISA through 12*dp; positive-interest exponent 12*n-(t-1), denominator exponent12*pp; zero-interest numerator12*n-t. Different interest domains are disjoint; an unconventional boundary convention alone is not a demonstrated simultaneous contradiction.</t>
  </si>
  <si>
    <t xml:space="preserve">No unresolved material file-level blocker found after full present-file review; stated schedule/applicability boundaries remain.</t>
  </si>
  <si>
    <t xml:space="preserve">independent-qa.json#/documents/issues-and-clarifications.json/records/6</t>
  </si>
  <si>
    <t xml:space="preserve">execution-evidence.json#/documents/group3~1B23-MY-007-result.json</t>
  </si>
  <si>
    <t xml:space="preserve">MRTA0813</t>
  </si>
  <si>
    <t xml:space="preserve">Mortgage Reducing Term Assurance</t>
  </si>
  <si>
    <t xml:space="preserve">qa-b23-full-review-20261026/issues-and-clarifications.json#/records/6</t>
  </si>
  <si>
    <t xml:space="preserve">4f07faee50f98855bae705253e7a4db8e132e114a008c876676320b3d4e4e7b9</t>
  </si>
  <si>
    <t xml:space="preserve">execution-evidence.json#/documents/group3~1B23-MY-007-pages.json</t>
  </si>
  <si>
    <t xml:space="preserve">independent-qa.json#/documents/page-review-proof.json/by_task/B23-MY-007</t>
  </si>
  <si>
    <t xml:space="preserve">B23-MY-008</t>
  </si>
  <si>
    <t xml:space="preserve">2020 endorsement pp1-2
Cover and insurer-name notice pp3-4
EN introduction/body/formula pp5-13
BM body/formula pp14-21
Blank final page22</t>
  </si>
  <si>
    <t xml:space="preserve">qa-b23-full-review-20261026/accepted-rows.json#/7</t>
  </si>
  <si>
    <t xml:space="preserve">acquisition-regional-my-id-th/originals/MY-SUN-015_Mortgage_Reducing_Term_Assurance_Master_Policy_-_for_certificate_issued_prior_to_2013_68b4ba22a0.pdf</t>
  </si>
  <si>
    <t xml:space="preserve">GCL0001-schedule-currentness-boundary 物理页5,6,14：Personal schedule and individual issuance/benefit amount are not established; historical site cohort label is not current-sale or individual-adoption proof.</t>
  </si>
  <si>
    <t xml:space="preserve"> 物理页1,2,10,18：BM endorsement has GTL002 heading, but exact master GCL0001 and replaced clause numbers bind it; explicit English-prevails clause17 in both bodies resolves heading ambiguity at exact-file level.
 物理页11,12,19,20：Specific lower-TPD residual-death provision qualifies generic ending language; no automatic full-coverage termination is inferred.
 物理页13,21：Both formula pages present and semantically read; enlarged EN formula confirms branches and indices without rewriting actuarial expression.</t>
  </si>
  <si>
    <t xml:space="preserve">All 22 present pages read; operative master/benefit/formula and 2020 amendment linkage are sufficiently clear. Explicit English-prevails clause bounds the BM heading anomaly.</t>
  </si>
  <si>
    <t xml:space="preserve">independent-qa.json#/documents/issues-and-clarifications.json/records/7</t>
  </si>
  <si>
    <t xml:space="preserve">execution-evidence.json#/documents/group2~1B23-MY-008-result.json</t>
  </si>
  <si>
    <t xml:space="preserve">GCL0001</t>
  </si>
  <si>
    <t xml:space="preserve">CIMB Aviva Assurance Berhad, renamed Sun Life Malaysia Assurance Berhad by notice in file</t>
  </si>
  <si>
    <t xml:space="preserve">qa-b23-full-review-20261026/issues-and-clarifications.json#/records/7</t>
  </si>
  <si>
    <t xml:space="preserve">73aa6aa14f319cb8a5c99a05e1a1a8d9d05a597717f9029b43f3bf3d7aed0953</t>
  </si>
  <si>
    <t xml:space="preserve">execution-evidence.json#/documents/group2~1B23-MY-008-page-notes.json</t>
  </si>
  <si>
    <t xml:space="preserve">independent-qa.json#/documents/page-review-proof.json/by_task/B23-MY-008</t>
  </si>
  <si>
    <t xml:space="preserve">B23-MY-009</t>
  </si>
  <si>
    <t xml:space="preserve">independent-qa.json#/documents/accepted-rows.json/8</t>
  </si>
  <si>
    <t xml:space="preserve">2020 amendments pp1-2
2015 amendments pp3-6
EN cover/contents/body/formula pp7-19
BM cover/contents/body/formula pp20-32</t>
  </si>
  <si>
    <t xml:space="preserve">qa-b23-full-review-20261026/accepted-rows.json#/8</t>
  </si>
  <si>
    <t xml:space="preserve">acquisition-regional-my-id-th/originals/MY-SUN-016_Mortgage_Reducing_Term_Assurance_Master_Policy_Business_Loan_-_for_certificate_issued_prior_to_2015_88f32c7d73.pdf</t>
  </si>
  <si>
    <t xml:space="preserve">GBLI0714-schedule-holder-boundary 物理页7,8,9,20,21,22：Schedule folio2 is not present in either language. Holder, individual amount and issue/adoption remain unestablished; master identity is independently tied by GBLI0714 on endorsements.</t>
  </si>
  <si>
    <t xml:space="preserve"> 物理页3,4,5,6,16,29：2015 adds an onset condition to TPD1.1; it does not replace all existing age/amount clauses. Amount and age65 conditions remain read alongside it.
 物理页1,2,10,23：2020 replaces whole age/gender clauses; superseded text is not a live contradiction.
 物理页19,32：EN/BM reducing-sum formulas are present; high-resolution check confirms printed branch indices.
 物理页10,11,23,24：Both bodies use certificate commencement for incontestability; no ungrounded issue-date conflict asserted.</t>
  </si>
  <si>
    <t xml:space="preserve">All 32 present pages read. Master number, bilingual core terms and 2015/2020 amendment chain are clear; missing personal/master schedule does not alone negate file-level verification.</t>
  </si>
  <si>
    <t xml:space="preserve">independent-qa.json#/documents/issues-and-clarifications.json/records/8</t>
  </si>
  <si>
    <t xml:space="preserve">execution-evidence.json#/documents/group2~1B23-MY-009-result.json</t>
  </si>
  <si>
    <t xml:space="preserve">GBLI0714</t>
  </si>
  <si>
    <t xml:space="preserve">Mortgage Reducing Term Assurance (Business Loan)</t>
  </si>
  <si>
    <t xml:space="preserve">qa-b23-full-review-20261026/issues-and-clarifications.json#/records/8</t>
  </si>
  <si>
    <t xml:space="preserve">0355f0bf5593bf6f349ae927f761323c1874bf2a00fd0a4c83caea34b59c4e00</t>
  </si>
  <si>
    <t xml:space="preserve">execution-evidence.json#/documents/group2~1B23-MY-009-page-notes.json</t>
  </si>
  <si>
    <t xml:space="preserve">independent-qa.json#/documents/page-review-proof.json/by_task/B23-MY-009</t>
  </si>
  <si>
    <t xml:space="preserve">B23-MY-010</t>
  </si>
  <si>
    <t xml:space="preserve">independent-qa.json#/documents/accepted-rows.json/9</t>
  </si>
  <si>
    <t xml:space="preserve">GTL0313-TPD-approved-versus-paid 物理页40,42,69,71：TPD1.2 pays 10% on approval and 90% a year later if disability continues;1.3 reduces by approved amount and ends the certificate at 100% approved. Ending6.1(a) instead requires approval and payment reaching100%. Clarify certificate/death-cover status and unpaid-instalment entitlement between payments; no actual nonpayment or legal invalidity asserted.</t>
  </si>
  <si>
    <t xml:space="preserve">2020 endorsement pp1-2
2016 CI replacement EN pp3-13 / BM pp14-25
2015 disclosure/tax/TPD-onset endorsement pp26-29
Name notice p30
EN master/body/benefits pp31-58
BM master/body/benefits pp59-89</t>
  </si>
  <si>
    <t xml:space="preserve">qa-b23-full-review-20261026/accepted-rows.json#/9</t>
  </si>
  <si>
    <t xml:space="preserve">acquisition-regional-my-id-th/originals/MY-SUN-017_SmartLife_Group_Term_Life_Master_Policy_adb4d99226.pdf</t>
  </si>
  <si>
    <t xml:space="preserve">GTL0313-TPD-approved-versus-paid</t>
  </si>
  <si>
    <t xml:space="preserve">GTL0313-AD-notice-scope 物理页55,86：AD&amp;D3.1 requires notice during lifetime and disability within30 days of accident, without expressly limiting that notice clause to disablement claims. Clarify death-claim route in conjunction with general claims; do not infer accidental death is categorically excluded.
GTL0313-schedule-boundary 物理页32,33,60,61：GTL001 schedule folio2 absent from both language sequences; holder/individual benefits and adoption not established. Not the sole strict veto.</t>
  </si>
  <si>
    <t xml:space="preserve"> 物理页1,2,26,27,28,29：2020 new alteration28 expressly renumbers following clauses; collision with older tax28 is not retained as an operative contradiction.
 物理页3,4,13,14,21,25：2016 CI replacement is read as a replacement, not alongside old definitions. Angioplasty exists in both languages (different item position); new biomarkers, speech period and hearing threshold supersede old values.
 物理页56,57,87,88：Entire AD&amp;D percentage table in both languages read; no missing-benefit inference from BM contents pagination offset.
 物理页38,67：Hazardous-occupation exclusion read as written; title alone does not establish universal eligibility.</t>
  </si>
  <si>
    <t xml:space="preserve">All 89 present pages read, including all 2016 CI replacements and benefit tables. TPD instalment/ending interplay remains materially ambiguous; AD&amp;D notice wording also warrants bounded clarification.</t>
  </si>
  <si>
    <t xml:space="preserve">independent-qa.json#/documents/issues-and-clarifications.json/records/9</t>
  </si>
  <si>
    <t xml:space="preserve">execution-evidence.json#/documents/group2~1B23-MY-010-result.json</t>
  </si>
  <si>
    <t xml:space="preserve">GTL0313</t>
  </si>
  <si>
    <t xml:space="preserve">SmartLife (Group Term Life)</t>
  </si>
  <si>
    <t xml:space="preserve">qa-b23-full-review-20261026/issues-and-clarifications.json#/records/9</t>
  </si>
  <si>
    <t xml:space="preserve">beafdcd9ddb6ee403802663f1579df4a0dce5e4bc88c7a62afc3a8eef156c562</t>
  </si>
  <si>
    <t xml:space="preserve">execution-evidence.json#/documents/group2~1B23-MY-010-page-notes.json</t>
  </si>
  <si>
    <t xml:space="preserve">independent-qa.json#/documents/page-review-proof.json/by_task/B23-MY-010</t>
  </si>
  <si>
    <t xml:space="preserve">B23-MY-011</t>
  </si>
  <si>
    <t xml:space="preserve">independent-qa.json#/documents/accepted-rows.json/10</t>
  </si>
  <si>
    <t xml:space="preserve">011-medical-claims-clock 物理页22,26,51,116：Live 26July2020 replacement accidental-medical/surgical incomplete-claim6.1 sets EN submission within30days of COMPLETION of the events, while BM sets30days AFTER OCCURRENCE (selepas berlakunya kejadian). Same distinction appears in base EN51/BM116. These can create different deadlines for treatment extending beyond the accident; the replacement itself retains the bilingual difference.
011-rider-expiry-anniversary 物理页68,70,78,80,86,88,135,138,146,149,155,158：EN six riders end on certificate ANNIVERSARY immediately after70; BM counterparts say certificate MONTHLY anniversary (ulang tahun bulanan) after70. Pairs: all-cause hospital68/135, public-conveyance death70/138, repatriation78/146,ATM80/149,ambulance86/155,overseasitems88/158. Definitions distinguish anniversary from monthly anniversary; later endorsements do not replace these termination conditions.</t>
  </si>
  <si>
    <t xml:space="preserve">物理页1-2：1July2025 sanctions29 EN/BM
物理页3-6：15July2024 benefit-table replacement EN/BM,throughC09/C10
物理页7-10：10Nov2023 table replacement superseded2024
物理页11-12：21Nov2022 public-conveyance replacement addslicensed e-hailing4-11includingdriver
物理页13-14：2Sep2022 nominee24 replacement
物理页15-18：20Jan2022 benefit table superseded later
物理页19-27：26July2020 generalTPD/age-gender/legaldelete/reinstatement and medicalclaims/CI-hospitalalteration endorsements, EN19-22 BM23-27
物理页28-88：EN base cover/contents/table, general provisions,death/TPD and alladditionalbenefitconditions throughoverseas personalitems
物理页89-158：BM corresponding base and alladditionalbenefitconditions throughoverseas personalitems</t>
  </si>
  <si>
    <t xml:space="preserve">qa-b23-full-review-20261026/accepted-rows.json#/10</t>
  </si>
  <si>
    <t xml:space="preserve">acquisition-regional-my-id-th/originals/MY-SUN-020_Sun_ProtectMax_Master_Policy_245d20c593.pdf</t>
  </si>
  <si>
    <t xml:space="preserve">011-medical-claims-clock；011-rider-expiry-anniversary</t>
  </si>
  <si>
    <t xml:space="preserve"> 物理页3,4,5,6,7,8,9,10,15,16,17,18,19,20,23,24,30,91：2024 operative table governs and containsC09/C10 in both languages despite stale BM introductory C07/C08 caption; earlier table differences are superseded, not active blockers.
 物理页11,12,69,136：2022 explicitly replaces older public-conveyance definition; older omission of e-hailing not counted as live gap.
 物理页13,14,21,22,25,26,27,37,39,100,101：Nominee replaced2022; legal-proceedings16 deleted2020 and later clauses renumbered; old legal restriction not counted live. CI/hospital alteration insertions read with renumbered exclusions.
 物理页41,45,104,109：TPD base conditions preserve residualdeath after lesserTPD and specify onset for reduction; not the approval/onset bilingual issue found in other products.
 物理页3,4,5,6,43,45,107,109：BM accident-benefit opening lacks EN in-addition wording but operative latest benefit tables explicitly describe additional benefits, so not retained as unresolved stacking contradiction.
 物理页47,112：NCD20percent/noncumulative, initialfullclaimfreeyear andsecond-anniversary wording is the same bothlanguages; first-entitlement timing requires actual certificate context, not used as a bilingual blocker.
 物理页30,91：Missing individualcertificate/selectedcampaign andsource-date cutoff do not independently veto file-levelreview; conditional riders do not establish a complete issued contract or current adoption.
 物理页73,76,141,144：Weeklyincome andbillprotector monthly-after65 termination aligns; do not generalize the six after70 mismatches to these riders.</t>
  </si>
  <si>
    <t xml:space="preserve">independent-qa.json#/documents/issues-and-clarifications.json/records/10</t>
  </si>
  <si>
    <t xml:space="preserve">execution-evidence.json#/documents/group1~1B23-MY-011-result.json</t>
  </si>
  <si>
    <t xml:space="preserve">SPM0918</t>
  </si>
  <si>
    <t xml:space="preserve">Sun ProtectMax</t>
  </si>
  <si>
    <t xml:space="preserve">qa-b23-full-review-20261026/issues-and-clarifications.json#/records/10</t>
  </si>
  <si>
    <t xml:space="preserve">e15d9b24c00c249008e0947a5a31b3426da8b2cb074e9407a253746dc7a1d3ea</t>
  </si>
  <si>
    <t xml:space="preserve">execution-evidence.json#/documents/group1~1B23-MY-011-pages.jsonl</t>
  </si>
  <si>
    <t xml:space="preserve">independent-qa.json#/documents/page-review-proof.json/by_task/B23-MY-011</t>
  </si>
  <si>
    <t xml:space="preserve">B23-MY-012</t>
  </si>
  <si>
    <t xml:space="preserve">independent-qa.json#/documents/accepted-rows.json/11</t>
  </si>
  <si>
    <t xml:space="preserve">SDG1019-undefined-CI-scope 物理页8,9,16,17,43,44,52,53：EN21-22 repeatedly excludes top3 critical illness from additional-benefit renewal/withdrawal and EN22.3 expressly preserves its coverage. All present benefit tables, contents and benefit sections contain no corresponding defined CI benefit; BM21-22 have no CI exception and preserve main benefits only. Unamended operative coverage-scope ambiguity, not merely absent individual schedule; cannot assume missing CI coverage or silently discard template wording.</t>
  </si>
  <si>
    <t xml:space="preserve">物理页1-2：September 2022 nominee replacement.
物理页3-6：July 2020 TPD definition, age/gender, legal-clause deletion and reinstatement amendment.
物理页7-41：EN cover, contents, benefit table, general terms and all benefit sections.
物理页42-82：BM counterpart, all present pages.</t>
  </si>
  <si>
    <t xml:space="preserve">qa-b23-full-review-20261026/accepted-rows.json#/11</t>
  </si>
  <si>
    <t xml:space="preserve">acquisition-regional-my-id-th/originals/MY-SUN-021_Sun_Guard_Master_Policy_d06bfb474a.pdf</t>
  </si>
  <si>
    <t xml:space="preserve">SDG1019-undefined-CI-scope</t>
  </si>
  <si>
    <t xml:space="preserve"> 物理页3,4,5,6,15,51：2020 expressly deletes old legal clause16; deleted base legal waiting text is not a live contradiction.
 物理页26,65：No-claim-discount first-entitlement second-anniversary sentence is a specific qualifier to general completed-year wording, not automatically contradictory.
 物理页9,44,60,62：Benefit table explicitly supplies additional accidental amounts; shorter BM operative phrasing is read with the table, not alone as a denial.
 物理页31,33,71,74：Other-payer excess and proportional-payment restrictions can operate cumulatively; no positive entitlement overriding either restriction established.</t>
  </si>
  <si>
    <t xml:space="preserve">independent-qa.json#/documents/issues-and-clarifications.json/records/11</t>
  </si>
  <si>
    <t xml:space="preserve">execution-evidence.json#/documents/group3~1B23-MY-012-result.json</t>
  </si>
  <si>
    <t xml:space="preserve">SDG1019</t>
  </si>
  <si>
    <t xml:space="preserve">U Mobile (named in 2022 endorsement)</t>
  </si>
  <si>
    <t xml:space="preserve">Sun Guard</t>
  </si>
  <si>
    <t xml:space="preserve">qa-b23-full-review-20261026/issues-and-clarifications.json#/records/11</t>
  </si>
  <si>
    <t xml:space="preserve">4ff1eb042b8f3cdfbc487b0be305db2e7cc2a850c0c185828bf1a47fed479694</t>
  </si>
  <si>
    <t xml:space="preserve">execution-evidence.json#/documents/group3~1B23-MY-012-pages.json</t>
  </si>
  <si>
    <t xml:space="preserve">independent-qa.json#/documents/page-review-proof.json/by_task/B23-MY-012</t>
  </si>
  <si>
    <t xml:space="preserve">B23-MY-013</t>
  </si>
  <si>
    <t xml:space="preserve">independent-qa.json#/documents/accepted-rows.json/12</t>
  </si>
  <si>
    <t xml:space="preserve">SDG1018-infectious-TPD-age 物理页5,7,26,56：Infectious TPD SDG005 termination4.1(f) EN p26 ends monthly after age65, BM p56 after age70. 2020 replacement changes the definition to18-65 but does not expressly amend either termination clause; high-resolution check confirms both numerals.
SDG1018-accidental-TPD-age 物理页5,7,30,61：Accidental TPD SDG007 termination4.1(f) EN p30 uses age65, BM p61 age70; same unresolved bilingual end-age mismatch, separately confirmed at3x.</t>
  </si>
  <si>
    <t xml:space="preserve">物理页1-2：July 2025 sanctions endorsement.
物理页3-4：September 2022 nominee replacement.
物理页5-8：July 2020 TPD definition/age-gender replacement and legal-clause deletion.
物理页9-36：EN cover, contents/table and complete present general/infectious/accident benefit sections.
物理页37-67：BM counterpart, all present pages.</t>
  </si>
  <si>
    <t xml:space="preserve">qa-b23-full-review-20261026/accepted-rows.json#/12</t>
  </si>
  <si>
    <t xml:space="preserve">acquisition-regional-my-id-th/originals/MY-SUN-022_Sun_Flexi_Master_Policy_e8b5883b02.pdf</t>
  </si>
  <si>
    <t xml:space="preserve">SDG1018-infectious-TPD-age；SDG1018-accidental-TPD-age</t>
  </si>
  <si>
    <t xml:space="preserve">SDG1018-pagination-scope 物理页10,11,38,39：Contents footer totals48/63 disagree with base section totals29/32; master schedule folio3 absent. These locator/scope defects do not alone prove extra missing physical pages or defeat full review of the67 present pages.
SDG1018-definition-target-label 物理页5,7,41,43：BM2020 lead-in references definition(o), while replacement label/title are(aa)/TPD and base(o) is hospitalization. The title and replacement label make intended TPD subject apparent; retain a numbering clarification, not the sole strict veto.</t>
  </si>
  <si>
    <t xml:space="preserve"> 物理页5,6,7,8,47,48：2020 deleted legal clause and superseded TPD definition are not counted as live old-text conflicts.
 物理页22,25,50,54：General pre-existing exclusion and specific12-month TPD exclusion are both restrictions; narrower wording is not an affirmative promise that all pre-existing conditions become covered after12months.
 物理页22,23,27,50,51,57：Accident-section infection/mosquito exclusions are not automatically applied to the distinct infectious-disease benefit.</t>
  </si>
  <si>
    <t xml:space="preserve">independent-qa.json#/documents/issues-and-clarifications.json/records/12</t>
  </si>
  <si>
    <t xml:space="preserve">execution-evidence.json#/documents/group3~1B23-MY-013-result.json</t>
  </si>
  <si>
    <t xml:space="preserve">SDG1018</t>
  </si>
  <si>
    <t xml:space="preserve">CIMB (named in 2022 endorsement)</t>
  </si>
  <si>
    <t xml:space="preserve">Sun Flexi</t>
  </si>
  <si>
    <t xml:space="preserve">qa-b23-full-review-20261026/issues-and-clarifications.json#/records/12</t>
  </si>
  <si>
    <t xml:space="preserve">25d745cf1c8f4779630750953b0fd2fb8027922ab65c17276d7a4ccf20cedff8</t>
  </si>
  <si>
    <t xml:space="preserve">execution-evidence.json#/documents/group3~1B23-MY-013-pages.json</t>
  </si>
  <si>
    <t xml:space="preserve">independent-qa.json#/documents/page-review-proof.json/by_task/B23-MY-013</t>
  </si>
  <si>
    <t xml:space="preserve">B23-MY-014</t>
  </si>
  <si>
    <t xml:space="preserve">independent-qa.json#/documents/accepted-rows.json/13</t>
  </si>
  <si>
    <t xml:space="preserve">014-residual-death-calculation 物理页10,13：General23.2(b) describes subtracting payableTPD from future reducing-death amount; MRTA0041.4 prescribes proportion by TPD/death amount at onset. Specific clause plausibly qualifies general wording, but two distinct descriptions lack express reconciliation. Hold calculation clarification, not double-deduction or invalidity claim.</t>
  </si>
  <si>
    <t xml:space="preserve">物理页1：1July2025 Malay sanctions29 endorsement
物理页2-3：Cover/contents printed2-3; schedule4 absent
物理页4-20：Malay general/death/TPD/terminal/funeral/emergency/formula printed5-21</t>
  </si>
  <si>
    <t xml:space="preserve">qa-b23-full-review-20261026/accepted-rows.json#/13</t>
  </si>
  <si>
    <t xml:space="preserve">acquisition-regional-my-id-th/originals/MY-SUP-001_Mortgage_Reducing_Term_Assurance_with_Funeral_Benefit_2024_MRTA_0b44500849.pdf</t>
  </si>
  <si>
    <t xml:space="preserve">014-residual-death-calculation</t>
  </si>
  <si>
    <t xml:space="preserve"> 物理页1,9,11：2025 endorsement adds sanctions29; not claim-notice19. No prior sanctions contradiction.
 物理页3,4：Master schedule absent and holder unidentified; scope qualification, not sole strict veto.
 物理页20：2.4x confirms MRTA008 ratio with(12n)-(t-1),12pp,dp+pp=n. No zero-interest branch stated; no proof a zero-rate issued case exists.
 物理页10,12,13,15,16,17,18,19：PartialTPD keeps death cover; terminal age60 differsTPD65 by distinct benefits; funeral/emergency2k are additional, not a duplicate base benefit.
 物理页10,13：This hold concerns two explicit future benefit-calculation descriptions, not merely general termination versus specific residual-cover continuation. The latter interaction in003/005/007 was independently treated as qualified by the specific continuation terms; no automatic cross-product veto is applied.</t>
  </si>
  <si>
    <t xml:space="preserve">independent-qa.json#/documents/issues-and-clarifications.json/records/13</t>
  </si>
  <si>
    <t xml:space="preserve">execution-evidence.json#/documents/group1~1B23-MY-014-result.json</t>
  </si>
  <si>
    <t xml:space="preserve">MRTAFB24</t>
  </si>
  <si>
    <t xml:space="preserve">Mortgage Reducing Term Assurance with Funeral Benefit 2024</t>
  </si>
  <si>
    <t xml:space="preserve">qa-b23-full-review-20261026/issues-and-clarifications.json#/records/13</t>
  </si>
  <si>
    <t xml:space="preserve">2cbbd4678cb8d28b1c084a1d789c6305d191a0836d47b762f98f6bd4e10a0202</t>
  </si>
  <si>
    <t xml:space="preserve">execution-evidence.json#/documents/group1~1B23-MY-014-pages.jsonl</t>
  </si>
  <si>
    <t xml:space="preserve">independent-qa.json#/documents/page-review-proof.json/by_task/B23-MY-014</t>
  </si>
  <si>
    <t xml:space="preserve">B23-MY-015</t>
  </si>
  <si>
    <t xml:space="preserve">independent-qa.json#/documents/accepted-rows.json/14</t>
  </si>
  <si>
    <t xml:space="preserve">CPPI-preexisting-date 物理页3,29：General definition1.1(k): EN anchors pre-existing condition before certificate commencement; BM anchors it before signed application. These can be different dates; obtain authoritative reconciliation rather than silently harmonizing.
CPPI-incontestability-date 物理页7,33：General10.2: EN two-year incontestability period begins at certificate commencement; BM begins at certificate issue. No priority/replacement found in present file.</t>
  </si>
  <si>
    <t xml:space="preserve">EN cover/introduction/general/death/TPD/CI/fee annex pp1-26
BM cover/introduction/general/death/TPD/CI/fee annex pp27-53</t>
  </si>
  <si>
    <t xml:space="preserve">qa-b23-full-review-20261026/accepted-rows.json#/14</t>
  </si>
  <si>
    <t xml:space="preserve">acquisition-regional-my-id-th/originals/MY-SUN-023_Credit_Protector_Plus-i_Master_Contract_d6a9cc0757.pdf</t>
  </si>
  <si>
    <t xml:space="preserve">CPPI-preexisting-date；CPPI-incontestability-date</t>
  </si>
  <si>
    <t xml:space="preserve">CPPI-identity-schedule-boundary 物理页1,2,3,27,28,29：No unique master number observed; CPPI codes identify sections. CPPI002 schedule folio3 missing in both languages. Holder/individual rate and adoption unestablished; this is not the sole veto.</t>
  </si>
  <si>
    <t xml:space="preserve"> 物理页26,53：CPPI009 fee annex is present: wakalah60%, RM10 stamp borne by operator and eligible surplus-sharing terms; it is not a missing incorporated fee component.
 物理页16,17,39,40,43,44：Death, TPD and CI limitations are read separately; absence of12-month qualification from TPD pre-existing exclusion is not silently rewritten to match death.</t>
  </si>
  <si>
    <t xml:space="preserve">All 53 present pages read. Two operative bilingual date anchors differ and no governing-language priority or corrective endorsement was observed.</t>
  </si>
  <si>
    <t xml:space="preserve">independent-qa.json#/documents/issues-and-clarifications.json/records/14</t>
  </si>
  <si>
    <t xml:space="preserve">execution-evidence.json#/documents/group2~1B23-MY-015-result.json</t>
  </si>
  <si>
    <t xml:space="preserve">Credit Protector Plus-i</t>
  </si>
  <si>
    <t xml:space="preserve">qa-b23-full-review-20261026/issues-and-clarifications.json#/records/14</t>
  </si>
  <si>
    <t xml:space="preserve">e88f28d47549eb49c8849a1907dbb88d346f40af409837f13f7ebe7f65bdf130</t>
  </si>
  <si>
    <t xml:space="preserve">execution-evidence.json#/documents/group2~1B23-MY-015-page-notes.json</t>
  </si>
  <si>
    <t xml:space="preserve">independent-qa.json#/documents/page-review-proof.json/by_task/B23-MY-015</t>
  </si>
  <si>
    <t xml:space="preserve">B23-MY-016</t>
  </si>
  <si>
    <t xml:space="preserve">independent-qa.json#/documents/accepted-rows.json/15</t>
  </si>
  <si>
    <t xml:space="preserve">016-residual-death-timing 物理页14,32：TPD2.6 English reduces residual death cover from approval date; Malay uses onset date and explicit onset sum denominator. Both visually enlarged; live bilingual timing/calculation divergence.
016-incontestability 物理页7,25：General9 English two years from issue date versus Malay commencement date, separately defined dates.
016-wakalah-refund 物理页10,27：19.3 English expressly includes any required refund after mismanagement, absent Malay;19.4 English whole/part wakalah fee refund if any on dissolution versus Malay no surrender cash value statement. Cash value and fee are not necessarily same, but materially different express refund language needs reconciliation.
016-party-rights 物理页5,6,8,11,22,23,25,26,28：English defines certificate issued to holder and you as holder, holder surrender/master termination and certificate ownership; Malay individual certificate ownership and person-covered surrender, insurer-only master termination, omits matching you definition. Different actors/right allocation beyond missing individualized schedule.</t>
  </si>
  <si>
    <t xml:space="preserve">物理页1-17：English cover and 16 printed pages: contents, intro, master schedule, general, death, TPD
物理页18-35：Malay cover and 17 printed pages of corresponding components</t>
  </si>
  <si>
    <t xml:space="preserve">qa-b23-full-review-20261026/accepted-rows.json#/15</t>
  </si>
  <si>
    <t xml:space="preserve">acquisition-regional-my-id-th/originals/MY-SUN-027_Group_Term_Takaful_GTT_SO_Master_Contract_-_Surplus_Initiative_1a4dbb241b.pdf</t>
  </si>
  <si>
    <t xml:space="preserve">016-residual-death-timing；016-incontestability；016-wakalah-refund；016-party-rights</t>
  </si>
  <si>
    <t xml:space="preserve"> 物理页1,18：Malay PIDM paragraph names Assurance but operative header/definitions identify Takaful. Bounded issuer-notice defect; do not reclassify product as Assurance.
 物理页3,10,20,27：Malay intro says contribution borne by us; operative18.1 both languages use participant surplus RM5 per RM1000 for one year. Specific funding provision limits intro discrepancy.
 物理页14,15,17,32,33,35：TPD70 cap and working18-65/nonworking66-70 age categories match bilingual text; anatomical alternatives also exist. No invented70/75 issue.
 物理页4,21：Both master schedules present, with amount determined from eligible surplus. No personal certificate supplied; that alone not strict veto.
 物理页9,11,27,28：EN FATCA conditional cashvalue refund omitted Malay, but both surrender clauses deny cash surrender; not an assertion actual cash value exists.
 物理页12,29：BM28.2/28.3 duplicate amount/termination sentence rather than separate benefits; not double payment.</t>
  </si>
  <si>
    <t xml:space="preserve">independent-qa.json#/documents/issues-and-clarifications.json/records/15</t>
  </si>
  <si>
    <t xml:space="preserve">execution-evidence.json#/documents/group1~1B23-MY-016-result.json</t>
  </si>
  <si>
    <t xml:space="preserve">GTT SO / GTTSO</t>
  </si>
  <si>
    <t xml:space="preserve">Group Term Takaful (Surplus Initiative)</t>
  </si>
  <si>
    <t xml:space="preserve">qa-b23-full-review-20261026/issues-and-clarifications.json#/records/15</t>
  </si>
  <si>
    <t xml:space="preserve">0af2e2f2ede032bc1aab0c79e78813a31d40d57697f796b397c204ac866f7c66</t>
  </si>
  <si>
    <t xml:space="preserve">execution-evidence.json#/documents/group1~1B23-MY-016-pages.jsonl</t>
  </si>
  <si>
    <t xml:space="preserve">independent-qa.json#/documents/page-review-proof.json/by_task/B23-MY-016</t>
  </si>
  <si>
    <t xml:space="preserve">B23-MY-017</t>
  </si>
  <si>
    <t xml:space="preserve">independent-qa.json#/documents/accepted-rows.json/16</t>
  </si>
  <si>
    <t xml:space="preserve">GTTBH-incontestability-date 物理页4,6,17,20：EN9.1/9.2 use certificate issue date for2-year incontestability; BM9.1/9.2 use certificate commencement date. The dates are separately defined in the document and not established as identical.3x visual comparison confirms the difference.</t>
  </si>
  <si>
    <t xml:space="preserve">物理页1-13：EN cover, introduction, general and death benefit provisions.
物理页14-26：BM counterpart, all present pages.</t>
  </si>
  <si>
    <t xml:space="preserve">qa-b23-full-review-20261026/accepted-rows.json#/16</t>
  </si>
  <si>
    <t xml:space="preserve">acquisition-regional-my-id-th/originals/MY-SUN-028_Group_Term_Takaful_GTT_BH_Master_Contract_-_MySinarKasih_Sun_Life_Campaign_e396fef9b9.pdf</t>
  </si>
  <si>
    <t xml:space="preserve">GTTBH-incontestability-date</t>
  </si>
  <si>
    <t xml:space="preserve">GTTBH-schedule-boundary 物理页2,3,4,15,16,17：GTTBH002 master schedule folio3 absent in both language sequences; holder and selected individual terms not established. Not the sole veto.</t>
  </si>
  <si>
    <t xml:space="preserve"> 物理页11,12,13,24,25,26：Specific death-benefit allocation and express inapplicability of nomination control over generic nominee terminology; no ordinary-nominee entitlement assumed.
 物理页2,12,15,25：EN contents death-benefit locator13 versus actual printed12 is a navigation issue, not itself substantive coverage conflict.</t>
  </si>
  <si>
    <t xml:space="preserve">independent-qa.json#/documents/issues-and-clarifications.json/records/16</t>
  </si>
  <si>
    <t xml:space="preserve">execution-evidence.json#/documents/group3~1B23-MY-017-result.json</t>
  </si>
  <si>
    <t xml:space="preserve">Group Term Takaful GTT BH / MySinarKasih campaign</t>
  </si>
  <si>
    <t xml:space="preserve">qa-b23-full-review-20261026/issues-and-clarifications.json#/records/16</t>
  </si>
  <si>
    <t xml:space="preserve">e09698a9d0fdd6defadbc5a9a4a9473d9c0abfd786fd2ab5f8574af624f34a35</t>
  </si>
  <si>
    <t xml:space="preserve">execution-evidence.json#/documents/group3~1B23-MY-017-pages.json</t>
  </si>
  <si>
    <t xml:space="preserve">independent-qa.json#/documents/page-review-proof.json/by_task/B23-MY-017</t>
  </si>
  <si>
    <t xml:space="preserve">B23-MY-018</t>
  </si>
  <si>
    <t xml:space="preserve">independent-qa.json#/documents/accepted-rows.json/17</t>
  </si>
  <si>
    <t xml:space="preserve">GPF00004-missing-incorporated-rates-fees 物理页8,14,18,19,22,28,33,34：EN13.1 incorporates contribution-rate AppendixIII;14.1 incorporates wakalah AppendixIV. BM13.1/14.1 refer to combined contribution/wakalah AppendixIII. Present bytes include only AppendicesI-II and contents list only these; incorporated master-rate/fee components remain absent, beyond an individual schedule boundary.
GPF00004-commencement-date 物理页10,25：EN4.1 commences on the financing disbursement-letter date; BM4.1 uses financing-facility approval date. No language-priority or corrective replacement observed in this exact file.</t>
  </si>
  <si>
    <t xml:space="preserve">2015 whole master-clause replacement/TPD-onset/tax/FATCA pp1-4
Insurer-name notice p5
EN cover/2012 notice/contents/body/appendicesI-II pp6-19
BM cover/2012 notice/contents/body/appendicesI-II pp20-34</t>
  </si>
  <si>
    <t xml:space="preserve">qa-b23-full-review-20261026/accepted-rows.json#/17</t>
  </si>
  <si>
    <t xml:space="preserve">acquisition-regional-my-id-th/originals/MY-SUN-035_Awam-i_Protector_Plus_Contract_90af00c7a8.pdf</t>
  </si>
  <si>
    <t xml:space="preserve">GPF00004-missing-incorporated-rates-fees；GPF00004-commencement-date</t>
  </si>
  <si>
    <t xml:space="preserve">GPF00004-personal-scope 物理页9,23：Personal certificate, sum/term and individual adoption not verified. Not by itself a strict veto.</t>
  </si>
  <si>
    <t xml:space="preserve"> 物理页1,2,3,4,10,24：2015 whole master-contract clause supersedes the old wording; no old/new disclosure conflict retained.
 物理页7,15,21,29：2012 general notice distinguishes surplus from non-surplus plans; this plan expressly does not share surplus, so no blanket50/50 assumption.
 物理页12,13,16,26,27,30：Specific exclusion-related death-only continuation qualifies generic ending language; not treated as automatic total termination.
 物理页18,19,33,34：Both reducing-sum and cash-value formula appendices are present and read; this does not supply the missing rate/fee appendices.</t>
  </si>
  <si>
    <t xml:space="preserve">All 34 present pages read; incorporated nonpersonal contribution/wakalah schedules are absent and EN/BM commencement anchor differs.</t>
  </si>
  <si>
    <t xml:space="preserve">independent-qa.json#/documents/issues-and-clarifications.json/records/17</t>
  </si>
  <si>
    <t xml:space="preserve">execution-evidence.json#/documents/group2~1B23-MY-018-result.json</t>
  </si>
  <si>
    <t xml:space="preserve">GPF00004</t>
  </si>
  <si>
    <t xml:space="preserve">CIMB Aviva Takaful Berhad, renamed Sun Life Malaysia Takaful Berhad by notice in file</t>
  </si>
  <si>
    <t xml:space="preserve">Awam-i Protector Plus</t>
  </si>
  <si>
    <t xml:space="preserve">qa-b23-full-review-20261026/issues-and-clarifications.json#/records/17</t>
  </si>
  <si>
    <t xml:space="preserve">4e4e803e03bf9795db5f3a4f36cc37445d25f3c85f7b82949273a546e0093769</t>
  </si>
  <si>
    <t xml:space="preserve">execution-evidence.json#/documents/group2~1B23-MY-018-page-notes.json</t>
  </si>
  <si>
    <t xml:space="preserve">independent-qa.json#/documents/page-review-proof.json/by_task/B23-MY-018</t>
  </si>
  <si>
    <t xml:space="preserve">B23-MY-019</t>
  </si>
  <si>
    <t xml:space="preserve">independent-qa.json#/documents/accepted-rows.json/18</t>
  </si>
  <si>
    <t xml:space="preserve">019-missing-rate-wakalah-appendix 物理页4,10,15,16,19,25,31,32：Both contents and operative13/14 incorporate AppendixIII contribution-rate/wakalah schedule; both versions physically omit that appendix while retaining AppendixIV cashvalue examples. This is missing incorporated generic tariff/fee component, not merely personal schedule.</t>
  </si>
  <si>
    <t xml:space="preserve">物理页1：Name change19Aug2013
物理页2-16：English cover, surplusnotice1Jan2012, contents/base printed1-12 then14; AppendixIII printed13 missing
物理页17-32：Malay cover, surplusnotice, contents/base printed1-13 then15; AppendixIII printed14 missing</t>
  </si>
  <si>
    <t xml:space="preserve">qa-b23-full-review-20261026/accepted-rows.json#/18</t>
  </si>
  <si>
    <t xml:space="preserve">acquisition-regional-my-id-th/originals/MY-SUN-039_Cash_Plus-i_Protector_Plan_Contract_2cefe456e8.pdf</t>
  </si>
  <si>
    <t xml:space="preserve">019-missing-rate-wakalah-appendix</t>
  </si>
  <si>
    <t xml:space="preserve"> 物理页1,2,17：2013 namechange expressly links former CIMB Aviva and Sun Life Takaful; not identity ambiguity.
 物理页3,10,18,26：2012 notice removes Special Fund and replaces surplus management; superseded special-fund reference not live contradiction. No-surplus product falls under retainedfund/charity rather than50percent participant-sharing allocation.
 物理页6,22：Both commencement descriptions use financing disbursement/payment letter, not financing approval date; do not import adjacent product issue.
 物理页8,11,24,27：Specific deathcontinuation after excludedTPD qualifies genericTPD termination. No standalone contradiction asserted.
 物理页14,15,16,30,31,32：Reducing formula and cashvalue formulas/tables read. Enlarged5x clipped display confirms BOTH annuity exponents are negative (n-t) and negative n; suspected missing-minus rejected. Tables show75percent initial and zero at respective12/24/36/48/60month ends. No actuarial/legal validation claimed.
 物理页11,15,27,31：Surrender appendix confines cash surrender to earlysettlement and general excludesRM20orless payout; do not infer unrestricted surrendervalue.</t>
  </si>
  <si>
    <t xml:space="preserve">independent-qa.json#/documents/issues-and-clarifications.json/records/18</t>
  </si>
  <si>
    <t xml:space="preserve">execution-evidence.json#/documents/group1~1B23-MY-019-result.json</t>
  </si>
  <si>
    <t xml:space="preserve">Cash Plus-i Protector</t>
  </si>
  <si>
    <t xml:space="preserve">Sun Life Malaysia Takaful Berhad, formerly CIMB Aviva Takaful Berhad</t>
  </si>
  <si>
    <t xml:space="preserve">Cash Plus-i Protector Plan</t>
  </si>
  <si>
    <t xml:space="preserve">qa-b23-full-review-20261026/issues-and-clarifications.json#/records/18</t>
  </si>
  <si>
    <t xml:space="preserve">77d1894ea0103b8d40ea2752b3bbbfe688a172f8fc6695f310cc9b4b2bf62ae8</t>
  </si>
  <si>
    <t xml:space="preserve">execution-evidence.json#/documents/group1~1B23-MY-019-pages.jsonl</t>
  </si>
  <si>
    <t xml:space="preserve">independent-qa.json#/documents/page-review-proof.json/by_task/B23-MY-019</t>
  </si>
  <si>
    <t xml:space="preserve">B23-MY-020</t>
  </si>
  <si>
    <t xml:space="preserve">independent-qa.json#/documents/accepted-rows.json/19</t>
  </si>
  <si>
    <t xml:space="preserve">CPC-incorporated-financial-components-missing 物理页6,12,13,24,26,32,33,46：Contents expressly list CPC005 contributions, CPC006 TPA fee and CPC007 cancellation refund. EN present base ends at printed20 before listed21-23; BM ends22 before23-25. General16.1 incorporates CPC006 and23.2 incorporates CPC007, so operative fee/refund components are absent; this is not merely an individual master schedule.</t>
  </si>
  <si>
    <t xml:space="preserve">物理页1-4：January 2015 EN/BM master-contract, reinstatement and tax amendment.
物理页5-24：EN cover through benefit table; financial schedules listed but absent.
物理页25-46：BM cover through benefit table; corresponding schedules absent.</t>
  </si>
  <si>
    <t xml:space="preserve">qa-b23-full-review-20261026/accepted-rows.json#/19</t>
  </si>
  <si>
    <t xml:space="preserve">acquisition-regional-my-id-th/originals/MY-SUN-040_CuepacsCare_Contract_b4aac8e0c7.pdf</t>
  </si>
  <si>
    <t xml:space="preserve">CPC-incorporated-financial-components-missing</t>
  </si>
  <si>
    <t xml:space="preserve">CPC-endorsement-target-numbering 物理页1,3,9,29：2015 EN says replace master-contract clause3 but replacement subclauses are3.1/2.2/2.3; BM says replace clause2 with2.1/2.2/2.3. Both bases place interpretation in2 and master contract in3. Retain unresolved amendment-target numbering ambiguity; do not silently renumber.</t>
  </si>
  <si>
    <t xml:space="preserve"> 物理页1,3,11,31：2015 deletion of reinstatement15.3 takes precedence; deleted base text is not a live extra condition.
 物理页24,46：EN/BM benefit-table key monetary limits agree; historical6% tax figure is not verified as a current rate.
 物理页15：3x check corrects shorthand: doctor definition excludes participant themself, not an additional family-member exclusion.</t>
  </si>
  <si>
    <t xml:space="preserve">independent-qa.json#/documents/issues-and-clarifications.json/records/19</t>
  </si>
  <si>
    <t xml:space="preserve">execution-evidence.json#/documents/group3~1B23-MY-020-result.json</t>
  </si>
  <si>
    <t xml:space="preserve">CPC0814</t>
  </si>
  <si>
    <t xml:space="preserve">CuepacsCare</t>
  </si>
  <si>
    <t xml:space="preserve">qa-b23-full-review-20261026/issues-and-clarifications.json#/records/19</t>
  </si>
  <si>
    <t xml:space="preserve">51f47b7cb22c36d68a5e22da4bca9dc626178ed51242939ddc678dbd676afc02</t>
  </si>
  <si>
    <t xml:space="preserve">execution-evidence.json#/documents/group3~1B23-MY-020-pages.json</t>
  </si>
  <si>
    <t xml:space="preserve">independent-qa.json#/documents/page-review-proof.json/by_task/B23-MY-020</t>
  </si>
  <si>
    <t xml:space="preserve">B24历史严格状态</t>
  </si>
  <si>
    <t xml:space="preserve">B24发布快照</t>
  </si>
  <si>
    <t xml:space="preserve">历史QA接受严格状态</t>
  </si>
  <si>
    <t xml:space="preserve">B24历史问题及范围边界</t>
  </si>
  <si>
    <t xml:space="preserve">B24-MY-001</t>
  </si>
  <si>
    <t xml:space="preserve">All50pages independently read. Three operative bilingual questions remain: infectious TPD accidental-TPD versus accidental-death amount reference(p7/11), claims arising versus submitted before termination(p24/43), lineal versus close-relative doctor exclusion(p20/38), each independently3x reread. Retain all nine execution clarifications: no reversed third-party deduction, no missing printed page, no heading-only gender rule, correct clause19, explicit2018/2019supersession. FI/NFI source subtype unproved and distinctSHA preserved; not sole strict veto.</t>
  </si>
  <si>
    <t xml:space="preserve">基础版次、来源分类和个人合同包边界见逐项QA事实；日期不推定当前采用。</t>
  </si>
  <si>
    <t xml:space="preserve">[{"component":"02/2019 bilingual endorsement; effective2019-07-01; A(s)/G replacement","pages":[1,2,3,4]},{"component":"01/2018 bilingual endorsement; effective2018-07-01; specified-infectious-disease benefits and general provisions","pages":[5,6,7,8,9,10,11,12]},{"component":"2013-08-19 name-change notice","pages":[13]},{"component":"CIMB Aviva English base cover plus numbered1-17","pages":[14,15,16,17,18,19,20,21,22,23,24,25,26,27,28,29,30,31]},{"component":"CIMB Aviva Malay base cover plus numbered1-18","pages":[32,33,34,35,36,37,38,39,40,41,42,43,44,45,46,47,48,49,50]}]</t>
  </si>
  <si>
    <t xml:space="preserve">qa-b24-full-review-20261026/accepted-rows.json#/0</t>
  </si>
  <si>
    <t xml:space="preserve">acquisition-regional-my-id-th/originals/MY-SUN-107_Takaful_PA_SmartPro_Contract_Financial_Institution_2514a7e822.pdf</t>
  </si>
  <si>
    <t xml:space="preserve">4e7d66dbb9a7c3ab31a3d955513e5464deacefc80faaa087c39b0e5ee5aad5a5</t>
  </si>
  <si>
    <t xml:space="preserve">001-F1；001-F2；001-F3</t>
  </si>
  <si>
    <t xml:space="preserve">逐项保留来源／个人合同包／适用边界及其他正文问题：B24复核事项!A2:I30</t>
  </si>
  <si>
    <t xml:space="preserve">完整澄清、撤回和QA修订事实：B24复核事项!A2:I30</t>
  </si>
  <si>
    <t xml:space="preserve">execution-evidence.json#/documents/group1~1001-result.json</t>
  </si>
  <si>
    <t xml:space="preserve">{"base_operator":"CIMB Aviva Takaful Berhad","endorsement_operator":"Sun Life Malaysia Takaful Berhad"}</t>
  </si>
  <si>
    <t xml:space="preserve">Takaful PA SmartPro</t>
  </si>
  <si>
    <t xml:space="preserve">qa-b24-full-review-20261026/issues-and-clarifications.json#/records/0</t>
  </si>
  <si>
    <t xml:space="preserve">0c30304ccebcfbafdab261b6b9a41b5b12c9364c7fe4d8ca213c8e8d1cb93910</t>
  </si>
  <si>
    <t xml:space="preserve">execution-evidence.json#/documents/group1~1001-page-proof.jsonl</t>
  </si>
  <si>
    <t xml:space="preserve">independent-qa.json#/documents/page-review-proof.json/by_task/B24-MY-001</t>
  </si>
  <si>
    <t xml:space="preserve">B24-MY-002</t>
  </si>
  <si>
    <t xml:space="preserve">Unresolved substantive issue(s); missing personal schedule/current source cutoff alone are not the veto.</t>
  </si>
  <si>
    <t xml:space="preserve">Observed in-file codes/amendment dates do not establish base edition, current sale/adoption or issued personal package.</t>
  </si>
  <si>
    <t xml:space="preserve">[{"component":"2019 bilingual fund/Qard amendment","physical_pages":"1–4"},{"component":"2018 bilingual disease and general-provision amendment","physical_pages":"5–12"},{"component":"bilingual historical name-change notice","physical_pages":"13"},{"component":"English cover and printed 1–17 base","physical_pages":"14–31"},{"component":"Malay cover and printed 1–18 base","physical_pages":"32–50"}]</t>
  </si>
  <si>
    <t xml:space="preserve">qa-b24-full-review-20261026/accepted-rows.json#/1</t>
  </si>
  <si>
    <t xml:space="preserve">acquisition-regional-my-id-th/originals/MY-SUN-105_Takaful_PA_SmartPro_Contract_Non-financial_Institution_4f3084f52e.pdf</t>
  </si>
  <si>
    <t xml:space="preserve">002-infectious-TPD-reference；002-termination-claim-timing</t>
  </si>
  <si>
    <t xml:space="preserve">逐项保留来源／个人合同包／适用边界及其他正文问题：B24复核事项!A31:I46</t>
  </si>
  <si>
    <t xml:space="preserve">完整澄清、撤回和QA修订事实：B24复核事项!A31:I46</t>
  </si>
  <si>
    <t xml:space="preserve">execution-evidence.json#/documents/group2~1B24-MY-002-result.json</t>
  </si>
  <si>
    <t xml:space="preserve">CIMB Aviva Takaful Berhad; in-file name-change bridge to Sun Life Malaysia Takaful Berhad</t>
  </si>
  <si>
    <t xml:space="preserve">Takaful PA SmartPro; FI/NFI subtype unproved</t>
  </si>
  <si>
    <t xml:space="preserve">qa-b24-full-review-20261026/issues-and-clarifications.json#/records/1</t>
  </si>
  <si>
    <t xml:space="preserve">457607f243892015b8d14e508e1e2f70f56b8a5149209939ebff04fcee2e5220</t>
  </si>
  <si>
    <t xml:space="preserve">execution-evidence.json#/documents/group2~1B24-MY-002-pages.json</t>
  </si>
  <si>
    <t xml:space="preserve">independent-qa.json#/documents/page-review-proof.json/by_task/B24-MY-002</t>
  </si>
  <si>
    <t xml:space="preserve">B24-MY-003</t>
  </si>
  <si>
    <t xml:space="preserve">[{"component":"2019 bilingual surplus amendment","physical_pages":"1–2"},{"component":"2016 bilingual replacement of four juvenile critical illness definitions","physical_pages":"3–6"},{"component":"2015 bilingual constitution replacement and tax/FATCA addition","physical_pages":"7–10"},{"component":"historical bilingual name-change notice","physical_pages":"11"},{"component":"English cover and printed1–20 base including compulsory rider","physical_pages":"12–32"},{"component":"Malay cover and printed1–22 base including compulsory rider","physical_pages":"33–55"}]</t>
  </si>
  <si>
    <t xml:space="preserve">qa-b24-full-review-20261026/accepted-rows.json#/2</t>
  </si>
  <si>
    <t xml:space="preserve">acquisition-regional-my-id-th/originals/MY-SUN-103_Takaful_Child_Protector_Contract_a426d72a21.pdf</t>
  </si>
  <si>
    <t xml:space="preserve">003-undefined-ADL-set；003-waiting-grace-exclusion；003-incorporated-financial-schedule</t>
  </si>
  <si>
    <t xml:space="preserve">逐项保留来源／个人合同包／适用边界及其他正文问题：B24复核事项!A47:I63</t>
  </si>
  <si>
    <t xml:space="preserve">完整澄清、撤回和QA修订事实：B24复核事项!A47:I63</t>
  </si>
  <si>
    <t xml:space="preserve">execution-evidence.json#/documents/group2~1B24-MY-003-result.json</t>
  </si>
  <si>
    <t xml:space="preserve">Takaful Child Protector</t>
  </si>
  <si>
    <t xml:space="preserve">qa-b24-full-review-20261026/issues-and-clarifications.json#/records/2</t>
  </si>
  <si>
    <t xml:space="preserve">682a1164fc3af084ac1928ae720b379d98efe38bfac0aac948ea871fc638264c</t>
  </si>
  <si>
    <t xml:space="preserve">execution-evidence.json#/documents/group2~1B24-MY-003-pages.json</t>
  </si>
  <si>
    <t xml:space="preserve">independent-qa.json#/documents/page-review-proof.json/by_task/B24-MY-003</t>
  </si>
  <si>
    <t xml:space="preserve">B24-MY-004</t>
  </si>
  <si>
    <t xml:space="preserve">[{"component":"2025 bilingual sanctions amendment","physical_pages":"1–2"},{"component":"2021 bilingual TPD replacement","physical_pages":"3–7"},{"component":"2020 bilingual age/gender/cash-value/fund/wakalah replacement","physical_pages":"8–12"},{"component":"2019 bilingual change-of-contract replacement","physical_pages":"13–14"},{"component":"2019 bilingual small-payment/surrender/TPD/surplus amendment","physical_pages":"15–18"},{"component":"English GTFT2015 cover and present base annexures; printed sequence gaps3,19–20","physical_pages":"19–37"},{"component":"Malay GTFT2015 cover and present base annexures; printed sequence gaps3,20–21","physical_pages":"38–57"}]</t>
  </si>
  <si>
    <t xml:space="preserve">qa-b24-full-review-20261026/accepted-rows.json#/3</t>
  </si>
  <si>
    <t xml:space="preserve">acquisition-regional-my-id-th/originals/MY-SUN-042_Group_Term_Financing_Takaful_Master_Contract_GTFT_2015_-_for_certificate_issued_after_2015_ca4facc39d.pdf</t>
  </si>
  <si>
    <t xml:space="preserve">004-formula-month-boundary</t>
  </si>
  <si>
    <t xml:space="preserve">逐项保留来源／个人合同包／适用边界及其他正文问题：B24复核事项!A64:I81</t>
  </si>
  <si>
    <t xml:space="preserve">完整澄清、撤回和QA修订事实：B24复核事项!A64:I81</t>
  </si>
  <si>
    <t xml:space="preserve">execution-evidence.json#/documents/group2~1B24-MY-004-result.json</t>
  </si>
  <si>
    <t xml:space="preserve">GTFT0315; annexures GTFT001 and GTFT003–009</t>
  </si>
  <si>
    <t xml:space="preserve">Group Term Financing Takaful (GTFT 2015)</t>
  </si>
  <si>
    <t xml:space="preserve">qa-b24-full-review-20261026/issues-and-clarifications.json#/records/3</t>
  </si>
  <si>
    <t xml:space="preserve">c4fa23d429882510894cc2c02b9a09933bfad4a8c93cdea76fa9574fe9e26cff</t>
  </si>
  <si>
    <t xml:space="preserve">execution-evidence.json#/documents/group2~1B24-MY-004-pages.json</t>
  </si>
  <si>
    <t xml:space="preserve">independent-qa.json#/documents/page-review-proof.json/by_task/B24-MY-004</t>
  </si>
  <si>
    <t xml:space="preserve">B24-MY-005</t>
  </si>
  <si>
    <t xml:space="preserve">All69presentpages independently read. Confirm death-exclusion account-value versus cash-value amount basis(p39/60, cash definitionp35/55), no amendment resolves it. All three other_body_component_version_questions fully reviewed: undatedRM50pairs have uncertain chronology but both replaceRM53, no doublefee; printed-page gaps/22of32 anomaly do not alone prove missing substantive tables,009expressly refers fee to certificate and010present; both formula languages retain positive-rate(t-1) versus zero-rate(t) branch indexing needing numerical-use clarification, not proven error. Sanctions002/003heading bounded by identicalclause26and nonoperative-heading rule, not retained as separate scope conflict. All11 executionclarifications retained; no actual claim/invalidity inference.</t>
  </si>
  <si>
    <t xml:space="preserve">[{"component":"2025-12-06 sanctions endorsement","pages":[1,2]},{"component":"2022-06-27 nominee replacement and named CIMB holders","pages":[3,4]},{"component":"2021-06-01 TPD cap/definition/exclusions replacement","pages":[5,6,7,8,9]},{"component":"2020-07-01 principles, age/gender, account/fund and wakalah replacement","pages":[10,11,12,13,14,15,16]},{"component":"2019-07-01 change-notice replacement","pages":[17,18]},{"component":"2019-07-01 small payments, TPD, final benefit, surplus/profit eligibility","pages":[19,20,21,22]},{"component":"Undated plain RM50 surrender-charge replacement","pages":[23,24]},{"component":"Undated RM50 including GST0% surrender-charge replacement","pages":[25,26]},{"component":"English base cover and existing numbered pages, MRTT001/003–010","pages":[27,28,29,30,31,32,33,34,35,36,37,38,39,40,41,42,43,44,45,46]},{"component":"Malay base cover and existing numbered pages, MRTT001/003–010","pages":[47,48,49,50,51,52,53,54,55,56,57,58,59,60,61,62,63,64,65,66,67,68,69]}]</t>
  </si>
  <si>
    <t xml:space="preserve">qa-b24-full-review-20261026/accepted-rows.json#/4</t>
  </si>
  <si>
    <t xml:space="preserve">acquisition-regional-my-id-th/originals/MY-SUN-044_Group_Mortgage_Reducing_Term_Takaful_Master_Contract_MRTT_2015_0de2a08b0a.pdf</t>
  </si>
  <si>
    <t xml:space="preserve">005-F1</t>
  </si>
  <si>
    <t xml:space="preserve">逐项保留来源／个人合同包／适用边界及其他正文问题：B24复核事项!A82:I117</t>
  </si>
  <si>
    <t xml:space="preserve">完整澄清、撤回和QA修订事实：B24复核事项!A82:I117</t>
  </si>
  <si>
    <t xml:space="preserve">execution-evidence.json#/documents/group1~1005-result.json</t>
  </si>
  <si>
    <t xml:space="preserve">["MTTC0615","MTTI0615"]</t>
  </si>
  <si>
    <t xml:space="preserve">p3–4 explicitly CIMB Bank Berhad and CIMB Islamic Bank Berhad</t>
  </si>
  <si>
    <t xml:space="preserve">Group Mortgage Reducing Term Takaful (MRTT2015)</t>
  </si>
  <si>
    <t xml:space="preserve">qa-b24-full-review-20261026/issues-and-clarifications.json#/records/4</t>
  </si>
  <si>
    <t xml:space="preserve">c63c8acea2bb23a6e4ad5bf50906d4e948bd16833ea9f9e76f39c6a92f45d27d</t>
  </si>
  <si>
    <t xml:space="preserve">execution-evidence.json#/documents/group1~1005-page-proof.jsonl</t>
  </si>
  <si>
    <t xml:space="preserve">independent-qa.json#/documents/page-review-proof.json/by_task/B24-MY-005</t>
  </si>
  <si>
    <t xml:space="preserve">B24-MY-006</t>
  </si>
  <si>
    <t xml:space="preserve">[{"component":"2025 sanctions amendment","physical_pages":"1–2"},{"component":"2022 nominee replacement, naming CIMB Bank Berhad and CIMB Islamic Bank Berhad","physical_pages":"3–4"},{"component":"2021 TPD replacement","physical_pages":"5–9"},{"component":"2020 principles/definitions/age/gender/fund/wakalah replacement","physical_pages":"10–16"},{"component":"2019 change-contract and small-payment/surrender/TPD/final-benefit/surplus changes","physical_pages":"17–22"},{"component":"September and June 2018 surrender-charge replacements","physical_pages":"23–26"},{"component":"English cover/base, printed 3 and 19–27 absent","physical_pages":"27–45"},{"component":"Malay cover/base, printed 3 and 22–29 absent","physical_pages":"46–67"}]</t>
  </si>
  <si>
    <t xml:space="preserve">qa-b24-full-review-20261026/accepted-rows.json#/5</t>
  </si>
  <si>
    <t xml:space="preserve">acquisition-regional-my-id-th/originals/MY-SUN-045_Group_Mortgage_Reducing_Term_Takaful_Master_Contract_MRTT_2015_-_Business_Financing_704b1f110c.pdf</t>
  </si>
  <si>
    <t xml:space="preserve">006-incorporated-wakalah-component；006-excluded-death-refund-basis；006-formula-month-boundary</t>
  </si>
  <si>
    <t xml:space="preserve">逐项保留来源／个人合同包／适用边界及其他正文问题：B24复核事项!A118:I137</t>
  </si>
  <si>
    <t xml:space="preserve">完整澄清、撤回和QA修订事实：B24复核事项!A118:I137</t>
  </si>
  <si>
    <t xml:space="preserve">execution-evidence.json#/documents/group2~1B24-MY-006-result.json</t>
  </si>
  <si>
    <t xml:space="preserve">GBTC0615 and GBTI0615</t>
  </si>
  <si>
    <t xml:space="preserve">Group Mortgage Reducing Term Takaful (MRTT 2015) – Business Financing</t>
  </si>
  <si>
    <t xml:space="preserve">qa-b24-full-review-20261026/issues-and-clarifications.json#/records/5</t>
  </si>
  <si>
    <t xml:space="preserve">65c2f0dc7a6924444b6506e0a58f051fe4a321ca3067d4ad4ee91c17f33e8a1f</t>
  </si>
  <si>
    <t xml:space="preserve">execution-evidence.json#/documents/group2~1B24-MY-006-pages.json</t>
  </si>
  <si>
    <t xml:space="preserve">independent-qa.json#/documents/page-review-proof.json/by_task/B24-MY-006</t>
  </si>
  <si>
    <t xml:space="preserve">B24-MY-007</t>
  </si>
  <si>
    <t xml:space="preserve">[{"component":"2020 bilingual principles/definition/age/gender/fund/wakalah replacement","physical_pages":"1–8"},{"component":"2019 bilingual notice/small-payment/final-benefit/surplus changes","physical_pages":"9–11"},{"component":"English cover and base printed1–19 with3/MRTT002 absent","physical_pages":"12–29"},{"component":"Malay cover and base printed1–20 with3/MRTT002 absent","physical_pages":"30–48"}]</t>
  </si>
  <si>
    <t xml:space="preserve">qa-b24-full-review-20261026/accepted-rows.json#/6</t>
  </si>
  <si>
    <t xml:space="preserve">acquisition-regional-my-id-th/originals/MY-SUN-046_Mortgage_Reducing_Term_Takaful_Master_Contract_-_Bank_Rakyat_Cert_after_2015_9e859a0e75.pdf</t>
  </si>
  <si>
    <t xml:space="preserve">007-wakalah-threshold；007-TPD-onset-qualification；007-formula-month-boundary</t>
  </si>
  <si>
    <t xml:space="preserve">逐项保留来源／个人合同包／适用边界及其他正文问题：B24复核事项!A138:I159</t>
  </si>
  <si>
    <t xml:space="preserve">完整澄清、撤回和QA修订事实：B24复核事项!A138:I159</t>
  </si>
  <si>
    <t xml:space="preserve">execution-evidence.json#/documents/group2~1B24-MY-007-result.json</t>
  </si>
  <si>
    <t xml:space="preserve">MTTR0315 (exact endorsement spelling)</t>
  </si>
  <si>
    <t xml:space="preserve">Group Mortgage Reducing Term Takaful (MRTT); external Bank Rakyat/after-2015 label not independently proved by this body</t>
  </si>
  <si>
    <t xml:space="preserve">qa-b24-full-review-20261026/issues-and-clarifications.json#/records/6</t>
  </si>
  <si>
    <t xml:space="preserve">3461292e8eccc9a029b1e93bd0e0b3a96135cbd8eda03c40ac4b55c77042db83</t>
  </si>
  <si>
    <t xml:space="preserve">execution-evidence.json#/documents/group2~1B24-MY-007-pages.json</t>
  </si>
  <si>
    <t xml:space="preserve">independent-qa.json#/documents/page-review-proof.json/by_task/B24-MY-007</t>
  </si>
  <si>
    <t xml:space="preserve">B24-MY-008</t>
  </si>
  <si>
    <t xml:space="preserve">Unreplaced bilingual refund terminology and operative TPD cross-reference require clarification; personal schedule alone is not veto. Additionally the same-t positive/zero-profit formula month-boundary question remains material and unresolved.</t>
  </si>
  <si>
    <t xml:space="preserve">["2020 endorsement Englishpp1-3/Malaypp4-6","English base coverp7 and pp8-26 (printed1 then2-19; first denominator29)","Malay base coverp27 and pp28-48 (printed1-21, including footer-onlyp42)"]</t>
  </si>
  <si>
    <t xml:space="preserve">qa-b24-full-review-20261026/accepted-rows.json#/7</t>
  </si>
  <si>
    <t xml:space="preserve">acquisition-regional-my-id-th/originals/MY-SUN-048_Group_Mortgage_Reducing_Term_Takaful_Master_Contract_MRTT_-_Al_Rajhi_Bank_ca44720b0c.pdf</t>
  </si>
  <si>
    <t xml:space="preserve">008-death-refund-terminology；008-TPD-definition-reference；008-reducing-sum-formula-month-boundary</t>
  </si>
  <si>
    <t xml:space="preserve">逐项保留来源／个人合同包／适用边界及其他正文问题：B24复核事项!A160:I170</t>
  </si>
  <si>
    <t xml:space="preserve">完整澄清、撤回和QA修订事实：B24复核事项!A160:I170</t>
  </si>
  <si>
    <t xml:space="preserve">execution-evidence.json#/documents/group3~1B24-MY-008-result.json</t>
  </si>
  <si>
    <t xml:space="preserve">AMRT0919</t>
  </si>
  <si>
    <t xml:space="preserve">Al Rajhi Banking &amp; Investment Corporation (Malaysia) Berhad</t>
  </si>
  <si>
    <t xml:space="preserve">Group Mortgage Reducing Term Takaful (MRTT)</t>
  </si>
  <si>
    <t xml:space="preserve">qa-b24-full-review-20261026/issues-and-clarifications.json#/records/7</t>
  </si>
  <si>
    <t xml:space="preserve">a215802832d993ddf30a046edc19d7a8acc0011eca6728a3b69dca9c27c4af26</t>
  </si>
  <si>
    <t xml:space="preserve">execution-evidence.json#/documents/group3~1B24-MY-008-pages.json</t>
  </si>
  <si>
    <t xml:space="preserve">independent-qa.json#/documents/page-review-proof.json/by_task/B24-MY-008</t>
  </si>
  <si>
    <t xml:space="preserve">B24-MY-009</t>
  </si>
  <si>
    <t xml:space="preserve">Undated successive surrender amendments lack exact effective-period mapping; fee band exact350000 differs in language wording. Additionally the same-t positive/zero-profit formula month-boundary question remains material and unresolved.</t>
  </si>
  <si>
    <t xml:space="preserve">["2020ENpp1-4/MSpp5-8;2019ENp9/MSpp10-11","Undated surrenderENp12/MSp13;undatedGST0ENp14/MSp15;1April2015ENp16/MSp17","1January2015ENpp18-19/MSpp20-21; bilingual name-changep22","HistoricalENcoverp23/basepp24-39 printed2,4-18;MScoverp40/basepp41-58 printed2,4-20"]</t>
  </si>
  <si>
    <t xml:space="preserve">qa-b24-full-review-20261026/accepted-rows.json#/8</t>
  </si>
  <si>
    <t xml:space="preserve">acquisition-regional-my-id-th/originals/MY-SUN-049_Group_Mortgage_Reducing_Term_Takaful_Master_Contract_-_for_certificate_issued_after_5th_August_2013_cbe46498c8.pdf</t>
  </si>
  <si>
    <t xml:space="preserve">009-surrender-effective-periods；009-wakalah-exact-boundary；009-reducing-sum-formula-month-boundary</t>
  </si>
  <si>
    <t xml:space="preserve">逐项保留来源／个人合同包／适用边界及其他正文问题：B24复核事项!A171:I181</t>
  </si>
  <si>
    <t xml:space="preserve">完整澄清、撤回和QA修订事实：B24复核事项!A171:I181</t>
  </si>
  <si>
    <t xml:space="preserve">execution-evidence.json#/documents/group3~1B24-MY-009-result.json</t>
  </si>
  <si>
    <t xml:space="preserve">CIMB Aviva Takaful Berhad (historical body); Sun Life Malaysia Takaful Berhad (endorsements/name-change notice)</t>
  </si>
  <si>
    <t xml:space="preserve">qa-b24-full-review-20261026/issues-and-clarifications.json#/records/8</t>
  </si>
  <si>
    <t xml:space="preserve">dc4ee76a34e9b8b0a5cfd7a56155b2ee1e08016e441a1ed7f76f2f1d93f11d64</t>
  </si>
  <si>
    <t xml:space="preserve">execution-evidence.json#/documents/group3~1B24-MY-009-pages.json</t>
  </si>
  <si>
    <t xml:space="preserve">independent-qa.json#/documents/page-review-proof.json/by_task/B24-MY-009</t>
  </si>
  <si>
    <t xml:space="preserve">B24-MY-010</t>
  </si>
  <si>
    <t xml:space="preserve">Undated surrender amendment effective periods and exactRM350000 Malay fee-band overlap unresolved; not personal schedule absence alone. Additionally the same-t positive/zero-profit formula month-boundary question remains material and unresolved.</t>
  </si>
  <si>
    <t xml:space="preserve">["2020ENpp1-4/MSpp5-8;2019ENp9/MSpp10-11","Undated surrenderENp12/MSp13;undatedGST0ENp14/MSp15;1April2015ENp16/MSp17","1January2015ENpp18-19/MSpp20-21","ENcoverp22,contentsp23,basepp24-40 printed2,4-19;MScoverp41,contentsp42,basepp43-60 printed2,4-20"]</t>
  </si>
  <si>
    <t xml:space="preserve">qa-b24-full-review-20261026/accepted-rows.json#/9</t>
  </si>
  <si>
    <t xml:space="preserve">acquisition-regional-my-id-th/originals/MY-SUN-050_Group_Mortgage_Reducing_Term_Takaful_Master_Contract_-_Business_Financing_-_CIMB_Bank_Berhad_826ef1b84b.pdf</t>
  </si>
  <si>
    <t xml:space="preserve">010-surrender-effective-periods；010-wakalah-exact-boundary；010-reducing-sum-formula-month-boundary</t>
  </si>
  <si>
    <t xml:space="preserve">逐项保留来源／个人合同包／适用边界及其他正文问题：B24复核事项!A182:I193</t>
  </si>
  <si>
    <t xml:space="preserve">完整澄清、撤回和QA修订事实：B24复核事项!A182:I193</t>
  </si>
  <si>
    <t xml:space="preserve">execution-evidence.json#/documents/group3~1B24-MY-010-result.json</t>
  </si>
  <si>
    <t xml:space="preserve">GBTC0714</t>
  </si>
  <si>
    <t xml:space="preserve">Group Mortgage Reducing Term Takaful - Business Financing</t>
  </si>
  <si>
    <t xml:space="preserve">qa-b24-full-review-20261026/issues-and-clarifications.json#/records/9</t>
  </si>
  <si>
    <t xml:space="preserve">095498be3b52f893046e137b1a76d37f059aa4c836f32451a88f70a86972c50f</t>
  </si>
  <si>
    <t xml:space="preserve">execution-evidence.json#/documents/group3~1B24-MY-010-pages.json</t>
  </si>
  <si>
    <t xml:space="preserve">independent-qa.json#/documents/page-review-proof.json/by_task/B24-MY-010</t>
  </si>
  <si>
    <t xml:space="preserve">B24-MY-011</t>
  </si>
  <si>
    <t xml:space="preserve">Undated surrender replacement periods and exactRM350000 bilingual fee-band boundary remain unresolved. Additionally the same-t positive/zero-profit formula month-boundary question remains material and unresolved.</t>
  </si>
  <si>
    <t xml:space="preserve">qa-b24-full-review-20261026/accepted-rows.json#/10</t>
  </si>
  <si>
    <t xml:space="preserve">acquisition-regional-my-id-th/originals/MY-SUN-051_Group_Mortgage_Reducing_Term_Takaful_Master_Contract_-_Business_Financing_-_CIMB_Islamic_Bank_Berhad_bcdcd4331c.pdf</t>
  </si>
  <si>
    <t xml:space="preserve">011-surrender-effective-periods；011-wakalah-exact-boundary；011-reducing-sum-formula-month-boundary</t>
  </si>
  <si>
    <t xml:space="preserve">逐项保留来源／个人合同包／适用边界及其他正文问题：B24复核事项!A194:I205</t>
  </si>
  <si>
    <t xml:space="preserve">完整澄清、撤回和QA修订事实：B24复核事项!A194:I205</t>
  </si>
  <si>
    <t xml:space="preserve">execution-evidence.json#/documents/group3~1B24-MY-011-result.json</t>
  </si>
  <si>
    <t xml:space="preserve">GBTI0714</t>
  </si>
  <si>
    <t xml:space="preserve">qa-b24-full-review-20261026/issues-and-clarifications.json#/records/10</t>
  </si>
  <si>
    <t xml:space="preserve">acd887fc160463ee30dda3acbf414d66b1a578ab20f6fb739d5f6f121a6beebf</t>
  </si>
  <si>
    <t xml:space="preserve">execution-evidence.json#/documents/group3~1B24-MY-011-pages.json</t>
  </si>
  <si>
    <t xml:space="preserve">independent-qa.json#/documents/page-review-proof.json/by_task/B24-MY-011</t>
  </si>
  <si>
    <t xml:space="preserve">B24-MY-012</t>
  </si>
  <si>
    <t xml:space="preserve">Material unresolved same-t positive/zero-profit formula month-boundary interpretation (physical33/51); not missing operative fee/formula content or personal schedule absence.</t>
  </si>
  <si>
    <t xml:space="preserve">["2020ENpp1-4/MSpp5-8;2019ENpp9-10/MSpp11-12;2015ENpp13-14/MSpp15-16","ENcoverp17/basepp18-33;MScoverp34/basepp35-51; GTFT0514 endorsement reference.","ENbase starts printed2,then4; feephysical32 printed17of18 then formula33printed19of19; MSbase starts2,then4;fee50printed18of19 then formula51printed20of20."]</t>
  </si>
  <si>
    <t xml:space="preserve">qa-b24-full-review-20261026/accepted-rows.json#/11</t>
  </si>
  <si>
    <t xml:space="preserve">acquisition-regional-my-id-th/originals/MY-SUN-052_Group_Term_Financing_Takaful_Master_Contract_GTFT_-_for_certificate_issued_prior_to_2015_af52d5c2ed.pdf</t>
  </si>
  <si>
    <t xml:space="preserve">012-reducing-sum-formula-month-boundary</t>
  </si>
  <si>
    <t xml:space="preserve">逐项保留来源／个人合同包／适用边界及其他正文问题：B24复核事项!A206:I217</t>
  </si>
  <si>
    <t xml:space="preserve">完整澄清、撤回和QA修订事实：B24复核事项!A206:I217</t>
  </si>
  <si>
    <t xml:space="preserve">execution-evidence.json#/documents/group3~1B24-MY-012-result.json</t>
  </si>
  <si>
    <t xml:space="preserve">GTFT0514</t>
  </si>
  <si>
    <t xml:space="preserve">Group Term Financing Takaful (GTFT)</t>
  </si>
  <si>
    <t xml:space="preserve">qa-b24-full-review-20261026/issues-and-clarifications.json#/records/11</t>
  </si>
  <si>
    <t xml:space="preserve">59da53c8ef4f06272d4881d666b385850a165a79e3734c3d4178a96e6191d563</t>
  </si>
  <si>
    <t xml:space="preserve">execution-evidence.json#/documents/group3~1B24-MY-012-pages.json</t>
  </si>
  <si>
    <t xml:space="preserve">independent-qa.json#/documents/page-review-proof.json/by_task/B24-MY-012</t>
  </si>
  <si>
    <t xml:space="preserve">B24-MY-013</t>
  </si>
  <si>
    <t xml:space="preserve">[{"component":"2019 bilingual Qard/tabarru/fund/surplus replacement","physical_pages":"1–4"},{"component":"2018 bilingual specified-infectious-disease and general-condition additions","physical_pages":"5–16"},{"component":"Bilingual Ombudsman notice replacement","physical_pages":"17–18"},{"component":"2013 company-name notice","physical_pages":"19"},{"component":"English cover and complete printed1–25 base","physical_pages":"20–45"},{"component":"Malay cover and complete printed1–27 base","physical_pages":"46–73"}]</t>
  </si>
  <si>
    <t xml:space="preserve">qa-b24-full-review-20261026/accepted-rows.json#/12</t>
  </si>
  <si>
    <t xml:space="preserve">acquisition-regional-my-id-th/originals/MY-SUN-056_LiveLife_Ladies_Master_Contract_d5cf0ab7f9.pdf</t>
  </si>
  <si>
    <t xml:space="preserve">013-corrective-surgery-age；013-ATM-modifier-attachment</t>
  </si>
  <si>
    <t xml:space="preserve">逐项保留来源／个人合同包／适用边界及其他正文问题：B24复核事项!A218:I241</t>
  </si>
  <si>
    <t xml:space="preserve">完整澄清、撤回和QA修订事实：B24复核事项!A218:I241</t>
  </si>
  <si>
    <t xml:space="preserve">execution-evidence.json#/documents/group2~1B24-MY-013-result.json</t>
  </si>
  <si>
    <t xml:space="preserve">CIMB-LLL001-22072013; CIMBI-LLL002-22072013</t>
  </si>
  <si>
    <t xml:space="preserve">Historical CIMB Aviva Takaful Berhad; explicit Sun Life Malaysia Takaful Berhad name change effective 19 August 2013</t>
  </si>
  <si>
    <t xml:space="preserve">LiveLife Ladies, a plan under Takaful LifeStyle PA series</t>
  </si>
  <si>
    <t xml:space="preserve">qa-b24-full-review-20261026/issues-and-clarifications.json#/records/12</t>
  </si>
  <si>
    <t xml:space="preserve">eeb40032de868e12454b2f46a6a27a6d5c5d9b57e922749ba6e6edef257d05a5</t>
  </si>
  <si>
    <t xml:space="preserve">execution-evidence.json#/documents/group2~1B24-MY-013-pages.json</t>
  </si>
  <si>
    <t xml:space="preserve">independent-qa.json#/documents/page-review-proof.json/by_task/B24-MY-013</t>
  </si>
  <si>
    <t xml:space="preserve">B24-MY-014</t>
  </si>
  <si>
    <t xml:space="preserve">Independent76page semantic review confirms PA012 age18 condition present only BM p74, absent EN p46; no supplied amendment reconciles. ATM p45/73 narrow location-modifier ambiguity retained, both are OR. Contextual wording detail: BM6.1(a) p58 expressly principalperson, EN6.1 p32 generalcoverage; BM1.1(h) p54 effective-date definition covers personcovered generally. Initial broader scope-question note narrowed; not a separate verification veto or proof of nonprincipal denial. All six executor clarified/superseded items and source/package boundaries checked:2019fund/surplus replacements,2018disease override/residualdeath,PA013complaintlabel versus actual014,2015dategenericBM,PA008allclaims covers repeatedNCD and complete25/27base pagination. No actual denial/invalidity or currentadoption inference.</t>
  </si>
  <si>
    <t xml:space="preserve">[{"component":"02/2019fund/qard/surplus replacement effective2019-07-01","pages":[1,2,3,4]},{"component":"01/2018specified-infectious-disease benefits and general additions effective2018-07-01","pages":[5,6,7,8,9,10,11,12,13,14,15,16]},{"component":"UndatedOFScomplaint replacement","pages":[17,18]},{"component":"Contract/disclosure replacement,delete10.3,taxaddition;English2015-01-01,Malygenericdate","pages":[19,20,21,22]},{"component":"Englishcover and complete numbered1–25base PA001–014","pages":[23,24,25,26,27,28,29,30,31,32,33,34,35,36,37,38,39,40,41,42,43,44,45,46,47,48]},{"component":"Malaycover and complete numbered1–27base PA001–014","pages":[49,50,51,52,53,54,55,56,57,58,59,60,61,62,63,64,65,66,67,68,69,70,71,72,73,74,75,76]}]</t>
  </si>
  <si>
    <t xml:space="preserve">qa-b24-full-review-20261026/accepted-rows.json#/13</t>
  </si>
  <si>
    <t xml:space="preserve">acquisition-regional-my-id-th/originals/MY-SUN-057_LiveLife_Ladies_Master_Contract_c047b2b144.pdf</t>
  </si>
  <si>
    <t xml:space="preserve">014-F1</t>
  </si>
  <si>
    <t xml:space="preserve">逐项保留来源／个人合同包／适用边界及其他正文问题：B24复核事项!A242:I262</t>
  </si>
  <si>
    <t xml:space="preserve">完整澄清、撤回和QA修订事实：B24复核事项!A242:I262</t>
  </si>
  <si>
    <t xml:space="preserve">execution-evidence.json#/documents/group1~1014-result.json</t>
  </si>
  <si>
    <t xml:space="preserve">["CIMB-LLL002-06012014","CIMBI-LLL002-06012014"]</t>
  </si>
  <si>
    <t xml:space="preserve">Full named holder not established; Anda is organization/institution named in schedule.</t>
  </si>
  <si>
    <t xml:space="preserve">LiveLife Ladies+</t>
  </si>
  <si>
    <t xml:space="preserve">qa-b24-full-review-20261026/issues-and-clarifications.json#/records/13</t>
  </si>
  <si>
    <t xml:space="preserve">8df688b0b32f2d4603d41c8ca85cb4f7f7d3ef3e01bdde31401294b7e8090ad1</t>
  </si>
  <si>
    <t xml:space="preserve">execution-evidence.json#/documents/group1~1014-page-proof.jsonl</t>
  </si>
  <si>
    <t xml:space="preserve">independent-qa.json#/documents/page-review-proof.json/by_task/B24-MY-014</t>
  </si>
  <si>
    <t xml:space="preserve">B24-MY-015</t>
  </si>
  <si>
    <t xml:space="preserve">All74pages independently read. Narrow ATM1.3(a) p44/72 modifier attachment remains unresolved, both OR1km; no definite different scope or denial. TPD anatomy EN29/BM56-57 ordinary enlarged216dpi confirms wrist/ankle meaning, not false anatomical conflict. All8executor clarifications independently affirmed:2019replacefund/surplus,2018specificinfection/residualdeath,PA013OFSproperpointer,incontestabilitypreservesreinstatement,NCDsecondanniversary,childinclusiveagereadwithspecifictermination,exclusionletteringnotomission,2013rename. No2015amendment imported. Childagefirst-passquestion resolved byexpress termination, not separateblocker.</t>
  </si>
  <si>
    <t xml:space="preserve">[{"component":"02/2019 qard/fund/surplus replacement effective 2019-07-01","pages":[1,2,3,4]},{"component":"01/2018 specified-infectious-disease additions effective 2018-07-01","pages":[5,6,7,8,9,10,11,12,13,14,15,16]},{"component":"Undated OFS replacement of FMB in PA013","pages":[17,18]},{"component":"Bilingual company-name change effective 2013-08-19","pages":[19]},{"component":"CIMB Aviva English cover and consecutive printed pages 1–26, PA001–013","pages":[20,21,22,23,24,25,26,27,28,29,30,31,32,33,34,35,36,37,38,39,40,41,42,43,44,45,46]},{"component":"CIMB Aviva Malay cover and consecutive printed pages 1–27, PA001–013","pages":[47,48,49,50,51,52,53,54,55,56,57,58,59,60,61,62,63,64,65,66,67,68,69,70,71,72,73,74]}]</t>
  </si>
  <si>
    <t xml:space="preserve">qa-b24-full-review-20261026/accepted-rows.json#/14</t>
  </si>
  <si>
    <t xml:space="preserve">acquisition-regional-my-id-th/originals/MY-SUN-058_LiveLife_Master_Contract_c74dcce7a9.pdf</t>
  </si>
  <si>
    <t xml:space="preserve">015-F1</t>
  </si>
  <si>
    <t xml:space="preserve">逐项保留来源／个人合同包／适用边界及其他正文问题：B24复核事项!A263:I287</t>
  </si>
  <si>
    <t xml:space="preserve">完整澄清、撤回和QA修订事实：B24复核事项!A263:I287</t>
  </si>
  <si>
    <t xml:space="preserve">execution-evidence.json#/documents/group1~1015-result.json</t>
  </si>
  <si>
    <t xml:space="preserve">["CIMB-LL001-17042012","CIMBI-LL002-17042012"]</t>
  </si>
  <si>
    <t xml:space="preserve">Full named holder not established in present generic body; institution named in master schedule.</t>
  </si>
  <si>
    <t xml:space="preserve">Sun Life Malaysia Takaful Berhad, bridged by attached 2013 name-change notice from CIMB Aviva Takaful Berhad</t>
  </si>
  <si>
    <t xml:space="preserve">LiveLife (Takaful LifeStyle PA series)</t>
  </si>
  <si>
    <t xml:space="preserve">qa-b24-full-review-20261026/issues-and-clarifications.json#/records/14</t>
  </si>
  <si>
    <t xml:space="preserve">54b72ca16dae503c111d92a9f84ee482881ab04886e18277f8059e796e72801e</t>
  </si>
  <si>
    <t xml:space="preserve">execution-evidence.json#/documents/group1~1015-page-proof.jsonl</t>
  </si>
  <si>
    <t xml:space="preserve">independent-qa.json#/documents/page-review-proof.json/by_task/B24-MY-015</t>
  </si>
  <si>
    <t xml:space="preserve">B24-MY-016</t>
  </si>
  <si>
    <t xml:space="preserve">Independent all78pages plus9highdefinition checks confirm narrow ATM location-phrase attachment ambiguity p48/76; both alternatives expressly OR, no established claim-outcome difference or invalidity. All9 execution clarifications reviewed and affirmed: whole2019 replacement,2018 specific infection/partialTPD,2015 bilingual January1 amendment,properOFS PA013,boxing catch-all/unlisted sports,secondanniversaryNCD,childspecifictermination,reinstatementpreserved,andplus/ADLnumbering. Anatomical wrist-or-ankle initial false alarm withdrawn; must preserve execution correction_basis. No universal component missing,personal schedule/current adoption/package unknown not sole blockers.</t>
  </si>
  <si>
    <t xml:space="preserve">[{"component":"02/2019 qard/fund/surplus replacement effective2019-07-01","pages":[1,2,3,4]},{"component":"01/2018 specified-infectious-disease additions effective2018-07-01","pages":[5,6,7,8,9,10,11,12,13,14,15,16]},{"component":"Undated OFS replacement of FMB in PA013","pages":[17,18]},{"component":"Bilingual2015-01-01 whole contract clause2 replacement,10.3 deletion and tax addition","pages":[19,20,21,22]},{"component":"Sun Life English cover and consecutive printed1–27, PA001–013","pages":[23,24,25,26,27,28,29,30,31,32,33,34,35,36,37,38,39,40,41,42,43,44,45,46,47,48,49,50]},{"component":"Sun Life Malay cover and consecutive printed1–27, PA001–013","pages":[51,52,53,54,55,56,57,58,59,60,61,62,63,64,65,66,67,68,69,70,71,72,73,74,75,76,77,78]}]</t>
  </si>
  <si>
    <t xml:space="preserve">qa-b24-full-review-20261026/accepted-rows.json#/15</t>
  </si>
  <si>
    <t xml:space="preserve">acquisition-regional-my-id-th/originals/MY-SUN-059_LiveLife_Master_Contract_935f206f88.pdf</t>
  </si>
  <si>
    <t xml:space="preserve">016-F1</t>
  </si>
  <si>
    <t xml:space="preserve">逐项保留来源／个人合同包／适用边界及其他正文问题：B24复核事项!A288:I314</t>
  </si>
  <si>
    <t xml:space="preserve">完整澄清、撤回和QA修订事实：B24复核事项!A288:I314</t>
  </si>
  <si>
    <t xml:space="preserve">execution-evidence.json#/documents/group1~1016-result.json</t>
  </si>
  <si>
    <t xml:space="preserve">["CIMB-LL002-06012014","CIMBI-LL002-06012014"]</t>
  </si>
  <si>
    <t xml:space="preserve">Institution named in master schedule; full holder names not established by the present generic body.</t>
  </si>
  <si>
    <t xml:space="preserve">LiveLife+ (Takaful LifeStyle PA series)</t>
  </si>
  <si>
    <t xml:space="preserve">qa-b24-full-review-20261026/issues-and-clarifications.json#/records/15</t>
  </si>
  <si>
    <t xml:space="preserve">e6be444bc1c6667e375e6b6dbbc49a0575443c1495bcf5223a9eb90c4addeedd</t>
  </si>
  <si>
    <t xml:space="preserve">execution-evidence.json#/documents/group1~1016-page-proof.jsonl</t>
  </si>
  <si>
    <t xml:space="preserve">independent-qa.json#/documents/page-review-proof.json/by_task/B24-MY-016</t>
  </si>
  <si>
    <t xml:space="preserve">B24-MY-017</t>
  </si>
  <si>
    <t xml:space="preserve">[{"component":"2019 bilingual Qard/tabarru/fund/surplus replacement","physical_pages":"1–4"},{"component":"2018 bilingual specified-infectious-disease and general-condition additions","physical_pages":"5–16"},{"component":"Bilingual Ombudsman notice replacement","physical_pages":"17–18"},{"component":"2013 company-name notice","physical_pages":"19"},{"component":"English cover and complete printed1–26 base","physical_pages":"20–46"},{"component":"Malay cover and complete printed1–27 base","physical_pages":"47–74"}]</t>
  </si>
  <si>
    <t xml:space="preserve">qa-b24-full-review-20261026/accepted-rows.json#/16</t>
  </si>
  <si>
    <t xml:space="preserve">acquisition-regional-my-id-th/originals/MY-SUN-060_LiveLife_Senior_Master_Contract_813a853cf2.pdf</t>
  </si>
  <si>
    <t xml:space="preserve">017-broken-bones-anatomical-term</t>
  </si>
  <si>
    <t xml:space="preserve">逐项保留来源／个人合同包／适用边界及其他正文问题：B24复核事项!A315:I336</t>
  </si>
  <si>
    <t xml:space="preserve">完整澄清、撤回和QA修订事实：B24复核事项!A315:I336</t>
  </si>
  <si>
    <t xml:space="preserve">execution-evidence.json#/documents/group2~1B24-MY-017-result.json</t>
  </si>
  <si>
    <t xml:space="preserve">CIMB-LLS001-17042012 / CIMBI-LLS002-17042012</t>
  </si>
  <si>
    <t xml:space="preserve">Sun Life Malaysia Takaful Berhad, historical CIMB Aviva Takaful Berhad with explicit 19 August 2013 name-change notice</t>
  </si>
  <si>
    <t xml:space="preserve">LiveLife Senior, a plan under Takaful LifeStyle PA series</t>
  </si>
  <si>
    <t xml:space="preserve">qa-b24-full-review-20261026/issues-and-clarifications.json#/records/16</t>
  </si>
  <si>
    <t xml:space="preserve">a7798f9c9252a2ecacea7b848d9cb0e97157ffe2f669736cdab6c357400e31a9</t>
  </si>
  <si>
    <t xml:space="preserve">execution-evidence.json#/documents/group2~1B24-MY-017-pages.json</t>
  </si>
  <si>
    <t xml:space="preserve">independent-qa.json#/documents/page-review-proof.json/by_task/B24-MY-017</t>
  </si>
  <si>
    <t xml:space="preserve">B24-MY-018</t>
  </si>
  <si>
    <t xml:space="preserve">Independent78pages+4HDconfirm PA0091.3(e) kneecaps vs lutut narrow anatomical-scope uncertainty p45/73; both separately cover knee dislocation. Not proven broader denial,medical equivalence,invalidity or actualclaim. All10executioncleareditems independentlyaffirmed:2019wholereplacement/differentfeeandsurplusbases,2018specificdisease/residualdeath,OFSactualPA013,2015whole2/10.3/tax,preexistingtreatmentinprose,medicalletteringonly,thirdpartyexcess,boxingcatchall,TPD6/180notentryeligibility,andbothlegalclausesbefore2years. Nouniversalcomponentmissing;personal package/current adoption not established.</t>
  </si>
  <si>
    <t xml:space="preserve">Digits in reference code are not independent evidence of base edition; attached2015/2018/2019amendments and undatedOFS are observed file chronology only.</t>
  </si>
  <si>
    <t xml:space="preserve">[{"component":"2019 bilingual Qard/tabarru/fund/surplus replacement","physical_pages":"1–4"},{"component":"2018 bilingual specified-infectious-disease and general-condition additions","physical_pages":"5–16"},{"component":"Bilingual Ombudsman notice replacement","physical_pages":"17–18"},{"component":"2015 bilingual constitution/disclosure replacement,clause10.3 deletion and tax-clause addition","physical_pages":"19–22"},{"component":"English cover and complete printed1–27 base","physical_pages":"23–50"},{"component":"Malay cover and complete printed1–27 base","physical_pages":"51–78"}]</t>
  </si>
  <si>
    <t xml:space="preserve">qa-b24-full-review-20261026/accepted-rows.json#/17</t>
  </si>
  <si>
    <t xml:space="preserve">acquisition-regional-my-id-th/originals/MY-SUN-061_LiveLife_Senior_Master_Contract_e0d097d682.pdf</t>
  </si>
  <si>
    <t xml:space="preserve">未提供问题ID；详见逐项事实</t>
  </si>
  <si>
    <t xml:space="preserve">逐项保留来源／个人合同包／适用边界及其他正文问题：B24复核事项!A337:I350</t>
  </si>
  <si>
    <t xml:space="preserve">完整澄清、撤回和QA修订事实：B24复核事项!A337:I350</t>
  </si>
  <si>
    <t xml:space="preserve">execution-evidence.json#/documents/group2~1B24-MY-018-result.json</t>
  </si>
  <si>
    <t xml:space="preserve">["CIMB-LLS002-06012014","CIMBI-LLS002-06012014"]</t>
  </si>
  <si>
    <t xml:space="preserve">Full named master holder remains schedule-based; bank-code prefixes alone do not establish full holder identity.</t>
  </si>
  <si>
    <t xml:space="preserve">LiveLife Senior+ (Takaful LifeStyle PA series)</t>
  </si>
  <si>
    <t xml:space="preserve">qa-b24-full-review-20261026/issues-and-clarifications.json#/records/17</t>
  </si>
  <si>
    <t xml:space="preserve">25999aadfe03a7a37b1c7322af9eb1909567d78d90d566b7dd19e741e06a3bd5</t>
  </si>
  <si>
    <t xml:space="preserve">execution-evidence.json#/documents/group2~1B24-MY-018-pages.json</t>
  </si>
  <si>
    <t xml:space="preserve">independent-qa.json#/documents/page-review-proof.json/by_task/B24-MY-018</t>
  </si>
  <si>
    <t xml:space="preserve">B24-MY-019</t>
  </si>
  <si>
    <t xml:space="preserve">Independent full 72-page visual review and specific amendment reconciliation found no unresolved substantive body or incorporated-component inconsistency. File-level only; no issued-package or current-adoption inference.</t>
  </si>
  <si>
    <t xml:space="preserve">["2019 endorsements: English physical 1–2 / Malay 3–4; 2018: English 5–10 / Malay 11–16; undated FMB-to-OFS complaint replacement 17–18; bilingual name-change notice 19.","English cover 20, contents 21, operative base 22–45 (printed 2–25); Malay cover 46, contents 47, operative base 48–72 (printed 2–26).","Historical CIMB Aviva Takaful LiveShield under Takaful LifeStyle PA series; Sun Life endorsements reference AVIVA-LS001-06112012. Generic PA002 benefit/wakalah schedule present at 23–24 and 49–50."]</t>
  </si>
  <si>
    <t xml:space="preserve">qa-b24-full-review-20261026/accepted-rows.json#/18</t>
  </si>
  <si>
    <t xml:space="preserve">acquisition-regional-my-id-th/originals/MY-SUN-063_LiveShield_Master_Contract_83f699cb2d.pdf</t>
  </si>
  <si>
    <t xml:space="preserve">逐项保留来源／个人合同包／适用边界及其他正文问题：B24复核事项!A351:I360</t>
  </si>
  <si>
    <t xml:space="preserve">完整澄清、撤回和QA修订事实：B24复核事项!A351:I360</t>
  </si>
  <si>
    <t xml:space="preserve">execution-evidence.json#/documents/group3~1B24-MY-019-result.json</t>
  </si>
  <si>
    <t xml:space="preserve">AVIVA-LS001-06112012</t>
  </si>
  <si>
    <t xml:space="preserve">CIMB Aviva Takaful Berhad historical base; Sun Life Malaysia Takaful Berhad endorsements and in-file name-change notice effective 19 August 2013</t>
  </si>
  <si>
    <t xml:space="preserve">LiveShield (a plan under Takaful LifeStyle PA series)</t>
  </si>
  <si>
    <t xml:space="preserve">qa-b24-full-review-20261026/issues-and-clarifications.json#/records/18</t>
  </si>
  <si>
    <t xml:space="preserve">8b10897cb3bf6ae4a565fcbf5979d888bbdaee83427ab3a5b0bc51bf5788a0ac</t>
  </si>
  <si>
    <t xml:space="preserve">execution-evidence.json#/documents/group3~1B24-MY-019-pages.json</t>
  </si>
  <si>
    <t xml:space="preserve">independent-qa.json#/documents/page-review-proof.json/by_task/B24-MY-019</t>
  </si>
  <si>
    <t xml:space="preserve">B24-MY-020</t>
  </si>
  <si>
    <t xml:space="preserve">Independent full75page visual read found components and EN/BM relationships coherent after explicit2015/2018/2019/OFS amendment application; no unresolved material body discrepancy. File-level only.</t>
  </si>
  <si>
    <t xml:space="preserve">[{"component":"02/2019 bilingual qard/fund/surplus replacements effective 2019-07-01","pages":[1,2,3,4]},{"component":"01/2018 bilingual specified-infectious-disease additions effective 2018-07-01","pages":[5,6,7,8,9,10,11,12,13,14,15,16]},{"component":"Undated bilingual OFS replacement of FMB in PA013","pages":[17,18]},{"component":"Bilingual 2015-01-01 whole clause 2 replacement,10.3 deletion and tax addition","pages":[19,20,21,22]},{"component":"English cover and consecutive printed 1–25,PA001–013","pages":[23,24,25,26,27,28,29,30,31,32,33,34,35,36,37,38,39,40,41,42,43,44,45,46,47,48]},{"component":"Malay cover and consecutive printed 1–26,PA001–013","pages":[49,50,51,52,53,54,55,56,57,58,59,60,61,62,63,64,65,66,67,68,69,70,71,72,73,74,75]}]</t>
  </si>
  <si>
    <t xml:space="preserve">qa-b24-full-review-20261026/accepted-rows.json#/19</t>
  </si>
  <si>
    <t xml:space="preserve">acquisition-regional-my-id-th/originals/MY-SUN-064_LiveShield_Master_Contract_58bd3a423b.pdf</t>
  </si>
  <si>
    <t xml:space="preserve">逐项保留来源／个人合同包／适用边界及其他正文问题：B24复核事项!A361:I372</t>
  </si>
  <si>
    <t xml:space="preserve">完整澄清、撤回和QA修订事实：B24复核事项!A361:I372</t>
  </si>
  <si>
    <t xml:space="preserve">execution-evidence.json#/documents/group1~1020-result.json</t>
  </si>
  <si>
    <t xml:space="preserve">SLM-LS002-06012014</t>
  </si>
  <si>
    <t xml:space="preserve">LiveShield+ (a plan under Takaful LifeStyle PA series)</t>
  </si>
  <si>
    <t xml:space="preserve">qa-b24-full-review-20261026/issues-and-clarifications.json#/records/19</t>
  </si>
  <si>
    <t xml:space="preserve">11ea90905a605024bd4ae7029ce0a6cb36de826c1076af2837867757d2caa2ff</t>
  </si>
  <si>
    <t xml:space="preserve">execution-evidence.json#/documents/group1~1020-page-proof.jsonl</t>
  </si>
  <si>
    <t xml:space="preserve">independent-qa.json#/documents/page-review-proof.json/by_task/B24-MY-020</t>
  </si>
  <si>
    <t xml:space="preserve">事实类别</t>
  </si>
  <si>
    <t xml:space="preserve">物理页</t>
  </si>
  <si>
    <t xml:space="preserve">B24历史完整事项事实（规范JSON）</t>
  </si>
  <si>
    <t xml:space="preserve">源检查点字段定位</t>
  </si>
  <si>
    <t xml:space="preserve">归档成员字段定位</t>
  </si>
  <si>
    <t xml:space="preserve">归档事项规范SHA-256</t>
  </si>
  <si>
    <t xml:space="preserve">计量边界</t>
  </si>
  <si>
    <t xml:space="preserve">独立QA澄清处置</t>
  </si>
  <si>
    <t xml:space="preserve">—</t>
  </si>
  <si>
    <t xml:space="preserve">[]</t>
  </si>
  <si>
    <t xml:space="preserve">{"correction_basis":{"method":"Own present-file semantic visual review, with targeted high-resolution rechecks","page_proof":"independent-qa.json#/documents/page-review-proof.json/by_task/B24-MY-001","physical_pages":[1,2,3,4,19,30,38,49]},"original_clarification":{"item":"2019 replaces A(s)/G; oldRM10return-to-fund and oldfundlabel not live competing rules; reference19 matches base termination.","pages":[1,2,3,4,19,30,38,49]},"qa_disposition":"independently_confirmed_after_full_visual_review"}</t>
  </si>
  <si>
    <t xml:space="preserve">qa-b24-full-review-20261026/issues-and-clarifications.json#/records/0/independent_clarification_dispositions/0</t>
  </si>
  <si>
    <t xml:space="preserve">independent-qa.json#/documents/issues-and-clarifications.json/records/0/independent_clarification_dispositions/0</t>
  </si>
  <si>
    <t xml:space="preserve">5f0b6144eac431e2c02a8f6ec6eba0646dfafb9ad7931297e93f3b11a8e26713</t>
  </si>
  <si>
    <t xml:space="preserve">事实／边界记录；不是新增工单，不另计全文或严格。</t>
  </si>
  <si>
    <t xml:space="preserve">{"correction_basis":{"method":"Own present-file semantic visual review, with targeted high-resolution rechecks","page_proof":"independent-qa.json#/documents/page-review-proof.json/by_task/B24-MY-001","physical_pages":[5,7,8,9,11,12,18,28,36,47]},"original_clarification":{"item":"2018 expressly adds specified-disease coverage with overriding introduction; older accidental-source definition and disease/mosquito/infection exclusions do not alone negate that extension. Added disease exclusions read with their disease-benefit context; no conclusion that all accidental cover disappeared.","pages":[5,7,8,9,11,12,18,28,36,47]},"qa_disposition":"independently_confirmed_after_full_visual_review"}</t>
  </si>
  <si>
    <t xml:space="preserve">qa-b24-full-review-20261026/issues-and-clarifications.json#/records/0/independent_clarification_dispositions/1</t>
  </si>
  <si>
    <t xml:space="preserve">independent-qa.json#/documents/issues-and-clarifications.json/records/0/independent_clarification_dispositions/1</t>
  </si>
  <si>
    <t xml:space="preserve">fe0c7c9af62717a5cd269a01354f1070bb22685657d47b69950871ba96f3bd66</t>
  </si>
  <si>
    <t xml:space="preserve">{"correction_basis":{"method":"Own present-file semantic visual review, with targeted high-resolution rechecks","page_proof":"independent-qa.json#/documents/page-review-proof.json/by_task/B24-MY-001","physical_pages":[7,11,23,24,42,43]},"original_clarification":{"item":"Specific2018remaining-death protection after partialTPD must be read ahead of oldgeneralTPDtermination; not automatically an unresolved double termination.","pages":[7,11,23,24,42,43]},"qa_disposition":"independently_confirmed_after_full_visual_review"}</t>
  </si>
  <si>
    <t xml:space="preserve">qa-b24-full-review-20261026/issues-and-clarifications.json#/records/0/independent_clarification_dispositions/2</t>
  </si>
  <si>
    <t xml:space="preserve">independent-qa.json#/documents/issues-and-clarifications.json/records/0/independent_clarification_dispositions/2</t>
  </si>
  <si>
    <t xml:space="preserve">52dd16178177ff201ef34e2375b41392cd19d5472e18639d7105bb256c0334c3</t>
  </si>
  <si>
    <t xml:space="preserve">{"correction_basis":{"method":"Own present-file semantic visual review, with targeted high-resolution rechecks","page_proof":"independent-qa.json#/documents/page-review-proof.json/by_task/B24-MY-001","physical_pages":[28,46]},"original_clarification":{"item":"Third-party reimbursement false alarm retracted: Malay reduces TO unpaid remainder, English reduces by paid portion; tidak dibayar is not evidence of reverse deduction.","pages":[28,46]},"qa_disposition":"independently_confirmed_after_full_visual_review"}</t>
  </si>
  <si>
    <t xml:space="preserve">qa-b24-full-review-20261026/issues-and-clarifications.json#/records/0/independent_clarification_dispositions/3</t>
  </si>
  <si>
    <t xml:space="preserve">independent-qa.json#/documents/issues-and-clarifications.json/records/0/independent_clarification_dispositions/3</t>
  </si>
  <si>
    <t xml:space="preserve">36b0011cef4ab3e6e66be215b8a6c8eb54cd682e922cd0879249e00b06b9918d</t>
  </si>
  <si>
    <t xml:space="preserve">{"correction_basis":{"method":"Own present-file semantic visual review, with targeted high-resolution rechecks","page_proof":"independent-qa.json#/documents/page-review-proof.json/by_task/B24-MY-001","physical_pages":[23,42]},"original_clarification":{"item":"144dpi preliminary9.1/9.2 readings corrected at216dpi to19.1/19.2; no numbering defect retained.","pages":[23,42]},"qa_disposition":"independently_confirmed_after_full_visual_review"}</t>
  </si>
  <si>
    <t xml:space="preserve">qa-b24-full-review-20261026/issues-and-clarifications.json#/records/0/independent_clarification_dispositions/4</t>
  </si>
  <si>
    <t xml:space="preserve">independent-qa.json#/documents/issues-and-clarifications.json/records/0/independent_clarification_dispositions/4</t>
  </si>
  <si>
    <t xml:space="preserve">3cd71158b627532b32e2a4421a0c4e7e4433dbf2674a24934090d1de396c5951</t>
  </si>
  <si>
    <t xml:space="preserve">{"correction_basis":{"method":"Own present-file semantic visual review, with targeted high-resolution rechecks","page_proof":"independent-qa.json#/documents/page-review-proof.json/by_task/B24-MY-001","physical_pages":[24,40,43]},"original_clarification":{"item":"Malay age-misstatement heading says gender, but operative wording explicitly age and headings declared nonoperative; bounded heading error, not a separategender rule.","pages":[24,40,43]},"qa_disposition":"independently_confirmed_after_full_visual_review"}</t>
  </si>
  <si>
    <t xml:space="preserve">qa-b24-full-review-20261026/issues-and-clarifications.json#/records/0/independent_clarification_dispositions/5</t>
  </si>
  <si>
    <t xml:space="preserve">independent-qa.json#/documents/issues-and-clarifications.json/records/0/independent_clarification_dispositions/5</t>
  </si>
  <si>
    <t xml:space="preserve">47eadfedb31ef140cad8bb4ae776419ee3d1d155d30a0128ceda2c660b5e0ac8</t>
  </si>
  <si>
    <t xml:space="preserve">{"correction_basis":{"method":"Own present-file semantic visual review, with targeted high-resolution rechecks","page_proof":"independent-qa.json#/documents/page-review-proof.json/by_task/B24-MY-001","physical_pages":[6,11]},"original_clarification":{"item":"Two-year pre-action timing is stated consistently in both languages; not a translation conflict. This review does not determine legal enforceability.","pages":[6,11]},"qa_disposition":"independently_confirmed_after_full_visual_review"}</t>
  </si>
  <si>
    <t xml:space="preserve">qa-b24-full-review-20261026/issues-and-clarifications.json#/records/0/independent_clarification_dispositions/6</t>
  </si>
  <si>
    <t xml:space="preserve">independent-qa.json#/documents/issues-and-clarifications.json/records/0/independent_clarification_dispositions/6</t>
  </si>
  <si>
    <t xml:space="preserve">dd5697677d602ba08da72b00fd9ebbbf749a080f9a06887f6b3cd49240600481</t>
  </si>
  <si>
    <t xml:space="preserve">{"correction_basis":{"method":"Own present-file semantic visual review, with targeted high-resolution rechecks","page_proof":"independent-qa.json#/documents/page-review-proof.json/by_task/B24-MY-001","physical_pages":[15,31,33,50]},"original_clarification":{"item":"English17-numbered and Malay18-numbered page sequences both complete; layout difference is not missing content.","pages":[15,31,33,50]},"qa_disposition":"independently_confirmed_after_full_visual_review"}</t>
  </si>
  <si>
    <t xml:space="preserve">qa-b24-full-review-20261026/issues-and-clarifications.json#/records/0/independent_clarification_dispositions/7</t>
  </si>
  <si>
    <t xml:space="preserve">independent-qa.json#/documents/issues-and-clarifications.json/records/0/independent_clarification_dispositions/7</t>
  </si>
  <si>
    <t xml:space="preserve">5de09967104391b684a3da2371c2fd0713c4e046afb1ef7d4d0cb29e8646018e</t>
  </si>
  <si>
    <t xml:space="preserve">{"correction_basis":{"method":"Own present-file semantic visual review, with targeted high-resolution rechecks","page_proof":"independent-qa.json#/documents/page-review-proof.json/by_task/B24-MY-001","physical_pages":[8,12,30,31,49,50]},"original_clarification":{"item":"2018 complaint information replaces historical contacts; do not retain oldcontactdifference as current internal conflict.","pages":[8,12,30,31,49,50]},"qa_disposition":"independently_confirmed_after_full_visual_review"}</t>
  </si>
  <si>
    <t xml:space="preserve">qa-b24-full-review-20261026/issues-and-clarifications.json#/records/0/independent_clarification_dispositions/8</t>
  </si>
  <si>
    <t xml:space="preserve">independent-qa.json#/documents/issues-and-clarifications.json/records/0/independent_clarification_dispositions/8</t>
  </si>
  <si>
    <t xml:space="preserve">904e0937a7afed80a982cda5f77924796001877a7eabfbd370d9af8b74975aad</t>
  </si>
  <si>
    <t xml:space="preserve">独立QA更正／撤回</t>
  </si>
  <si>
    <t xml:space="preserve">[28,46]</t>
  </si>
  <si>
    <t xml:space="preserve">{"correction_basis":"Complete syntax reduces TO unpaid remainder, consistent with EN subtracting paid portion; isolated negative not a conflict.","disposition":"withdrawn","evidence":"independent-qa.json#/documents/page-review-proof.json/by_task/B24-MY-001","physical_pages":[28,46],"prior_candidate":"Malay paid/not-paid fragment might reverse third-party reimbursement"}</t>
  </si>
  <si>
    <t xml:space="preserve">qa-b24-full-review-20261026/issues-and-clarifications.json#/records/0/independent_corrections_and_dispositions/0</t>
  </si>
  <si>
    <t xml:space="preserve">independent-qa.json#/documents/issues-and-clarifications.json/records/0/independent_corrections_and_dispositions/0</t>
  </si>
  <si>
    <t xml:space="preserve">3ba86407755dd676d0fab6cecd4123472bd28c1b91cb0ae348c4faae2f310b4c</t>
  </si>
  <si>
    <t xml:space="preserve">[23,42]</t>
  </si>
  <si>
    <t xml:space="preserve">{"correction_basis":"Target is clause19.1/19.2; enlarged reading and actual termination provisions agree.","disposition":"withdrawn","evidence":"independent-qa.json#/documents/page-review-proof.json/by_task/B24-MY-001","physical_pages":[23,42],"prior_candidate":"Low-resolution 9.1/9.2 cross-reference"}</t>
  </si>
  <si>
    <t xml:space="preserve">qa-b24-full-review-20261026/issues-and-clarifications.json#/records/0/independent_corrections_and_dispositions/1</t>
  </si>
  <si>
    <t xml:space="preserve">independent-qa.json#/documents/issues-and-clarifications.json/records/0/independent_corrections_and_dispositions/1</t>
  </si>
  <si>
    <t xml:space="preserve">ef53332896e98f599feaf9797b247259ac3324f0b7699a51347b10ee653c110d</t>
  </si>
  <si>
    <t xml:space="preserve">独立QA最终结论</t>
  </si>
  <si>
    <t xml:space="preserve">"All50pages independently read. Three operative bilingual questions remain: infectious TPD accidental-TPD versus accidental-death amount reference(p7/11), claims arising versus submitted before termination(p24/43), lineal versus close-relative doctor exclusion(p20/38), each independently3x reread. Retain all nine execution clarifications: no reversed third-party deduction, no missing printed page, no heading-only gender rule, correct clause19, explicit2018/2019supersession. FI/NFI source subtype unproved and distinctSHA preserved; not sole strict veto."</t>
  </si>
  <si>
    <t xml:space="preserve">qa-b24-full-review-20261026/issues-and-clarifications.json#/records/0/independent_qa_conclusion</t>
  </si>
  <si>
    <t xml:space="preserve">independent-qa.json#/documents/issues-and-clarifications.json/records/0/independent_qa_conclusion</t>
  </si>
  <si>
    <t xml:space="preserve">3ca78dbd8035aaf906171f79578a37764abcd8a4318cf727754281c9de7f0806</t>
  </si>
  <si>
    <t xml:space="preserve">执行澄清（独立QA已复核）</t>
  </si>
  <si>
    <t xml:space="preserve">[1,2,3,4,19,30,38,49]</t>
  </si>
  <si>
    <t xml:space="preserve">{"item":"2019 replaces A(s)/G; oldRM10return-to-fund and oldfundlabel not live competing rules; reference19 matches base termination.","pages":[1,2,3,4,19,30,38,49]}</t>
  </si>
  <si>
    <t xml:space="preserve">qa-b24-full-review-20261026/issues-and-clarifications.json#/records/0/execution_findings_and_clarifications_preserved/clarified_or_superseded_items/0</t>
  </si>
  <si>
    <t xml:space="preserve">independent-qa.json#/documents/issues-and-clarifications.json/records/0/execution_findings_and_clarifications_preserved/clarified_or_superseded_items/0</t>
  </si>
  <si>
    <t xml:space="preserve">8b984542abdbce02bcec9f009e23da98e3fca23cdcbc31e7b328b7bfcfd6ecb9</t>
  </si>
  <si>
    <t xml:space="preserve">[5,7,8,9,11,12,18,28,36,47]</t>
  </si>
  <si>
    <t xml:space="preserve">{"item":"2018 expressly adds specified-disease coverage with overriding introduction; older accidental-source definition and disease/mosquito/infection exclusions do not alone negate that extension. Added disease exclusions read with their disease-benefit context; no conclusion that all accidental cover disappeared.","pages":[5,7,8,9,11,12,18,28,36,47]}</t>
  </si>
  <si>
    <t xml:space="preserve">qa-b24-full-review-20261026/issues-and-clarifications.json#/records/0/execution_findings_and_clarifications_preserved/clarified_or_superseded_items/1</t>
  </si>
  <si>
    <t xml:space="preserve">independent-qa.json#/documents/issues-and-clarifications.json/records/0/execution_findings_and_clarifications_preserved/clarified_or_superseded_items/1</t>
  </si>
  <si>
    <t xml:space="preserve">cca8bd741292ef9e7fe5be11575817254c2ca155d12c32abb22b9481a62b06cc</t>
  </si>
  <si>
    <t xml:space="preserve">[7,11,23,24,42,43]</t>
  </si>
  <si>
    <t xml:space="preserve">{"item":"Specific2018remaining-death protection after partialTPD must be read ahead of oldgeneralTPDtermination; not automatically an unresolved double termination.","pages":[7,11,23,24,42,43]}</t>
  </si>
  <si>
    <t xml:space="preserve">qa-b24-full-review-20261026/issues-and-clarifications.json#/records/0/execution_findings_and_clarifications_preserved/clarified_or_superseded_items/2</t>
  </si>
  <si>
    <t xml:space="preserve">independent-qa.json#/documents/issues-and-clarifications.json/records/0/execution_findings_and_clarifications_preserved/clarified_or_superseded_items/2</t>
  </si>
  <si>
    <t xml:space="preserve">8c368e69f78d11ac5910bac45b300cd639a663a29235bc31aeeac8e9ae31d206</t>
  </si>
  <si>
    <t xml:space="preserve">{"item":"Third-party reimbursement false alarm retracted: Malay reduces TO unpaid remainder, English reduces by paid portion; tidak dibayar is not evidence of reverse deduction.","pages":[28,46]}</t>
  </si>
  <si>
    <t xml:space="preserve">qa-b24-full-review-20261026/issues-and-clarifications.json#/records/0/execution_findings_and_clarifications_preserved/clarified_or_superseded_items/3</t>
  </si>
  <si>
    <t xml:space="preserve">independent-qa.json#/documents/issues-and-clarifications.json/records/0/execution_findings_and_clarifications_preserved/clarified_or_superseded_items/3</t>
  </si>
  <si>
    <t xml:space="preserve">77d031eb7f12ab1001f2208b5f461048cff790e251215a8d5b5930bf1f3de018</t>
  </si>
  <si>
    <t xml:space="preserve">{"item":"144dpi preliminary9.1/9.2 readings corrected at216dpi to19.1/19.2; no numbering defect retained.","pages":[23,42]}</t>
  </si>
  <si>
    <t xml:space="preserve">qa-b24-full-review-20261026/issues-and-clarifications.json#/records/0/execution_findings_and_clarifications_preserved/clarified_or_superseded_items/4</t>
  </si>
  <si>
    <t xml:space="preserve">independent-qa.json#/documents/issues-and-clarifications.json/records/0/execution_findings_and_clarifications_preserved/clarified_or_superseded_items/4</t>
  </si>
  <si>
    <t xml:space="preserve">b99339787697c543accd8a3ebe546ceeb3154c05e381d417a3b230750a84af1f</t>
  </si>
  <si>
    <t xml:space="preserve">[24,40,43]</t>
  </si>
  <si>
    <t xml:space="preserve">{"item":"Malay age-misstatement heading says gender, but operative wording explicitly age and headings declared nonoperative; bounded heading error, not a separategender rule.","pages":[24,40,43]}</t>
  </si>
  <si>
    <t xml:space="preserve">qa-b24-full-review-20261026/issues-and-clarifications.json#/records/0/execution_findings_and_clarifications_preserved/clarified_or_superseded_items/5</t>
  </si>
  <si>
    <t xml:space="preserve">independent-qa.json#/documents/issues-and-clarifications.json/records/0/execution_findings_and_clarifications_preserved/clarified_or_superseded_items/5</t>
  </si>
  <si>
    <t xml:space="preserve">894d8215e1911cb38c15d14fc0fa861b9cdd4eea891d89c37ab2c095305fdd13</t>
  </si>
  <si>
    <t xml:space="preserve">[6,11]</t>
  </si>
  <si>
    <t xml:space="preserve">{"item":"Two-year pre-action timing is stated consistently in both languages; not a translation conflict. This review does not determine legal enforceability.","pages":[6,11]}</t>
  </si>
  <si>
    <t xml:space="preserve">qa-b24-full-review-20261026/issues-and-clarifications.json#/records/0/execution_findings_and_clarifications_preserved/clarified_or_superseded_items/6</t>
  </si>
  <si>
    <t xml:space="preserve">independent-qa.json#/documents/issues-and-clarifications.json/records/0/execution_findings_and_clarifications_preserved/clarified_or_superseded_items/6</t>
  </si>
  <si>
    <t xml:space="preserve">a13eab38d99c8212a5ebc9b29aa721bf207dd4e967346ed81d64261752a126d4</t>
  </si>
  <si>
    <t xml:space="preserve">[15,31,33,50]</t>
  </si>
  <si>
    <t xml:space="preserve">{"item":"English17-numbered and Malay18-numbered page sequences both complete; layout difference is not missing content.","pages":[15,31,33,50]}</t>
  </si>
  <si>
    <t xml:space="preserve">qa-b24-full-review-20261026/issues-and-clarifications.json#/records/0/execution_findings_and_clarifications_preserved/clarified_or_superseded_items/7</t>
  </si>
  <si>
    <t xml:space="preserve">independent-qa.json#/documents/issues-and-clarifications.json/records/0/execution_findings_and_clarifications_preserved/clarified_or_superseded_items/7</t>
  </si>
  <si>
    <t xml:space="preserve">35cbfe6d5122a127d129ce4df3f3e8d9e188ac4a84880e1f2d121974d2fe693f</t>
  </si>
  <si>
    <t xml:space="preserve">[8,12,30,31,49,50]</t>
  </si>
  <si>
    <t xml:space="preserve">{"item":"2018 complaint information replaces historical contacts; do not retain oldcontactdifference as current internal conflict.","pages":[8,12,30,31,49,50]}</t>
  </si>
  <si>
    <t xml:space="preserve">qa-b24-full-review-20261026/issues-and-clarifications.json#/records/0/execution_findings_and_clarifications_preserved/clarified_or_superseded_items/8</t>
  </si>
  <si>
    <t xml:space="preserve">independent-qa.json#/documents/issues-and-clarifications.json/records/0/execution_findings_and_clarifications_preserved/clarified_or_superseded_items/8</t>
  </si>
  <si>
    <t xml:space="preserve">1dac8fc05f5ca947dc31301e0ced607b176c8c23abb191fe461f8d9c89a90a75</t>
  </si>
  <si>
    <t xml:space="preserve">来源／合同包边界</t>
  </si>
  <si>
    <t xml:space="preserve">"FI/NFI source label remains unproved by whole body: core PA SmartPro main-containing role accepted, distinctSHA preserved; no new independent product or owner inference."</t>
  </si>
  <si>
    <t xml:space="preserve">qa-b24-full-review-20261026/issues-and-clarifications.json#/records/0/execution_findings_and_clarifications_preserved/source_and_package_boundaries/0</t>
  </si>
  <si>
    <t xml:space="preserve">independent-qa.json#/documents/issues-and-clarifications.json/records/0/execution_findings_and_clarifications_preserved/source_and_package_boundaries/0</t>
  </si>
  <si>
    <t xml:space="preserve">058465c857c319a7f5f67684ee346eadc2c17d8541dc113dadcef2f94ec65a24</t>
  </si>
  <si>
    <t xml:space="preserve">"Base edition/date code unprinted; dated2018/2019endorsements are not the base edition or evidence of current adoption."</t>
  </si>
  <si>
    <t xml:space="preserve">qa-b24-full-review-20261026/issues-and-clarifications.json#/records/0/execution_findings_and_clarifications_preserved/source_and_package_boundaries/1</t>
  </si>
  <si>
    <t xml:space="preserve">independent-qa.json#/documents/issues-and-clarifications.json/records/0/execution_findings_and_clarifications_preserved/source_and_package_boundaries/1</t>
  </si>
  <si>
    <t xml:space="preserve">4853b2de63fd844b887fbf7d6d4b2ac348d7d2970fc2bf09f62295e02375b3a7</t>
  </si>
  <si>
    <t xml:space="preserve">"No personal benefit schedule/application/issuance packet present; this is file-level reading, not a complete individual contract package. Missing personal schedule is not the sole strict blocker."</t>
  </si>
  <si>
    <t xml:space="preserve">qa-b24-full-review-20261026/issues-and-clarifications.json#/records/0/execution_findings_and_clarifications_preserved/source_and_package_boundaries/2</t>
  </si>
  <si>
    <t xml:space="preserve">independent-qa.json#/documents/issues-and-clarifications.json/records/0/execution_findings_and_clarifications_preserved/source_and_package_boundaries/2</t>
  </si>
  <si>
    <t xml:space="preserve">1f72e0dd83813a7f6c287c360d7f10a1842e30686eb7b5264e3fa794145a6f08</t>
  </si>
  <si>
    <t xml:space="preserve">"No external source/current-adoption verification performed."</t>
  </si>
  <si>
    <t xml:space="preserve">qa-b24-full-review-20261026/issues-and-clarifications.json#/records/0/execution_findings_and_clarifications_preserved/source_and_package_boundaries/3</t>
  </si>
  <si>
    <t xml:space="preserve">independent-qa.json#/documents/issues-and-clarifications.json/records/0/execution_findings_and_clarifications_preserved/source_and_package_boundaries/3</t>
  </si>
  <si>
    <t xml:space="preserve">dad520ed0ffe56dd4ca254c2683aeaf77218d201aa0e55440724269893456ff4</t>
  </si>
  <si>
    <t xml:space="preserve">执行发现（独立QA已复核）</t>
  </si>
  <si>
    <t xml:space="preserve">001-F1</t>
  </si>
  <si>
    <t xml:space="preserve">[7,11,26,45]</t>
  </si>
  <si>
    <t xml:space="preserve">{"boundary":"No personal amounts supplied; no assertion of actual underpayment, dual deduction or invalidity.","confirmation":"216dpi p7/p11","finding":"English benefit8 follows the accidental-TPD scheduled amount; Malay benefit8 follows accidental-death amount. Base wording keeps those scheduled benefits distinct and does not establish equality. The difference remains in the operative amendment after later2019fund-only changes.","id":"001-F1","pages":[7,11,26,45],"topic":"2018 infectious-disease TPD benefit amount reference"}</t>
  </si>
  <si>
    <t xml:space="preserve">qa-b24-full-review-20261026/issues-and-clarifications.json#/records/0/execution_findings_and_clarifications_preserved/substantive_unresolved_findings/0</t>
  </si>
  <si>
    <t xml:space="preserve">independent-qa.json#/documents/issues-and-clarifications.json/records/0/execution_findings_and_clarifications_preserved/substantive_unresolved_findings/0</t>
  </si>
  <si>
    <t xml:space="preserve">c69b6e583e58427f53edb3f0c2202cbec6176fc52c6ab737dd6a35d230d90865</t>
  </si>
  <si>
    <t xml:space="preserve">001-F2</t>
  </si>
  <si>
    <t xml:space="preserve">[24,43]</t>
  </si>
  <si>
    <t xml:space="preserve">{"boundary":"Only textual scope difference; no assertion that a real claim was denied.","confirmation":"216dpi p24/p43","finding":"English protects claims arising before termination; Malay protects claims submitted before termination. Occurrence versus submission condition is not reconciled by a later attached amendment or language-priority clause.","id":"001-F2","pages":[24,43],"topic":"Pre-termination claim survival"}</t>
  </si>
  <si>
    <t xml:space="preserve">qa-b24-full-review-20261026/issues-and-clarifications.json#/records/0/execution_findings_and_clarifications_preserved/substantive_unresolved_findings/1</t>
  </si>
  <si>
    <t xml:space="preserve">independent-qa.json#/documents/issues-and-clarifications.json/records/0/execution_findings_and_clarifications_preserved/substantive_unresolved_findings/1</t>
  </si>
  <si>
    <t xml:space="preserve">b5c713557ad2f77313267ab8a0fae623f3381c393e92a272ac4b4dbafecfe99b</t>
  </si>
  <si>
    <t xml:space="preserve">001-F3</t>
  </si>
  <si>
    <t xml:space="preserve">[20,38]</t>
  </si>
  <si>
    <t xml:space="preserve">{"confirmation":"216dpi p20/p38","finding":"English excludes lineal relatives; Malay uses saudara dekat (close relatives). Exact relationship scope is not aligned in the bilingual definitions; record for issuer/qualified language clarification rather than assume all relatives excluded.","id":"001-F3","pages":[20,38],"topic":"Excluded related medical practitioners"}</t>
  </si>
  <si>
    <t xml:space="preserve">qa-b24-full-review-20261026/issues-and-clarifications.json#/records/0/execution_findings_and_clarifications_preserved/substantive_unresolved_findings/2</t>
  </si>
  <si>
    <t xml:space="preserve">independent-qa.json#/documents/issues-and-clarifications.json/records/0/execution_findings_and_clarifications_preserved/substantive_unresolved_findings/2</t>
  </si>
  <si>
    <t xml:space="preserve">4b11636ddf023e36d28f28ef3155814b30ad4f49ea3978ccb5cd707a0e58e493</t>
  </si>
  <si>
    <t xml:space="preserve">文件内身份观察</t>
  </si>
  <si>
    <t xml:space="preserve">{"FI_NFI_subtype":"unproved; source label only","base_operator":"CIMB Aviva Takaful Berhad","endorsement_operator":"Sun Life Malaysia Takaful Berhad","generic_product":"Takaful PA SmartPro","in_file_name_change_effective":"2013-08-19","owner_mutation":false}</t>
  </si>
  <si>
    <t xml:space="preserve">qa-b24-full-review-20261026/accepted-rows.json#/0/identity_observations</t>
  </si>
  <si>
    <t xml:space="preserve">independent-qa.json#/documents/accepted-rows.json/0/identity_observations</t>
  </si>
  <si>
    <t xml:space="preserve">0811e87543f11843b624757dab6b44259d0ee6d69df509dd822182920efb8106</t>
  </si>
  <si>
    <t xml:space="preserve">QA未解问题</t>
  </si>
  <si>
    <t xml:space="preserve">002-infectious-TPD-reference</t>
  </si>
  <si>
    <t xml:space="preserve">[7,11]</t>
  </si>
  <si>
    <t xml:space="preserve">{"effect_boundary":"No actual payment difference, denial or invalidity inferred.","finding":"EN infectiousTPD uses accidentalTPD schedule amount; BM uses accidentalDeath. No priority/equality evidence resolves substantive reference difference.","issue_id":"002-infectious-TPD-reference","physical_pages":[7,11]}</t>
  </si>
  <si>
    <t xml:space="preserve">qa-b24-full-review-20261026/issues-and-clarifications.json#/records/1/issues/0</t>
  </si>
  <si>
    <t xml:space="preserve">independent-qa.json#/documents/issues-and-clarifications.json/records/1/issues/0</t>
  </si>
  <si>
    <t xml:space="preserve">d596f039f66ef5813318e478ec661da39ff1d1619f5d2afe3613ec59f0991761</t>
  </si>
  <si>
    <t xml:space="preserve">002-termination-claim-timing</t>
  </si>
  <si>
    <t xml:space="preserve">{"effect_boundary":"Unresolved wording timing distinction, not proof of rejection or legal outcome.","finding":"EN preserves claims arising before termination; BM claims submitted before termination.","issue_id":"002-termination-claim-timing","physical_pages":[24,43]}</t>
  </si>
  <si>
    <t xml:space="preserve">qa-b24-full-review-20261026/issues-and-clarifications.json#/records/1/issues/1</t>
  </si>
  <si>
    <t xml:space="preserve">independent-qa.json#/documents/issues-and-clarifications.json/records/1/issues/1</t>
  </si>
  <si>
    <t xml:space="preserve">60ed17635b96c3f0dbfc97934656cde5702d019f5690897b6d6f0532da7c62d9</t>
  </si>
  <si>
    <t xml:space="preserve">QA已澄清事项</t>
  </si>
  <si>
    <t xml:space="preserve">{"correction_basis":"Full sentence BM reduces TO unpaid balance, compatible with EN reducing BY third-party reimbursement; independent3x recheck withdrew isolated-word concern.","initial_concern":"BM uses unpaid whereas EN paid in third-party reimbursement","physical_pages":[28,46],"status":"cleared"}</t>
  </si>
  <si>
    <t xml:space="preserve">qa-b24-full-review-20261026/issues-and-clarifications.json#/records/1/clarifications/0</t>
  </si>
  <si>
    <t xml:space="preserve">independent-qa.json#/documents/issues-and-clarifications.json/records/1/clarifications/0</t>
  </si>
  <si>
    <t xml:space="preserve">fdb24c3f07f355551f1f90de909b78355858ba9e16f49397c28a19bc5eb356dd</t>
  </si>
  <si>
    <t xml:space="preserve">[1,4,23,42]</t>
  </si>
  <si>
    <t xml:space="preserve">{"correction_basis":"Clause19 termination exists, so not a broken incorporation target.","physical_pages":[1,4,23,42],"status":"cleared"}</t>
  </si>
  <si>
    <t xml:space="preserve">qa-b24-full-review-20261026/issues-and-clarifications.json#/records/1/clarifications/1</t>
  </si>
  <si>
    <t xml:space="preserve">independent-qa.json#/documents/issues-and-clarifications.json/records/1/clarifications/1</t>
  </si>
  <si>
    <t xml:space="preserve">5240bdf60fe5ebb1dc9ea618e2ba06cc5088e5597a6bf49c3e9678c4eb86b728</t>
  </si>
  <si>
    <t xml:space="preserve">[1,2,3,4,30,49]</t>
  </si>
  <si>
    <t xml:space="preserve">{"correction_basis":"2019 expressly replaces oldfund/RM10 provisions; no active competing clause inferred.","physical_pages":[1,2,3,4,30,49],"status":"cleared"}</t>
  </si>
  <si>
    <t xml:space="preserve">qa-b24-full-review-20261026/issues-and-clarifications.json#/records/1/clarifications/2</t>
  </si>
  <si>
    <t xml:space="preserve">independent-qa.json#/documents/issues-and-clarifications.json/records/1/clarifications/2</t>
  </si>
  <si>
    <t xml:space="preserve">ecdef54984cdbc1918fc766522369b59448eaea94db51d525934a04263249506</t>
  </si>
  <si>
    <t xml:space="preserve">[5,7,9,11,28,47]</t>
  </si>
  <si>
    <t xml:space="preserve">{"correction_basis":"2018 notwithstanding amendment adds infectious benefits, so base disease exclusions alone cannot nullify additions.","physical_pages":[5,7,9,11,28,47],"status":"cleared"}</t>
  </si>
  <si>
    <t xml:space="preserve">qa-b24-full-review-20261026/issues-and-clarifications.json#/records/1/clarifications/3</t>
  </si>
  <si>
    <t xml:space="preserve">independent-qa.json#/documents/issues-and-clarifications.json/records/1/clarifications/3</t>
  </si>
  <si>
    <t xml:space="preserve">dd682600ebd8223268616112535c1fc6322d3110ad77af5a48fc0823f279739b</t>
  </si>
  <si>
    <t xml:space="preserve">[21,24,40,43]</t>
  </si>
  <si>
    <t xml:space="preserve">{"correction_basis":"BM gender heading has age operative body and headings convenience clause; no substantive gender rule.","physical_pages":[21,24,40,43],"status":"cleared"}</t>
  </si>
  <si>
    <t xml:space="preserve">qa-b24-full-review-20261026/issues-and-clarifications.json#/records/1/clarifications/4</t>
  </si>
  <si>
    <t xml:space="preserve">independent-qa.json#/documents/issues-and-clarifications.json/records/1/clarifications/4</t>
  </si>
  <si>
    <t xml:space="preserve">55a53091e54a52288e6c359922ad40516f0fc6295bae681095d28e0508f07491</t>
  </si>
  <si>
    <t xml:space="preserve">其他正文／组成／版次问题</t>
  </si>
  <si>
    <t xml:space="preserve">"FI/NFI source label not established in body; exact SHA kept distinct, no deduplication or independent-product inference."</t>
  </si>
  <si>
    <t xml:space="preserve">qa-b24-full-review-20261026/issues-and-clarifications.json#/records/1/other_body_component_version_questions/0</t>
  </si>
  <si>
    <t xml:space="preserve">independent-qa.json#/documents/issues-and-clarifications.json/records/1/other_body_component_version_questions/0</t>
  </si>
  <si>
    <t xml:space="preserve">987aad97e3092621a03ff0497df93dd2a0557f4025a9678270bc40981f60149a</t>
  </si>
  <si>
    <t xml:space="preserve">"Base edition absent, in-file chronology not externally complete or current-adoption evidence."</t>
  </si>
  <si>
    <t xml:space="preserve">qa-b24-full-review-20261026/issues-and-clarifications.json#/records/1/other_body_component_version_questions/1</t>
  </si>
  <si>
    <t xml:space="preserve">independent-qa.json#/documents/issues-and-clarifications.json/records/1/other_body_component_version_questions/1</t>
  </si>
  <si>
    <t xml:space="preserve">6258d0ef84674480157a71548c046f26d9286d3570e0a38038a5265961957b0b</t>
  </si>
  <si>
    <t xml:space="preserve">"Personal schedule absent, not sole verification veto."</t>
  </si>
  <si>
    <t xml:space="preserve">qa-b24-full-review-20261026/issues-and-clarifications.json#/records/1/other_body_component_version_questions/2</t>
  </si>
  <si>
    <t xml:space="preserve">independent-qa.json#/documents/issues-and-clarifications.json/records/1/other_body_component_version_questions/2</t>
  </si>
  <si>
    <t xml:space="preserve">5104106368f1b431099a422ba51f38d2395bf932e0896c3c13e30822cb512e54</t>
  </si>
  <si>
    <t xml:space="preserve">QA纠正依据</t>
  </si>
  <si>
    <t xml:space="preserve">"Full sentence BM reduces TO unpaid balance, compatible with EN reducing BY third-party reimbursement; independent3x recheck withdrew isolated-word concern."</t>
  </si>
  <si>
    <t xml:space="preserve">qa-b24-full-review-20261026/issues-and-clarifications.json#/records/1/correction_basis/0</t>
  </si>
  <si>
    <t xml:space="preserve">independent-qa.json#/documents/issues-and-clarifications.json/records/1/correction_basis/0</t>
  </si>
  <si>
    <t xml:space="preserve">23fa13a42f826b34f7478faf46e7a6e3ae585bb9b6bc4eddb88527fbca0b2d8b</t>
  </si>
  <si>
    <t xml:space="preserve">"Clause19 termination exists, so not a broken incorporation target."</t>
  </si>
  <si>
    <t xml:space="preserve">qa-b24-full-review-20261026/issues-and-clarifications.json#/records/1/correction_basis/1</t>
  </si>
  <si>
    <t xml:space="preserve">independent-qa.json#/documents/issues-and-clarifications.json/records/1/correction_basis/1</t>
  </si>
  <si>
    <t xml:space="preserve">0c8d2c869fed8699c9f2cd70b33ca330bbdb83190e3f5782c0181deda6d66d8e</t>
  </si>
  <si>
    <t xml:space="preserve">"2019 expressly replaces oldfund/RM10 provisions; no active competing clause inferred."</t>
  </si>
  <si>
    <t xml:space="preserve">qa-b24-full-review-20261026/issues-and-clarifications.json#/records/1/correction_basis/2</t>
  </si>
  <si>
    <t xml:space="preserve">independent-qa.json#/documents/issues-and-clarifications.json/records/1/correction_basis/2</t>
  </si>
  <si>
    <t xml:space="preserve">fc6c3accfe8d6cb3bba9e6cd7149b71707bc29aef87e661eb80f6b82ed2f0690</t>
  </si>
  <si>
    <t xml:space="preserve">"2018 notwithstanding amendment adds infectious benefits, so base disease exclusions alone cannot nullify additions."</t>
  </si>
  <si>
    <t xml:space="preserve">qa-b24-full-review-20261026/issues-and-clarifications.json#/records/1/correction_basis/3</t>
  </si>
  <si>
    <t xml:space="preserve">independent-qa.json#/documents/issues-and-clarifications.json/records/1/correction_basis/3</t>
  </si>
  <si>
    <t xml:space="preserve">67eda7a018eac3cb0c84cda0288dda8563fd8aec4654a9969690f1bcaf641153</t>
  </si>
  <si>
    <t xml:space="preserve">"BM gender heading has age operative body and headings convenience clause; no substantive gender rule."</t>
  </si>
  <si>
    <t xml:space="preserve">qa-b24-full-review-20261026/issues-and-clarifications.json#/records/1/correction_basis/4</t>
  </si>
  <si>
    <t xml:space="preserve">independent-qa.json#/documents/issues-and-clarifications.json/records/1/correction_basis/4</t>
  </si>
  <si>
    <t xml:space="preserve">35744c32ec4a1c349ccde165dfe9b621bc514e1cc304891ffdd5f9e121571e10</t>
  </si>
  <si>
    <t xml:space="preserve">"Observed in-file codes/amendment dates do not establish base edition, current sale/adoption or issued personal package."</t>
  </si>
  <si>
    <t xml:space="preserve">qa-b24-full-review-20261026/accepted-rows.json#/1/version_boundary</t>
  </si>
  <si>
    <t xml:space="preserve">independent-qa.json#/documents/accepted-rows.json/1/version_boundary</t>
  </si>
  <si>
    <t xml:space="preserve">d6748ee1e065bdde9f0baaecafcffa55328e96ecfc5a5bb021af313ca834c932</t>
  </si>
  <si>
    <t xml:space="preserve">003-undefined-ADL-set</t>
  </si>
  <si>
    <t xml:space="preserve">[3,4,5,6]</t>
  </si>
  <si>
    <t xml:space="preserve">{"effect_boundary":"Definition-completeness issue only; not medical eligibility or actual denial.","finding":"2016 replacement headtrauma/encephalitis require at least3 activities of daily living but all55pages contain no enumerated/operational activity set.","issue_id":"003-undefined-ADL-set","physical_pages":[3,4,5,6]}</t>
  </si>
  <si>
    <t xml:space="preserve">qa-b24-full-review-20261026/issues-and-clarifications.json#/records/2/issues/0</t>
  </si>
  <si>
    <t xml:space="preserve">independent-qa.json#/documents/issues-and-clarifications.json/records/2/issues/0</t>
  </si>
  <si>
    <t xml:space="preserve">897da471adce4b5102d56c5c99386a5e692fce9f699b7f0db9707eed48e7bb3d</t>
  </si>
  <si>
    <t xml:space="preserve">003-waiting-grace-exclusion</t>
  </si>
  <si>
    <t xml:space="preserve">[18,19,24,25,28,39,40,46,47,50]</t>
  </si>
  <si>
    <t xml:space="preserve">{"effect_boundary":"Unresolved operative bilingual scope/timing differences, not actual rejection or legalinvalidity.","finding":"EN D3.7(c),D4.6(c),D6.7(c) use waitingperiod; BM corresponding exclusion(c) uses tempoh tenggang, while separate A12/B5 distinguish30daywaiting and60daygrace. BM D4.6/D6.7 also name juvenileCI for accident exception rather than EN JTPD/hospitalisation.","issue_id":"003-waiting-grace-exclusion","physical_pages":[18,19,24,25,28,39,40,46,47,50]}</t>
  </si>
  <si>
    <t xml:space="preserve">qa-b24-full-review-20261026/issues-and-clarifications.json#/records/2/issues/1</t>
  </si>
  <si>
    <t xml:space="preserve">independent-qa.json#/documents/issues-and-clarifications.json/records/2/issues/1</t>
  </si>
  <si>
    <t xml:space="preserve">c3fbb8604a1d73144b2d0d47ec52a6311f7a1424f49d535ee72a072ab1abb117</t>
  </si>
  <si>
    <t xml:space="preserve">003-incorporated-financial-schedule</t>
  </si>
  <si>
    <t xml:space="preserve">[19,20,29,40,41,51]</t>
  </si>
  <si>
    <t xml:space="preserve">{"effect_boundary":"Missing incorporated financial component, distinct from absence of individual coverage schedule; no amount inferred.","finding":"Wakalah fees, surplus/investment profit shares and surrender charges expressly depend on named schedule of wakalah fees/profitsharing/surrendercharges; no such component is present in55pages.","issue_id":"003-incorporated-financial-schedule","physical_pages":[19,20,29,40,41,51]}</t>
  </si>
  <si>
    <t xml:space="preserve">qa-b24-full-review-20261026/issues-and-clarifications.json#/records/2/issues/2</t>
  </si>
  <si>
    <t xml:space="preserve">independent-qa.json#/documents/issues-and-clarifications.json/records/2/issues/2</t>
  </si>
  <si>
    <t xml:space="preserve">c14db7b9616bf63550eb49f2d13ea9d2c74c3f97163147da540cc4253aef363e</t>
  </si>
  <si>
    <t xml:space="preserve">[3,4,5,6,21,22,23,43,45]</t>
  </si>
  <si>
    <t xml:space="preserve">{"correction_basis":"2016 expressly replaces4JCI definitions; earlier keyhole and assessment criteria are historical not simultaneous.","physical_pages":[3,4,5,6,21,22,23,43,45],"status":"cleared"}</t>
  </si>
  <si>
    <t xml:space="preserve">qa-b24-full-review-20261026/issues-and-clarifications.json#/records/2/clarifications/0</t>
  </si>
  <si>
    <t xml:space="preserve">independent-qa.json#/documents/issues-and-clarifications.json/records/2/clarifications/0</t>
  </si>
  <si>
    <t xml:space="preserve">c3759aab85702b982f98fab122fe027643136c744e9ccc134305b93ee0703c12</t>
  </si>
  <si>
    <t xml:space="preserve">[1,2,30,52,53]</t>
  </si>
  <si>
    <t xml:space="preserve">{"correction_basis":"Ktermination target exists;2019 supplements surplus rather than unexplained parallelrule.","physical_pages":[1,2,30,52,53],"status":"cleared"}</t>
  </si>
  <si>
    <t xml:space="preserve">qa-b24-full-review-20261026/issues-and-clarifications.json#/records/2/clarifications/1</t>
  </si>
  <si>
    <t xml:space="preserve">independent-qa.json#/documents/issues-and-clarifications.json/records/2/clarifications/1</t>
  </si>
  <si>
    <t xml:space="preserve">d3862cbb69c9c7ced4e791b6baea5b85c46b2375b7cdf083d31ab4406b34f138</t>
  </si>
  <si>
    <t xml:space="preserve">[7,8,9,10,15,36]</t>
  </si>
  <si>
    <t xml:space="preserve">{"correction_basis":"2015 replacesA1.1/A1.2 with statedIFSA remedy framework; oldformation doesnotcompete.","physical_pages":[7,8,9,10,15,36],"status":"cleared"}</t>
  </si>
  <si>
    <t xml:space="preserve">qa-b24-full-review-20261026/issues-and-clarifications.json#/records/2/clarifications/2</t>
  </si>
  <si>
    <t xml:space="preserve">independent-qa.json#/documents/issues-and-clarifications.json/records/2/clarifications/2</t>
  </si>
  <si>
    <t xml:space="preserve">46cd355e533baed0a0fc1834357c5a3ced3090c9c9f2019e5358abe5d6e994b9</t>
  </si>
  <si>
    <t xml:space="preserve">[30,52]</t>
  </si>
  <si>
    <t xml:space="preserve">{"correction_basis":"Complete sentences in both languages use before1year OR after2years. Execution initial missing-conjunction concern is withdrawn and independently confirmed.","physical_pages":[30,52],"status":"cleared"}</t>
  </si>
  <si>
    <t xml:space="preserve">qa-b24-full-review-20261026/issues-and-clarifications.json#/records/2/clarifications/3</t>
  </si>
  <si>
    <t xml:space="preserve">independent-qa.json#/documents/issues-and-clarifications.json/records/2/clarifications/3</t>
  </si>
  <si>
    <t xml:space="preserve">4725265854575133e0b8d41180b449fb90ea6b16117c72d2a875cd28b610733d</t>
  </si>
  <si>
    <t xml:space="preserve">[26,48]</t>
  </si>
  <si>
    <t xml:space="preserve">{"correction_basis":"JCIindividual+group vs JTPDindividual-only1m caps explicitly match bothlanguages.","physical_pages":[26,48],"status":"cleared"}</t>
  </si>
  <si>
    <t xml:space="preserve">qa-b24-full-review-20261026/issues-and-clarifications.json#/records/2/clarifications/4</t>
  </si>
  <si>
    <t xml:space="preserve">independent-qa.json#/documents/issues-and-clarifications.json/records/2/clarifications/4</t>
  </si>
  <si>
    <t xml:space="preserve">d257f54a55bd9604282816777994baf51468a223b0dc07ba1d577f1a5f9fbd17</t>
  </si>
  <si>
    <t xml:space="preserve">"Exact historical main+compulsoryrider complete presentfile, not personal contractpackage."</t>
  </si>
  <si>
    <t xml:space="preserve">qa-b24-full-review-20261026/issues-and-clarifications.json#/records/2/other_body_component_version_questions/0</t>
  </si>
  <si>
    <t xml:space="preserve">independent-qa.json#/documents/issues-and-clarifications.json/records/2/other_body_component_version_questions/0</t>
  </si>
  <si>
    <t xml:space="preserve">4426c3c6ac1d2f47edd8785e27f21b0d8772a9bb7528b232437bf16728b1811f</t>
  </si>
  <si>
    <t xml:space="preserve">"Named financial schedule absent is substantive, not merely missing personal identification/amount schedule."</t>
  </si>
  <si>
    <t xml:space="preserve">qa-b24-full-review-20261026/issues-and-clarifications.json#/records/2/other_body_component_version_questions/1</t>
  </si>
  <si>
    <t xml:space="preserve">independent-qa.json#/documents/issues-and-clarifications.json/records/2/other_body_component_version_questions/1</t>
  </si>
  <si>
    <t xml:space="preserve">2e911097f5d245191c681363dceb9d3f2dc26ce6cfca0e97da8d519f8b1f5bff</t>
  </si>
  <si>
    <t xml:space="preserve">"Baseedition not displayed; datedamendments establish no currentadoption."</t>
  </si>
  <si>
    <t xml:space="preserve">qa-b24-full-review-20261026/issues-and-clarifications.json#/records/2/other_body_component_version_questions/2</t>
  </si>
  <si>
    <t xml:space="preserve">independent-qa.json#/documents/issues-and-clarifications.json/records/2/other_body_component_version_questions/2</t>
  </si>
  <si>
    <t xml:space="preserve">a21c8d8d68b72a4622beff58197356f816511e7daa574e79b8773ef30012bbdf</t>
  </si>
  <si>
    <t xml:space="preserve">"2016 expressly replaces4JCI definitions; earlier keyhole and assessment criteria are historical not simultaneous."</t>
  </si>
  <si>
    <t xml:space="preserve">qa-b24-full-review-20261026/issues-and-clarifications.json#/records/2/correction_basis/0</t>
  </si>
  <si>
    <t xml:space="preserve">independent-qa.json#/documents/issues-and-clarifications.json/records/2/correction_basis/0</t>
  </si>
  <si>
    <t xml:space="preserve">9494969076fc6a2398a8bfab0bddc9662f5b8eac26e71fc6fd6b99d599ed3db2</t>
  </si>
  <si>
    <t xml:space="preserve">"Ktermination target exists;2019 supplements surplus rather than unexplained parallelrule."</t>
  </si>
  <si>
    <t xml:space="preserve">qa-b24-full-review-20261026/issues-and-clarifications.json#/records/2/correction_basis/1</t>
  </si>
  <si>
    <t xml:space="preserve">independent-qa.json#/documents/issues-and-clarifications.json/records/2/correction_basis/1</t>
  </si>
  <si>
    <t xml:space="preserve">09e19b64774ad82157c6ab5dd6631f834cfb0fe91e3b9943c8691fc136143d55</t>
  </si>
  <si>
    <t xml:space="preserve">"2015 replacesA1.1/A1.2 with statedIFSA remedy framework; oldformation doesnotcompete."</t>
  </si>
  <si>
    <t xml:space="preserve">qa-b24-full-review-20261026/issues-and-clarifications.json#/records/2/correction_basis/2</t>
  </si>
  <si>
    <t xml:space="preserve">independent-qa.json#/documents/issues-and-clarifications.json/records/2/correction_basis/2</t>
  </si>
  <si>
    <t xml:space="preserve">bcc9be71bb80c9f57766ad7e75a34b51710a7e0fcd8b73a769dfba1c823bc80e</t>
  </si>
  <si>
    <t xml:space="preserve">"Complete sentences in both languages use before1year OR after2years. Execution initial missing-conjunction concern is withdrawn and independently confirmed."</t>
  </si>
  <si>
    <t xml:space="preserve">qa-b24-full-review-20261026/issues-and-clarifications.json#/records/2/correction_basis/3</t>
  </si>
  <si>
    <t xml:space="preserve">independent-qa.json#/documents/issues-and-clarifications.json/records/2/correction_basis/3</t>
  </si>
  <si>
    <t xml:space="preserve">e298e6a598ed1c2854cc3d3c96f08e322bffbabd8d75f8e9640474b2ed4b52d1</t>
  </si>
  <si>
    <t xml:space="preserve">"JCIindividual+group vs JTPDindividual-only1m caps explicitly match bothlanguages."</t>
  </si>
  <si>
    <t xml:space="preserve">qa-b24-full-review-20261026/issues-and-clarifications.json#/records/2/correction_basis/4</t>
  </si>
  <si>
    <t xml:space="preserve">independent-qa.json#/documents/issues-and-clarifications.json/records/2/correction_basis/4</t>
  </si>
  <si>
    <t xml:space="preserve">d5acad6f7e576f57e376ce1187963e6ec0a56e2ca47da86ce299615bb43b4cb3</t>
  </si>
  <si>
    <t xml:space="preserve">qa-b24-full-review-20261026/accepted-rows.json#/2/version_boundary</t>
  </si>
  <si>
    <t xml:space="preserve">independent-qa.json#/documents/accepted-rows.json/2/version_boundary</t>
  </si>
  <si>
    <t xml:space="preserve">[37,57]</t>
  </si>
  <si>
    <t xml:space="preserve">{"effect_boundary":"This is a wording/formula reconciliation question, not a silent correction, mathematical assertion that piecewise discontinuity is impermissible, actual shortfall, invalidity, or claims determination.","finding":"GTFT009 uses positive-profit exponent 12n-(t-1) but zero-profit numerator 12n-t over the same displayed t range 12dp+1 through 12n. At first post-deferment month the positive-profit branch gives ISC whereas zero-profit gives (12pp-1)/(12pp) ISC; at terminal t=12n the former remains positive while the latter is zero. Both languages match, but the present wording does not explain the differing beginning/end-of-month convention or reconcile this zero-profit boundary. Specific formula applicability/time-index clarification remains needed.","issue_id":"004-formula-month-boundary","physical_pages":[37,57]}</t>
  </si>
  <si>
    <t xml:space="preserve">qa-b24-full-review-20261026/issues-and-clarifications.json#/records/3/issues/0</t>
  </si>
  <si>
    <t xml:space="preserve">independent-qa.json#/documents/issues-and-clarifications.json/records/3/issues/0</t>
  </si>
  <si>
    <t xml:space="preserve">54004c73caeecfd6fb2ed7c36f4c4085fba0eb82d1b68cd392b49dd69b36889b</t>
  </si>
  <si>
    <t xml:space="preserve">[20,21,35,36,37,39,40,55,56,57]</t>
  </si>
  <si>
    <t xml:space="preserve">{"correction_basis":"All57 physical pages read. GTFT008 fees/surplus and GTFT009 reducing/contribution formula are physically present in both languages. TPD clauses end with complete continuation provisos before008. No named generic benefit/component is shown missing solely by printed18-to21/19-to22 jumps; BM22of13 also exposes stale footer. GTFT002 is absent but references inspected concern masterholder/eligible financing applicants and personal certificate particulars, not an identified missing generic schedule of fees/formulas (008/009 supply those or explicitly defer personal inputs). Absence does not establish personal/package completeness and is not alone the file-level veto.","physical_pages":[20,21,35,36,37,39,40,55,56,57],"status":"execution_pagination_blocker_withdrawn_as_overbroad"}</t>
  </si>
  <si>
    <t xml:space="preserve">qa-b24-full-review-20261026/issues-and-clarifications.json#/records/3/clarifications/0</t>
  </si>
  <si>
    <t xml:space="preserve">independent-qa.json#/documents/issues-and-clarifications.json/records/3/clarifications/0</t>
  </si>
  <si>
    <t xml:space="preserve">029a7d0c1f0f582e062a3d892a8508a012822274456ba02cacc62ed29a57a8bc</t>
  </si>
  <si>
    <t xml:space="preserve">[3,4,5,6,7,33,34,52,53,54]</t>
  </si>
  <si>
    <t xml:space="preserve">{"correction_basis":"2021 explicitly replaces aggregatecap, completeTPDdefinition and exclusions; old2m/ownoccupation/exclusions do not compete.","physical_pages":[3,4,5,6,7,33,34,52,53,54],"status":"confirmed_clearance"}</t>
  </si>
  <si>
    <t xml:space="preserve">qa-b24-full-review-20261026/issues-and-clarifications.json#/records/3/clarifications/1</t>
  </si>
  <si>
    <t xml:space="preserve">independent-qa.json#/documents/issues-and-clarifications.json/records/3/clarifications/1</t>
  </si>
  <si>
    <t xml:space="preserve">bc555e740f7c9324d6152d85fe441c1e4830179575ba2d74f2444683d90ee8d7</t>
  </si>
  <si>
    <t xml:space="preserve">[8,9,10,11,12,23,24,29,30,43,48,49]</t>
  </si>
  <si>
    <t xml:space="preserve">{"correction_basis":"2020 expressly replaces age/gender/cashvalue/fund/wakalah provisions, so old wording not double deduction.","physical_pages":[8,9,10,11,12,23,24,29,30,43,48,49],"status":"confirmed_clearance"}</t>
  </si>
  <si>
    <t xml:space="preserve">qa-b24-full-review-20261026/issues-and-clarifications.json#/records/3/clarifications/2</t>
  </si>
  <si>
    <t xml:space="preserve">independent-qa.json#/documents/issues-and-clarifications.json/records/3/clarifications/2</t>
  </si>
  <si>
    <t xml:space="preserve">2149c520c82f17e43a93326a00115d6216b95da7e2f1378392756b0bd2b2a88c</t>
  </si>
  <si>
    <t xml:space="preserve">[15,16,17,18,25,44]</t>
  </si>
  <si>
    <t xml:space="preserve">{"correction_basis":"2019 replaces13.3 and deletes14.2, with actual13/15 crossreference targets; no missingtarget issue.","physical_pages":[15,16,17,18,25,44],"status":"confirmed_clearance"}</t>
  </si>
  <si>
    <t xml:space="preserve">qa-b24-full-review-20261026/issues-and-clarifications.json#/records/3/clarifications/3</t>
  </si>
  <si>
    <t xml:space="preserve">independent-qa.json#/documents/issues-and-clarifications.json/records/3/clarifications/3</t>
  </si>
  <si>
    <t xml:space="preserve">c81766b192c7ecc39a5b77904828c6ebb02054a8f2d694659b73c17ae1f82238</t>
  </si>
  <si>
    <t xml:space="preserve">[25,27,28,31,33,35,44,47,50,52,54]</t>
  </si>
  <si>
    <t xml:space="preserve">{"correction_basis":"Full benefitallocation/residualpayment/partialTPD continuation and independentdeathTPD conditions prevent isolated generaltermination wording from establishing forfeiture or requirement both events occur.","physical_pages":[25,27,28,31,33,35,44,47,50,52,54],"status":"confirmed_clearance"}</t>
  </si>
  <si>
    <t xml:space="preserve">qa-b24-full-review-20261026/issues-and-clarifications.json#/records/3/clarifications/4</t>
  </si>
  <si>
    <t xml:space="preserve">independent-qa.json#/documents/issues-and-clarifications.json/records/3/clarifications/4</t>
  </si>
  <si>
    <t xml:space="preserve">6b270dd0d57523ebe686a0b34f11ddc46af9257f8e86ddea87a61bf55069bbc2</t>
  </si>
  <si>
    <t xml:space="preserve">{"correction_basis":"216dpi independent recheck confirms different monthlyindices exactly as printed in both languages. Preserve noactualshortfall/noautomaticcorrection boundary, but matching languages alone does not resolve temporalbasis; raised specific question004-formula-month-boundary.","physical_pages":[37,57],"status":"execution_clearance_qualified"}</t>
  </si>
  <si>
    <t xml:space="preserve">qa-b24-full-review-20261026/issues-and-clarifications.json#/records/3/clarifications/5</t>
  </si>
  <si>
    <t xml:space="preserve">independent-qa.json#/documents/issues-and-clarifications.json/records/3/clarifications/5</t>
  </si>
  <si>
    <t xml:space="preserve">88f5fea17abc490a5e74b8df1efa1ed44c3bfff59d1fe380176cf04bfc3d2218</t>
  </si>
  <si>
    <t xml:space="preserve">[1,2,27,28,47]</t>
  </si>
  <si>
    <t xml:space="preserve">{"correction_basis":"2025 endorsement supplies complete sanctionclause26 after basegeneralconditions25. Its notwithstanding scope does not require recovering a hypothetical earlier26 to read present amendedtext.","physical_pages":[1,2,27,28,47],"status":"not_missing_component"}</t>
  </si>
  <si>
    <t xml:space="preserve">qa-b24-full-review-20261026/issues-and-clarifications.json#/records/3/clarifications/6</t>
  </si>
  <si>
    <t xml:space="preserve">independent-qa.json#/documents/issues-and-clarifications.json/records/3/clarifications/6</t>
  </si>
  <si>
    <t xml:space="preserve">713564e2a18d7a9d0dde645c444df62b683145ebf44d6b2a51ed839875789413</t>
  </si>
  <si>
    <t xml:space="preserve">[21,22,23,36,37,40,41,42,56,57]</t>
  </si>
  <si>
    <t xml:space="preserve">{"physical_pages":[21,22,23,36,37,40,41,42,56,57],"question":"Master scheduleGTFT002 and individualcertificate inputs are not present; inspect references toholder/financingeligibility, wakalahrate, sums andcontributionrate. No genericincorporated schedule was positively identified missing after checking008and009; personalissuedpackage/applicability unproved andzero packagecredit."}</t>
  </si>
  <si>
    <t xml:space="preserve">qa-b24-full-review-20261026/issues-and-clarifications.json#/records/3/other_body_component_version_questions/0</t>
  </si>
  <si>
    <t xml:space="preserve">independent-qa.json#/documents/issues-and-clarifications.json/records/3/other_body_component_version_questions/0</t>
  </si>
  <si>
    <t xml:space="preserve">ed71f3bb866e72486560a3093b5d839fc73543f28f3e7eaef15a60d45bd8f0ff</t>
  </si>
  <si>
    <t xml:space="preserve">{"physical_pages":[37,57],"question":"Resolve formula monthly-index andzero-profitboundary beforestrictcredit; do not infer formula invalidity or amend it."}</t>
  </si>
  <si>
    <t xml:space="preserve">qa-b24-full-review-20261026/issues-and-clarifications.json#/records/3/other_body_component_version_questions/1</t>
  </si>
  <si>
    <t xml:space="preserve">independent-qa.json#/documents/issues-and-clarifications.json/records/3/other_body_component_version_questions/1</t>
  </si>
  <si>
    <t xml:space="preserve">5bdc49a40fca967f3f253cb9041371c0703baac9655aa8a5ce3344ba7d1c853a</t>
  </si>
  <si>
    <t xml:space="preserve">"All57 physical pages read. GTFT008 fees/surplus and GTFT009 reducing/contribution formula are physically present in both languages. TPD clauses end with complete continuation provisos before008. No named generic benefit/component is shown missing solely by printed18-to21/19-to22 jumps; BM22of13 also exposes stale footer. GTFT002 is absent but references inspected concern masterholder/eligible financing applicants and personal certificate particulars, not an identified missing generic schedule of fees/formulas (008/009 supply those or explicitly defer personal inputs). Absence does not establish personal/package completeness and is not alone the file-level veto."</t>
  </si>
  <si>
    <t xml:space="preserve">qa-b24-full-review-20261026/issues-and-clarifications.json#/records/3/correction_basis/0</t>
  </si>
  <si>
    <t xml:space="preserve">independent-qa.json#/documents/issues-and-clarifications.json/records/3/correction_basis/0</t>
  </si>
  <si>
    <t xml:space="preserve">5dad4f961f44eed877ff1499b0dbe80c867bbf2c8cda87377bd106e727f643ff</t>
  </si>
  <si>
    <t xml:space="preserve">"2021 explicitly replaces aggregatecap, completeTPDdefinition and exclusions; old2m/ownoccupation/exclusions do not compete."</t>
  </si>
  <si>
    <t xml:space="preserve">qa-b24-full-review-20261026/issues-and-clarifications.json#/records/3/correction_basis/1</t>
  </si>
  <si>
    <t xml:space="preserve">independent-qa.json#/documents/issues-and-clarifications.json/records/3/correction_basis/1</t>
  </si>
  <si>
    <t xml:space="preserve">85d00c0b17c61da8d4abda0dca1d88f9eb51345f5bc5cc051545d719c8c0ec3d</t>
  </si>
  <si>
    <t xml:space="preserve">"2020 expressly replaces age/gender/cashvalue/fund/wakalah provisions, so old wording not double deduction."</t>
  </si>
  <si>
    <t xml:space="preserve">qa-b24-full-review-20261026/issues-and-clarifications.json#/records/3/correction_basis/2</t>
  </si>
  <si>
    <t xml:space="preserve">independent-qa.json#/documents/issues-and-clarifications.json/records/3/correction_basis/2</t>
  </si>
  <si>
    <t xml:space="preserve">6ad14596f7ec0975ccd17cd8c9ea74f2a3ee27f72a95a6c0ced46fe6a4c12ea4</t>
  </si>
  <si>
    <t xml:space="preserve">"2019 replaces13.3 and deletes14.2, with actual13/15 crossreference targets; no missingtarget issue."</t>
  </si>
  <si>
    <t xml:space="preserve">qa-b24-full-review-20261026/issues-and-clarifications.json#/records/3/correction_basis/3</t>
  </si>
  <si>
    <t xml:space="preserve">independent-qa.json#/documents/issues-and-clarifications.json/records/3/correction_basis/3</t>
  </si>
  <si>
    <t xml:space="preserve">94b27de76f41fbf42e71554969be93b39d6082aa172c8448c7f725d795153c20</t>
  </si>
  <si>
    <t xml:space="preserve">"Full benefitallocation/residualpayment/partialTPD continuation and independentdeathTPD conditions prevent isolated generaltermination wording from establishing forfeiture or requirement both events occur."</t>
  </si>
  <si>
    <t xml:space="preserve">qa-b24-full-review-20261026/issues-and-clarifications.json#/records/3/correction_basis/4</t>
  </si>
  <si>
    <t xml:space="preserve">independent-qa.json#/documents/issues-and-clarifications.json/records/3/correction_basis/4</t>
  </si>
  <si>
    <t xml:space="preserve">cce574077c77c8e9b0a1397ff7216187bb93c36297ef116f4c82fb2a0f2dcf97</t>
  </si>
  <si>
    <t xml:space="preserve">"216dpi independent recheck confirms different monthlyindices exactly as printed in both languages. Preserve noactualshortfall/noautomaticcorrection boundary, but matching languages alone does not resolve temporalbasis; raised specific question004-formula-month-boundary."</t>
  </si>
  <si>
    <t xml:space="preserve">qa-b24-full-review-20261026/issues-and-clarifications.json#/records/3/correction_basis/5</t>
  </si>
  <si>
    <t xml:space="preserve">independent-qa.json#/documents/issues-and-clarifications.json/records/3/correction_basis/5</t>
  </si>
  <si>
    <t xml:space="preserve">26c6656bd406c99035ef40d8a7564653aea15573cbc779053ba9cf27e9dd822d</t>
  </si>
  <si>
    <t xml:space="preserve">"2025 endorsement supplies complete sanctionclause26 after basegeneralconditions25. Its notwithstanding scope does not require recovering a hypothetical earlier26 to read present amendedtext."</t>
  </si>
  <si>
    <t xml:space="preserve">qa-b24-full-review-20261026/issues-and-clarifications.json#/records/3/correction_basis/6</t>
  </si>
  <si>
    <t xml:space="preserve">independent-qa.json#/documents/issues-and-clarifications.json/records/3/correction_basis/6</t>
  </si>
  <si>
    <t xml:space="preserve">2957a7f30b8e25d7f101f20801e609e310999b797f55b1800661a897b77a4312</t>
  </si>
  <si>
    <t xml:space="preserve">qa-b24-full-review-20261026/accepted-rows.json#/3/version_boundary</t>
  </si>
  <si>
    <t xml:space="preserve">independent-qa.json#/documents/accepted-rows.json/3/version_boundary</t>
  </si>
  <si>
    <t xml:space="preserve">{"correction_basis":{"method":"Own present-file semantic visual review, with targeted high-resolution rechecks","page_proof":"independent-qa.json#/documents/page-review-proof.json/by_task/B24-MY-005","physical_pages":[1,2,30,50]},"original_clarification":{"item":"Prior MRTT003-vs-MRTT002 sanctions heading discrepancy confirmed but bounded: identical clause26 operative target, same master codes, base general clauses1–25 and nonoperative-headings rule. Do not infer divergent sanctions coverage or identity solely from heading.","pages":[1,2,30,50]},"qa_disposition":"independently_confirmed_after_full_visual_review"}</t>
  </si>
  <si>
    <t xml:space="preserve">qa-b24-full-review-20261026/issues-and-clarifications.json#/records/4/independent_clarification_dispositions/0</t>
  </si>
  <si>
    <t xml:space="preserve">independent-qa.json#/documents/issues-and-clarifications.json/records/4/independent_clarification_dispositions/0</t>
  </si>
  <si>
    <t xml:space="preserve">08a3df17e3a4d6b78a4988d105ead877a7776f9c2605c014db99a8440a15c87b</t>
  </si>
  <si>
    <t xml:space="preserve">{"correction_basis":{"method":"Own present-file semantic visual review, with targeted high-resolution rechecks","page_proof":"independent-qa.json#/documents/page-review-proof.json/by_task/B24-MY-005","physical_pages":[3,4]},"original_clarification":{"item":"Prior holder unknown partly resolved by explicit two CIMB banks in2022endorsement; no owner change or independent product split.","pages":[3,4]},"qa_disposition":"independently_confirmed_after_full_visual_review"}</t>
  </si>
  <si>
    <t xml:space="preserve">qa-b24-full-review-20261026/issues-and-clarifications.json#/records/4/independent_clarification_dispositions/1</t>
  </si>
  <si>
    <t xml:space="preserve">independent-qa.json#/documents/issues-and-clarifications.json/records/4/independent_clarification_dispositions/1</t>
  </si>
  <si>
    <t xml:space="preserve">ff053d78d2f41a9e9e95131bb052e7e1568ba14fcd914829b8d11f47b6ee45a3</t>
  </si>
  <si>
    <t xml:space="preserve">{"correction_basis":{"method":"Own present-file semantic visual review, with targeted high-resolution rechecks","page_proof":"independent-qa.json#/documents/page-review-proof.json/by_task/B24-MY-005","physical_pages":[5,7,40,62]},"original_clarification":{"item":"2021 explicitly replaces oldRM2m cap withRM8m and wholeTPD definition/exclusions; old own/similar-occupation wording and2019partial definition changes no longer competing operative definitions.","pages":[5,7,40,62]},"qa_disposition":"independently_confirmed_after_full_visual_review"}</t>
  </si>
  <si>
    <t xml:space="preserve">qa-b24-full-review-20261026/issues-and-clarifications.json#/records/4/independent_clarification_dispositions/2</t>
  </si>
  <si>
    <t xml:space="preserve">independent-qa.json#/documents/issues-and-clarifications.json/records/4/independent_clarification_dispositions/2</t>
  </si>
  <si>
    <t xml:space="preserve">dafe07b884bb288e9bb763ac14547bce8f34a38fdea144717fa328fa87c04693</t>
  </si>
  <si>
    <t xml:space="preserve">{"correction_basis":{"method":"Own present-file semantic visual review, with targeted high-resolution rechecks","page_proof":"independent-qa.json#/documents/page-review-proof.json/by_task/B24-MY-005","physical_pages":[10,11,12,13,14,15,16,32,37,38,52,57,58]},"original_clarification":{"item":"2020 replacements govern age, gender9.2, account/fund and wakalah; superseded age-ineligibility payout, oldqard wording and erroneous oldwakalah008cross-reference not active conflicts.","pages":[10,11,12,13,14,15,16,32,37,38,52,57,58]},"qa_disposition":"independently_confirmed_after_full_visual_review"}</t>
  </si>
  <si>
    <t xml:space="preserve">qa-b24-full-review-20261026/issues-and-clarifications.json#/records/4/independent_clarification_dispositions/3</t>
  </si>
  <si>
    <t xml:space="preserve">independent-qa.json#/documents/issues-and-clarifications.json/records/4/independent_clarification_dispositions/3</t>
  </si>
  <si>
    <t xml:space="preserve">5acaec632f773e14f8fb48a7178ba21ad272c221c376c7d2000245943da2f56d</t>
  </si>
  <si>
    <t xml:space="preserve">{"correction_basis":{"method":"Own present-file semantic visual review, with targeted high-resolution rechecks","page_proof":"independent-qa.json#/documents/page-review-proof.json/by_task/B24-MY-005","physical_pages":[17,18,19,20,21,22,33,43,53,54,66]},"original_clarification":{"item":"2019 new notice method,&lt;=RM10bank/charity,delete14.2,newfinalbenefit1.2/1.3 and009eligibility prevail over old&lt;RM2versions.","pages":[17,18,19,20,21,22,33,43,53,54,66]},"qa_disposition":"independently_confirmed_after_full_visual_review"}</t>
  </si>
  <si>
    <t xml:space="preserve">qa-b24-full-review-20261026/issues-and-clarifications.json#/records/4/independent_clarification_dispositions/4</t>
  </si>
  <si>
    <t xml:space="preserve">independent-qa.json#/documents/issues-and-clarifications.json/records/4/independent_clarification_dispositions/4</t>
  </si>
  <si>
    <t xml:space="preserve">3f063b1a5a782f4e17dcbf380fd9b18f6f4588c9ac3615a35b5d25ce2bb366b2</t>
  </si>
  <si>
    <t xml:space="preserve">{"correction_basis":{"method":"Own present-file semantic visual review, with targeted high-resolution rechecks","page_proof":"independent-qa.json#/documents/page-review-proof.json/by_task/B24-MY-005","physical_pages":[23,24,25,26,45,68]},"original_clarification":{"item":"Both undatedRM50pairs replace oldRM53section2 entirely; no evidence of additive or dual surrender deduction.","pages":[23,24,25,26,45,68]},"qa_disposition":"independently_confirmed_after_full_visual_review"}</t>
  </si>
  <si>
    <t xml:space="preserve">qa-b24-full-review-20261026/issues-and-clarifications.json#/records/4/independent_clarification_dispositions/5</t>
  </si>
  <si>
    <t xml:space="preserve">independent-qa.json#/documents/issues-and-clarifications.json/records/4/independent_clarification_dispositions/5</t>
  </si>
  <si>
    <t xml:space="preserve">215186de967ce9b9ca01192439c6b1361a8fb431b3cfc531f58de3efa9a8b77f</t>
  </si>
  <si>
    <t xml:space="preserve">{"correction_basis":{"method":"Own present-file semantic visual review, with targeted high-resolution rechecks","page_proof":"independent-qa.json#/documents/page-review-proof.json/by_task/B24-MY-005","physical_pages":[33,35,39,40,42,54,56,60,62,64]},"original_clarification":{"item":"Specific death/TPD clauses preserve remaining death protection after smallerTPDpayment; general termination cross-refers benefits. No automatic all-cover termination conclusion.","pages":[33,35,39,40,42,54,56,60,62,64]},"qa_disposition":"independently_confirmed_after_full_visual_review"}</t>
  </si>
  <si>
    <t xml:space="preserve">qa-b24-full-review-20261026/issues-and-clarifications.json#/records/4/independent_clarification_dispositions/6</t>
  </si>
  <si>
    <t xml:space="preserve">independent-qa.json#/documents/issues-and-clarifications.json/records/4/independent_clarification_dispositions/6</t>
  </si>
  <si>
    <t xml:space="preserve">f24a31942fc2978fab0290f0e36807a23eed9fc49159d5af3e8fa98e9b56616b</t>
  </si>
  <si>
    <t xml:space="preserve">{"correction_basis":{"method":"Own present-file semantic visual review, with targeted high-resolution rechecks","page_proof":"independent-qa.json#/documents/page-review-proof.json/by_task/B24-MY-005","physical_pages":[31,52]},"original_clarification":{"item":"Free-look delivery/penghantaran wording alone does not establish a dispatched-versus-received conflict; not retained as blocker.","pages":[31,52]},"qa_disposition":"independently_confirmed_after_full_visual_review"}</t>
  </si>
  <si>
    <t xml:space="preserve">qa-b24-full-review-20261026/issues-and-clarifications.json#/records/4/independent_clarification_dispositions/7</t>
  </si>
  <si>
    <t xml:space="preserve">independent-qa.json#/documents/issues-and-clarifications.json/records/4/independent_clarification_dispositions/7</t>
  </si>
  <si>
    <t xml:space="preserve">2677c8841032c58c5b7bca30899f4554c79f50da589d71b1990705f4c5f7d6c5</t>
  </si>
  <si>
    <t xml:space="preserve">{"correction_basis":{"method":"Own present-file semantic visual review, with targeted high-resolution rechecks","page_proof":"independent-qa.json#/documents/page-review-proof.json/by_task/B24-MY-005","physical_pages":[32,53]},"original_clarification":{"item":"Incontestability both measured from certificate issue, not conflicting issue-versus-commencement.","pages":[32,53]},"qa_disposition":"independently_confirmed_after_full_visual_review"}</t>
  </si>
  <si>
    <t xml:space="preserve">qa-b24-full-review-20261026/issues-and-clarifications.json#/records/4/independent_clarification_dispositions/8</t>
  </si>
  <si>
    <t xml:space="preserve">independent-qa.json#/documents/issues-and-clarifications.json/records/4/independent_clarification_dispositions/8</t>
  </si>
  <si>
    <t xml:space="preserve">3fb12d4d228c5c9093c0fe904184929cf5f55f7ce720213004f6dcd010391577</t>
  </si>
  <si>
    <t xml:space="preserve">{"correction_basis":{"method":"Own present-file semantic visual review, with targeted high-resolution rechecks","page_proof":"independent-qa.json#/documents/page-review-proof.json/by_task/B24-MY-005","physical_pages":[5,7]},"original_clarification":{"item":"Malay disability must berlanjutan six months; absence of an extra continuous adjective for nonworkers does not establish intermittent aggregation.","pages":[5,7]},"qa_disposition":"independently_confirmed_after_full_visual_review"}</t>
  </si>
  <si>
    <t xml:space="preserve">qa-b24-full-review-20261026/issues-and-clarifications.json#/records/4/independent_clarification_dispositions/9</t>
  </si>
  <si>
    <t xml:space="preserve">independent-qa.json#/documents/issues-and-clarifications.json/records/4/independent_clarification_dispositions/9</t>
  </si>
  <si>
    <t xml:space="preserve">6097e646e6a070ed078347609c6e8a5e972631e7f39d2ae3e3408416642bc298</t>
  </si>
  <si>
    <t xml:space="preserve">{"correction_basis":{"method":"Own present-file semantic visual review, with targeted high-resolution rechecks","page_proof":"independent-qa.json#/documents/page-review-proof.json/by_task/B24-MY-005","physical_pages":[60,62,64]},"original_clarification":{"item":"Lower-than comparator and tidak in continuing-cover sentences confirmed; no reverse-comparison or missing-negative allegation.","pages":[60,62,64]},"qa_disposition":"independently_confirmed_after_full_visual_review"}</t>
  </si>
  <si>
    <t xml:space="preserve">qa-b24-full-review-20261026/issues-and-clarifications.json#/records/4/independent_clarification_dispositions/10</t>
  </si>
  <si>
    <t xml:space="preserve">independent-qa.json#/documents/issues-and-clarifications.json/records/4/independent_clarification_dispositions/10</t>
  </si>
  <si>
    <t xml:space="preserve">8c873f27faa21248e8bd35e7cbaea2c5af70fb4b7e76992991cd9e71eb4e2a25</t>
  </si>
  <si>
    <t xml:space="preserve">[1,2,30,50]</t>
  </si>
  <si>
    <t xml:space="preserve">{"correction_basis":"Both operative additions target clause26, same master codes, actual general clauses1–25 and nonoperative-headings rule; heading mismatch alone is not a scope conflict.","disposition":"withdrawn_and_page_note_corrected","evidence":"independent-qa.json#/documents/page-review-proof.json/by_task/B24-MY-005","physical_pages":[1,2,30,50],"prior_candidate":"Initial own page2 note treated MRTT002/003 heading difference as substantive sanctions-target discrepancy"}</t>
  </si>
  <si>
    <t xml:space="preserve">qa-b24-full-review-20261026/issues-and-clarifications.json#/records/4/independent_corrections_and_dispositions/0</t>
  </si>
  <si>
    <t xml:space="preserve">independent-qa.json#/documents/issues-and-clarifications.json/records/4/independent_corrections_and_dispositions/0</t>
  </si>
  <si>
    <t xml:space="preserve">74332c7242f4b1cd8d611d59ad50f75b6ac37dbe40d8bf3640a1e24fd09aac2f</t>
  </si>
  <si>
    <t xml:space="preserve">[44,45,46,67,68,69]</t>
  </si>
  <si>
    <t xml:space="preserve">{"correction_basis":"009 fee annex and010 formula actually supplied in both languages. Wakalah rate refers to certificate. Printed gaps/22-of32 anomaly alone prove no substantive universal omission; personal certificate incompleteness remains separate.","disposition":"narrowed_not_retained_as_missing_universal_component","evidence":"independent-qa.json#/documents/page-review-proof.json/by_task/B24-MY-005","physical_pages":[44,45,46,67,68,69],"prior_candidate":"Execution generic concern that printed numbering gaps might mean missing financial components"}</t>
  </si>
  <si>
    <t xml:space="preserve">qa-b24-full-review-20261026/issues-and-clarifications.json#/records/4/independent_corrections_and_dispositions/1</t>
  </si>
  <si>
    <t xml:space="preserve">independent-qa.json#/documents/issues-and-clarifications.json/records/4/independent_corrections_and_dispositions/1</t>
  </si>
  <si>
    <t xml:space="preserve">ee86e15ae2ac0ca8b04a3e1f0d9f8672828c0557fdecf320ad23e6ad7faaaa83</t>
  </si>
  <si>
    <t xml:space="preserve">[23,24,25,26]</t>
  </si>
  <si>
    <t xml:space="preserve">{"correction_basis":"Each expressly replaces old009section2; no additive fee. Effective chronology and GST0 wording not established.","disposition":"double_fee_inference_withdrawn_chronology_question_retained","evidence":"independent-qa.json#/documents/page-review-proof.json/by_task/B24-MY-005","physical_pages":[23,24,25,26],"prior_candidate":"Two undated RM50 replacement pairs might imply simultaneous fees"}</t>
  </si>
  <si>
    <t xml:space="preserve">qa-b24-full-review-20261026/issues-and-clarifications.json#/records/4/independent_corrections_and_dispositions/2</t>
  </si>
  <si>
    <t xml:space="preserve">independent-qa.json#/documents/issues-and-clarifications.json/records/4/independent_corrections_and_dispositions/2</t>
  </si>
  <si>
    <t xml:space="preserve">2e491cb4a2f83a9b8364c7ba1ade271b6011097f55c1fb0c17643cfcfe4b8f18</t>
  </si>
  <si>
    <t xml:space="preserve">[46,69]</t>
  </si>
  <si>
    <t xml:space="preserve">{"correction_basis":"Positive branch12n−(t−1), zero branch12n−t share post-deferment t range; no in-file month-boundary reconciliation observed. No repair, actuarial conclusion or actual underpayment inferred.","disposition":"needs_review_for_numerical_application_not_proven_error","evidence":"independent-qa.json#/documents/page-review-proof.json/by_task/B24-MY-005","physical_pages":[46,69],"prior_candidate":"Positive/zero rate branch indexing"}</t>
  </si>
  <si>
    <t xml:space="preserve">qa-b24-full-review-20261026/issues-and-clarifications.json#/records/4/independent_corrections_and_dispositions/3</t>
  </si>
  <si>
    <t xml:space="preserve">independent-qa.json#/documents/issues-and-clarifications.json/records/4/independent_corrections_and_dispositions/3</t>
  </si>
  <si>
    <t xml:space="preserve">9c022fdf387ab91275163c17733e1570e2ab3fd3bf08db854370d26c95824d89</t>
  </si>
  <si>
    <t xml:space="preserve">"All69presentpages independently read. Confirm death-exclusion account-value versus cash-value amount basis(p39/60, cash definitionp35/55), no amendment resolves it. All three other_body_component_version_questions fully reviewed: undatedRM50pairs have uncertain chronology but both replaceRM53, no doublefee; printed-page gaps/22of32 anomaly do not alone prove missing substantive tables,009expressly refers fee to certificate and010present; both formula languages retain positive-rate(t-1) versus zero-rate(t) branch indexing needing numerical-use clarification, not proven error. Sanctions002/003heading bounded by identicalclause26and nonoperative-heading rule, not retained as separate scope conflict. All11 executionclarifications retained; no actual claim/invalidity inference."</t>
  </si>
  <si>
    <t xml:space="preserve">qa-b24-full-review-20261026/issues-and-clarifications.json#/records/4/independent_qa_conclusion</t>
  </si>
  <si>
    <t xml:space="preserve">independent-qa.json#/documents/issues-and-clarifications.json/records/4/independent_qa_conclusion</t>
  </si>
  <si>
    <t xml:space="preserve">d6bdc542797b7190f9230fc7621df5b87f8e62b61a17ce484442e2fb66ef775d</t>
  </si>
  <si>
    <t xml:space="preserve">{"item":"Prior MRTT003-vs-MRTT002 sanctions heading discrepancy confirmed but bounded: identical clause26 operative target, same master codes, base general clauses1–25 and nonoperative-headings rule. Do not infer divergent sanctions coverage or identity solely from heading.","pages":[1,2,30,50]}</t>
  </si>
  <si>
    <t xml:space="preserve">qa-b24-full-review-20261026/issues-and-clarifications.json#/records/4/execution_findings_and_clarifications_preserved/clarified_or_superseded_items/0</t>
  </si>
  <si>
    <t xml:space="preserve">independent-qa.json#/documents/issues-and-clarifications.json/records/4/execution_findings_and_clarifications_preserved/clarified_or_superseded_items/0</t>
  </si>
  <si>
    <t xml:space="preserve">c895fc1081687afe08d5b32bc6e713991d99839cd2077b671b145838eca3dcdc</t>
  </si>
  <si>
    <t xml:space="preserve">[3,4]</t>
  </si>
  <si>
    <t xml:space="preserve">{"item":"Prior holder unknown partly resolved by explicit two CIMB banks in2022endorsement; no owner change or independent product split.","pages":[3,4]}</t>
  </si>
  <si>
    <t xml:space="preserve">qa-b24-full-review-20261026/issues-and-clarifications.json#/records/4/execution_findings_and_clarifications_preserved/clarified_or_superseded_items/1</t>
  </si>
  <si>
    <t xml:space="preserve">independent-qa.json#/documents/issues-and-clarifications.json/records/4/execution_findings_and_clarifications_preserved/clarified_or_superseded_items/1</t>
  </si>
  <si>
    <t xml:space="preserve">3835650ffb202be60e5164b82da6da6335903b34d8b3f2b6be843e3d6a43909e</t>
  </si>
  <si>
    <t xml:space="preserve">[5,7,40,62]</t>
  </si>
  <si>
    <t xml:space="preserve">{"item":"2021 explicitly replaces oldRM2m cap withRM8m and wholeTPD definition/exclusions; old own/similar-occupation wording and2019partial definition changes no longer competing operative definitions.","pages":[5,7,40,62]}</t>
  </si>
  <si>
    <t xml:space="preserve">qa-b24-full-review-20261026/issues-and-clarifications.json#/records/4/execution_findings_and_clarifications_preserved/clarified_or_superseded_items/2</t>
  </si>
  <si>
    <t xml:space="preserve">independent-qa.json#/documents/issues-and-clarifications.json/records/4/execution_findings_and_clarifications_preserved/clarified_or_superseded_items/2</t>
  </si>
  <si>
    <t xml:space="preserve">b71a545a84dbb6cf130ec91b8f33e45f046390de8cc40d003d40b6407efa5667</t>
  </si>
  <si>
    <t xml:space="preserve">[10,11,12,13,14,15,16,32,37,38,52,57,58]</t>
  </si>
  <si>
    <t xml:space="preserve">{"item":"2020 replacements govern age, gender9.2, account/fund and wakalah; superseded age-ineligibility payout, oldqard wording and erroneous oldwakalah008cross-reference not active conflicts.","pages":[10,11,12,13,14,15,16,32,37,38,52,57,58]}</t>
  </si>
  <si>
    <t xml:space="preserve">qa-b24-full-review-20261026/issues-and-clarifications.json#/records/4/execution_findings_and_clarifications_preserved/clarified_or_superseded_items/3</t>
  </si>
  <si>
    <t xml:space="preserve">independent-qa.json#/documents/issues-and-clarifications.json/records/4/execution_findings_and_clarifications_preserved/clarified_or_superseded_items/3</t>
  </si>
  <si>
    <t xml:space="preserve">5e3001b3858419c6f2a4d2bec0c433508ee8bca27798179a659449bec0a9413b</t>
  </si>
  <si>
    <t xml:space="preserve">[17,18,19,20,21,22,33,43,53,54,66]</t>
  </si>
  <si>
    <t xml:space="preserve">{"item":"2019 new notice method,&lt;=RM10bank/charity,delete14.2,newfinalbenefit1.2/1.3 and009eligibility prevail over old&lt;RM2versions.","pages":[17,18,19,20,21,22,33,43,53,54,66]}</t>
  </si>
  <si>
    <t xml:space="preserve">qa-b24-full-review-20261026/issues-and-clarifications.json#/records/4/execution_findings_and_clarifications_preserved/clarified_or_superseded_items/4</t>
  </si>
  <si>
    <t xml:space="preserve">independent-qa.json#/documents/issues-and-clarifications.json/records/4/execution_findings_and_clarifications_preserved/clarified_or_superseded_items/4</t>
  </si>
  <si>
    <t xml:space="preserve">c515ab76c38664bb84309229f469a0f20fa9e980c495be0f427b1cc386ed2ec5</t>
  </si>
  <si>
    <t xml:space="preserve">[23,24,25,26,45,68]</t>
  </si>
  <si>
    <t xml:space="preserve">{"item":"Both undatedRM50pairs replace oldRM53section2 entirely; no evidence of additive or dual surrender deduction.","pages":[23,24,25,26,45,68]}</t>
  </si>
  <si>
    <t xml:space="preserve">qa-b24-full-review-20261026/issues-and-clarifications.json#/records/4/execution_findings_and_clarifications_preserved/clarified_or_superseded_items/5</t>
  </si>
  <si>
    <t xml:space="preserve">independent-qa.json#/documents/issues-and-clarifications.json/records/4/execution_findings_and_clarifications_preserved/clarified_or_superseded_items/5</t>
  </si>
  <si>
    <t xml:space="preserve">72dd4c4fe521a02a74c3b84efcd3670788e16f20912e4d8bda275271503ba15d</t>
  </si>
  <si>
    <t xml:space="preserve">[33,35,39,40,42,54,56,60,62,64]</t>
  </si>
  <si>
    <t xml:space="preserve">{"item":"Specific death/TPD clauses preserve remaining death protection after smallerTPDpayment; general termination cross-refers benefits. No automatic all-cover termination conclusion.","pages":[33,35,39,40,42,54,56,60,62,64]}</t>
  </si>
  <si>
    <t xml:space="preserve">qa-b24-full-review-20261026/issues-and-clarifications.json#/records/4/execution_findings_and_clarifications_preserved/clarified_or_superseded_items/6</t>
  </si>
  <si>
    <t xml:space="preserve">independent-qa.json#/documents/issues-and-clarifications.json/records/4/execution_findings_and_clarifications_preserved/clarified_or_superseded_items/6</t>
  </si>
  <si>
    <t xml:space="preserve">b8ce2131cfde475644e7b24cbbc3b205d39cd6793034c6b4922e99000a0c40d7</t>
  </si>
  <si>
    <t xml:space="preserve">[31,52]</t>
  </si>
  <si>
    <t xml:space="preserve">{"item":"Free-look delivery/penghantaran wording alone does not establish a dispatched-versus-received conflict; not retained as blocker.","pages":[31,52]}</t>
  </si>
  <si>
    <t xml:space="preserve">qa-b24-full-review-20261026/issues-and-clarifications.json#/records/4/execution_findings_and_clarifications_preserved/clarified_or_superseded_items/7</t>
  </si>
  <si>
    <t xml:space="preserve">independent-qa.json#/documents/issues-and-clarifications.json/records/4/execution_findings_and_clarifications_preserved/clarified_or_superseded_items/7</t>
  </si>
  <si>
    <t xml:space="preserve">a21871d982765ccfcafac8260dbc143aa682cdf43c13ca612ed346cab8f6871a</t>
  </si>
  <si>
    <t xml:space="preserve">[32,53]</t>
  </si>
  <si>
    <t xml:space="preserve">{"item":"Incontestability both measured from certificate issue, not conflicting issue-versus-commencement.","pages":[32,53]}</t>
  </si>
  <si>
    <t xml:space="preserve">qa-b24-full-review-20261026/issues-and-clarifications.json#/records/4/execution_findings_and_clarifications_preserved/clarified_or_superseded_items/8</t>
  </si>
  <si>
    <t xml:space="preserve">independent-qa.json#/documents/issues-and-clarifications.json/records/4/execution_findings_and_clarifications_preserved/clarified_or_superseded_items/8</t>
  </si>
  <si>
    <t xml:space="preserve">e45bda9c46e29773015230bc514d7e95a0d9a4df6d2c269624b24794273064f2</t>
  </si>
  <si>
    <t xml:space="preserve">[5,7]</t>
  </si>
  <si>
    <t xml:space="preserve">{"item":"Malay disability must berlanjutan six months; absence of an extra continuous adjective for nonworkers does not establish intermittent aggregation.","pages":[5,7]}</t>
  </si>
  <si>
    <t xml:space="preserve">qa-b24-full-review-20261026/issues-and-clarifications.json#/records/4/execution_findings_and_clarifications_preserved/clarified_or_superseded_items/9</t>
  </si>
  <si>
    <t xml:space="preserve">independent-qa.json#/documents/issues-and-clarifications.json/records/4/execution_findings_and_clarifications_preserved/clarified_or_superseded_items/9</t>
  </si>
  <si>
    <t xml:space="preserve">0c7cbf26facdf8ece6d433fc47e1aab68e7db86478ee50313b7f7475b0c9135c</t>
  </si>
  <si>
    <t xml:space="preserve">[60,62,64]</t>
  </si>
  <si>
    <t xml:space="preserve">{"item":"Lower-than comparator and tidak in continuing-cover sentences confirmed; no reverse-comparison or missing-negative allegation.","pages":[60,62,64]}</t>
  </si>
  <si>
    <t xml:space="preserve">qa-b24-full-review-20261026/issues-and-clarifications.json#/records/4/execution_findings_and_clarifications_preserved/clarified_or_superseded_items/10</t>
  </si>
  <si>
    <t xml:space="preserve">independent-qa.json#/documents/issues-and-clarifications.json/records/4/execution_findings_and_clarifications_preserved/clarified_or_superseded_items/10</t>
  </si>
  <si>
    <t xml:space="preserve">163a65716c319351440b60b6dc877d999514bff9c70899cfc514a0eb16506ead</t>
  </si>
  <si>
    <t xml:space="preserve">{"finding":"Two surrender-fee replacement pairs lack a concrete effective date: both state RM50 or account value if lower, one includes GST with0% footnote. Ordering and tax-wording chronology not established. Both explicitly replace old009section2, so oldRM53 and two simultaneous surrender fees are not inferred.","pages":[23,24,25,26]}</t>
  </si>
  <si>
    <t xml:space="preserve">qa-b24-full-review-20261026/issues-and-clarifications.json#/records/4/execution_findings_and_clarifications_preserved/other_body_component_version_questions/0</t>
  </si>
  <si>
    <t xml:space="preserve">independent-qa.json#/documents/issues-and-clarifications.json/records/4/execution_findings_and_clarifications_preserved/other_body_component_version_questions/0</t>
  </si>
  <si>
    <t xml:space="preserve">0d6d9e86705c62a595f49e4910baa1a30e216f42f497547b12103df4a26a5357</t>
  </si>
  <si>
    <t xml:space="preserve">[28,29,43,44,45,46,48,49,66,67,68,69]</t>
  </si>
  <si>
    <t xml:space="preserve">{"finding":"English numbered3,19,21–27 not present; Malay3,23–29 not present, with p67 footer22/32 but neighboring base totals31. Existing009 explicitly refers wakalah to certificate, but omitted-page contents and whether old retained numbering or omitted substantive material cannot be proved. Full means all69existingpages, not declared-print-sequence or package completeness.","pages":[28,29,43,44,45,46,48,49,66,67,68,69]}</t>
  </si>
  <si>
    <t xml:space="preserve">qa-b24-full-review-20261026/issues-and-clarifications.json#/records/4/execution_findings_and_clarifications_preserved/other_body_component_version_questions/1</t>
  </si>
  <si>
    <t xml:space="preserve">independent-qa.json#/documents/issues-and-clarifications.json/records/4/execution_findings_and_clarifications_preserved/other_body_component_version_questions/1</t>
  </si>
  <si>
    <t xml:space="preserve">3abb1b734c0f4225fd5e9a4d32a45b25fc54996a489bffbdda94791fd2574a5c</t>
  </si>
  <si>
    <t xml:space="preserve">{"finding":"Both languages use a positive-rate branch with exponent12n−(t−1) and a zero-rate branch numerator12n−t over the same post-deferment t range. Month-start/end and zero-rate boundary interpretation needs issuer clarification for numerical use; this review does not label the branch difference a calculation error.","pages":[46,69]}</t>
  </si>
  <si>
    <t xml:space="preserve">qa-b24-full-review-20261026/issues-and-clarifications.json#/records/4/execution_findings_and_clarifications_preserved/other_body_component_version_questions/2</t>
  </si>
  <si>
    <t xml:space="preserve">independent-qa.json#/documents/issues-and-clarifications.json/records/4/execution_findings_and_clarifications_preserved/other_body_component_version_questions/2</t>
  </si>
  <si>
    <t xml:space="preserve">812821efe5d17f8f251ed6cc5554de17319055c6c29a6c34c3f3f0d12293dc81</t>
  </si>
  <si>
    <t xml:space="preserve">"No proof of current sale/adoption or personal issuance; these are separate from file-level review and are not sole strict blockers."</t>
  </si>
  <si>
    <t xml:space="preserve">qa-b24-full-review-20261026/issues-and-clarifications.json#/records/4/execution_findings_and_clarifications_preserved/source_and_package_boundaries/0</t>
  </si>
  <si>
    <t xml:space="preserve">independent-qa.json#/documents/issues-and-clarifications.json/records/4/execution_findings_and_clarifications_preserved/source_and_package_boundaries/0</t>
  </si>
  <si>
    <t xml:space="preserve">89c8641305013cb5b5c31373b60fe0ac0295c1ef57e0503809af37908cafe9b2</t>
  </si>
  <si>
    <t xml:space="preserve">"No personal certificate/benefit schedule/application; actual personal contribution, fees, rates and amounts unknown."</t>
  </si>
  <si>
    <t xml:space="preserve">qa-b24-full-review-20261026/issues-and-clarifications.json#/records/4/execution_findings_and_clarifications_preserved/source_and_package_boundaries/1</t>
  </si>
  <si>
    <t xml:space="preserve">independent-qa.json#/documents/issues-and-clarifications.json/records/4/execution_findings_and_clarifications_preserved/source_and_package_boundaries/1</t>
  </si>
  <si>
    <t xml:space="preserve">f7afb8447517caaf7c533a9b32936790cee4a7a412c9f0800b80b908484266b8</t>
  </si>
  <si>
    <t xml:space="preserve">"Base edition not printed; endorsement dates, reference-code digits and PDF metadata do not establish base edition or complete amendment history."</t>
  </si>
  <si>
    <t xml:space="preserve">qa-b24-full-review-20261026/issues-and-clarifications.json#/records/4/execution_findings_and_clarifications_preserved/source_and_package_boundaries/2</t>
  </si>
  <si>
    <t xml:space="preserve">independent-qa.json#/documents/issues-and-clarifications.json/records/4/execution_findings_and_clarifications_preserved/source_and_package_boundaries/2</t>
  </si>
  <si>
    <t xml:space="preserve">4e6035307f07ef3dfc0542b6b29b0d934e0b8915e9467510642ecbd6808face2</t>
  </si>
  <si>
    <t xml:space="preserve">"MTTV0615 appears only among broader older amendment reference sets; no independently established additional product or owner inference."</t>
  </si>
  <si>
    <t xml:space="preserve">qa-b24-full-review-20261026/issues-and-clarifications.json#/records/4/execution_findings_and_clarifications_preserved/source_and_package_boundaries/3</t>
  </si>
  <si>
    <t xml:space="preserve">independent-qa.json#/documents/issues-and-clarifications.json/records/4/execution_findings_and_clarifications_preserved/source_and_package_boundaries/3</t>
  </si>
  <si>
    <t xml:space="preserve">fc34762367a14e2e329b7304edc19f103333a458dbf6b3adebcf5fc23876cdbf</t>
  </si>
  <si>
    <t xml:space="preserve">[39,60,30,50,55]</t>
  </si>
  <si>
    <t xml:space="preserve">{"boundary":"Textual amount-basis reconciliation only: does not prove an actual deduction, underpayment or invalidity.","confirmation":"216 dpi p39/p60 and account/cash-value definitions p30/p50/p55.","finding":"English MRTT006 2.1 refunds participant-account value; Malay MRTT006 2.1 refunds nilai tunai. Cash-value definition separately deducts surrender charges and debt from account value. No attached amendment replaces this death-exclusion refund basis and no language-precedence clause was found.","id":"005-F1","pages":[39,60,30,50,55],"topic":"Operative death-exclusion refund basis"}</t>
  </si>
  <si>
    <t xml:space="preserve">qa-b24-full-review-20261026/issues-and-clarifications.json#/records/4/execution_findings_and_clarifications_preserved/substantive_unresolved_findings/0</t>
  </si>
  <si>
    <t xml:space="preserve">independent-qa.json#/documents/issues-and-clarifications.json/records/4/execution_findings_and_clarifications_preserved/substantive_unresolved_findings/0</t>
  </si>
  <si>
    <t xml:space="preserve">270734b668609c771fe5f9716ce75fd3bd16929cacfca997c0693228a049f678</t>
  </si>
  <si>
    <t xml:space="preserve">{"broader_older_endorsement_code":"MTTV0615","holder_evidence":"p3–4 explicitly CIMB Bank Berhad and CIMB Islamic Bank Berhad","operator":"Sun Life Malaysia Takaful Berhad","owner_mutation":false,"primary_master_codes":["MTTC0615","MTTI0615"],"product":"Group Mortgage Reducing Term Takaful (MRTT2015)"}</t>
  </si>
  <si>
    <t xml:space="preserve">qa-b24-full-review-20261026/accepted-rows.json#/4/identity_observations</t>
  </si>
  <si>
    <t xml:space="preserve">independent-qa.json#/documents/accepted-rows.json/4/identity_observations</t>
  </si>
  <si>
    <t xml:space="preserve">ce1f16767edb70a2782d34842f6e482717dcdfaadec12e2cd4acfa98104dbbd1</t>
  </si>
  <si>
    <t xml:space="preserve">006-incorporated-wakalah-component</t>
  </si>
  <si>
    <t xml:space="preserve">[12,15,16,38,44,57,66]</t>
  </si>
  <si>
    <t xml:space="preserve">{"effect_boundary":"All67existingpagesread; cannot reconstructfeecomponent, personalizefee, infercontractinvalidity or claimcompletepackage.","finding":"MRTT009 is present only fromclause2: surrender/stamp/surplus/profit content exists, but clause1 wakalah schedule is absent inbothlanguages. 2020MRTT005 expressly requires percentage as shown in009 and doesnot supply it. This identified incorporated feecomponent is missing; footer jumps alone and absentMRTT002holder schedule are not independent proof.","issue_id":"006-incorporated-wakalah-component","physical_pages":[12,15,16,38,44,57,66]}</t>
  </si>
  <si>
    <t xml:space="preserve">qa-b24-full-review-20261026/issues-and-clarifications.json#/records/5/issues/0</t>
  </si>
  <si>
    <t xml:space="preserve">independent-qa.json#/documents/issues-and-clarifications.json/records/5/issues/0</t>
  </si>
  <si>
    <t xml:space="preserve">43f01b40e9770b2b27e49f2d42042bbce9c48cccb1e6c84b6a19adf93cfe622a</t>
  </si>
  <si>
    <t xml:space="preserve">006-excluded-death-refund-basis</t>
  </si>
  <si>
    <t xml:space="preserve">[35,39,54,59]</t>
  </si>
  <si>
    <t xml:space="preserve">{"effect_boundary":"Specificrefundbasisdifference, not actualdeduction/denial/invalidity.","finding":"ENMRTT0062.1 returns participantaccountvalue for firstyearsuicide/preexistingdeath; BMusesnilaitunai/cashvalue, definedgeneral20.1asaccountlesssurrenderchargesanddebt. No in-fileamendmentreplaces thisclause or establishes equivalence/priority.","issue_id":"006-excluded-death-refund-basis","physical_pages":[35,39,54,59]}</t>
  </si>
  <si>
    <t xml:space="preserve">qa-b24-full-review-20261026/issues-and-clarifications.json#/records/5/issues/1</t>
  </si>
  <si>
    <t xml:space="preserve">independent-qa.json#/documents/issues-and-clarifications.json/records/5/issues/1</t>
  </si>
  <si>
    <t xml:space="preserve">9e63365b4d3605a4c0d0d1c809823adf0464771b5d1554af7e4763b159bbc3c3</t>
  </si>
  <si>
    <t xml:space="preserve">006-formula-month-boundary</t>
  </si>
  <si>
    <t xml:space="preserve">[45,67]</t>
  </si>
  <si>
    <t xml:space="preserve">{"effect_boundary":"Clarificationquestion only; not proof discontinuityimpermissible oractualshortfall, noformulaalteration.","finding":"MRTT010same t-range12dp+1through12n but positivep exponent12n-(t-1) vszero p numerator12n-t. FirstpostdefermentpositivebranchISCvszerobranch(12pp-1)/(12pp)ISC; terminalmonthpositivevszero. Bothlanguagesagree, yet beginning/endmonth convention unclarified.","issue_id":"006-formula-month-boundary","physical_pages":[45,67]}</t>
  </si>
  <si>
    <t xml:space="preserve">qa-b24-full-review-20261026/issues-and-clarifications.json#/records/5/issues/2</t>
  </si>
  <si>
    <t xml:space="preserve">independent-qa.json#/documents/issues-and-clarifications.json/records/5/issues/2</t>
  </si>
  <si>
    <t xml:space="preserve">bcb6596d8571038f46bf220dc5f1f10959f040c8ae875da60ca34bcb8e522b5b</t>
  </si>
  <si>
    <t xml:space="preserve">[5,6,7,8,9,19,21,40,41,61,62,63]</t>
  </si>
  <si>
    <t xml:space="preserve">{"correction_basis":"2021 expresslyreplacescap/fullTPDdefinition/exclusions; old2m/ownsimilartitle/2019bathingnotconcurrent, headingsconvenienceclausealso present.","physical_pages":[5,6,7,8,9,19,21,40,41,61,62,63],"status":"confirmed_clearance"}</t>
  </si>
  <si>
    <t xml:space="preserve">qa-b24-full-review-20261026/issues-and-clarifications.json#/records/5/clarifications/0</t>
  </si>
  <si>
    <t xml:space="preserve">independent-qa.json#/documents/issues-and-clarifications.json/records/5/clarifications/0</t>
  </si>
  <si>
    <t xml:space="preserve">bab21e9eb4c79c9ec82cc0ac987d4febf046ec7738a97cf1c048b0b9772633d4</t>
  </si>
  <si>
    <t xml:space="preserve">[10,11,12,13,14,15,16,32,37,38,51,56,57]</t>
  </si>
  <si>
    <t xml:space="preserve">{"correction_basis":"2020replacementscontrolprinciples/age/gender/funds/wakalah; wrongold008wakalahrefcorrected009, not doublededuction.","physical_pages":[10,11,12,13,14,15,16,32,37,38,51,56,57],"status":"confirmed_clearance"}</t>
  </si>
  <si>
    <t xml:space="preserve">qa-b24-full-review-20261026/issues-and-clarifications.json#/records/5/clarifications/1</t>
  </si>
  <si>
    <t xml:space="preserve">independent-qa.json#/documents/issues-and-clarifications.json/records/5/clarifications/1</t>
  </si>
  <si>
    <t xml:space="preserve">2f4020fd109bd225706200a97ed91192a86549e4a27a6f97a1ab36d392c37bd2</t>
  </si>
  <si>
    <t xml:space="preserve">[17,18,19,20,21,22,23,24,25,26,33,43,44,52,53,65,66]</t>
  </si>
  <si>
    <t xml:space="preserve">{"correction_basis":"2019deletes14.2/replacesRM2andadds4.2/5.2eligibilitywithactual13/15targets; datedSept2018replacesJune2018/base53GSTwithlesserRM50oraccount.","physical_pages":[17,18,19,20,21,22,23,24,25,26,33,43,44,52,53,65,66],"status":"confirmed_clearance"}</t>
  </si>
  <si>
    <t xml:space="preserve">qa-b24-full-review-20261026/issues-and-clarifications.json#/records/5/clarifications/2</t>
  </si>
  <si>
    <t xml:space="preserve">independent-qa.json#/documents/issues-and-clarifications.json/records/5/clarifications/2</t>
  </si>
  <si>
    <t xml:space="preserve">eca65aba4aaef4ee6cfa1b3a4c2c350d06de8a86f7f5e66741f2b097268d0a88</t>
  </si>
  <si>
    <t xml:space="preserve">[33,35,36,39,40,42,53,55,59,61,63,64]</t>
  </si>
  <si>
    <t xml:space="preserve">{"correction_basis":"ReadresidualpaymentandpartialTPDcontinuation beforegeneralterminationinterpretation; noforfeitureinference.","physical_pages":[33,35,36,39,40,42,53,55,59,61,63,64],"status":"confirmed_clearance"}</t>
  </si>
  <si>
    <t xml:space="preserve">qa-b24-full-review-20261026/issues-and-clarifications.json#/records/5/clarifications/3</t>
  </si>
  <si>
    <t xml:space="preserve">independent-qa.json#/documents/issues-and-clarifications.json/records/5/clarifications/3</t>
  </si>
  <si>
    <t xml:space="preserve">be9b036dd22bc4c35c02989329b2ce683bb79e799f04e3681995206c9d1dd2b9</t>
  </si>
  <si>
    <t xml:space="preserve">{"correction_basis":"216dpi visualrecheckconfirmsexactmatchingindices; retainnosilentcorrection/noshortfallinference, but raise specificmonth-boundaryquestion.","physical_pages":[45,67],"status":"execution_clearance_qualified"}</t>
  </si>
  <si>
    <t xml:space="preserve">qa-b24-full-review-20261026/issues-and-clarifications.json#/records/5/clarifications/4</t>
  </si>
  <si>
    <t xml:space="preserve">independent-qa.json#/documents/issues-and-clarifications.json/records/5/clarifications/4</t>
  </si>
  <si>
    <t xml:space="preserve">e93f8899558acaca372f4a3b003d47019eb1e1718816ebbf6a451ae4145b4217</t>
  </si>
  <si>
    <t xml:space="preserve">[1,2,29,30,35,36,48,49,55]</t>
  </si>
  <si>
    <t xml:space="preserve">{"correction_basis":"EN2025MRTT003/generalvsBM002/benefitheading differs; completeoperative26sameandaddedafterbase25; headingsconvenience present. Do not inferdifferent sanctiontest or invalidity.","physical_pages":[1,2,29,30,35,36,48,49,55],"status":"reference_inconsistency_not_substantive_sanctions_difference"}</t>
  </si>
  <si>
    <t xml:space="preserve">qa-b24-full-review-20261026/issues-and-clarifications.json#/records/5/clarifications/5</t>
  </si>
  <si>
    <t xml:space="preserve">independent-qa.json#/documents/issues-and-clarifications.json/records/5/clarifications/5</t>
  </si>
  <si>
    <t xml:space="preserve">0e1c3ecdd9d8a16809e7f574ab415ec10519c31dae6a6a2fd65b75f7578d49b9</t>
  </si>
  <si>
    <t xml:space="preserve">[3,4,35,55]</t>
  </si>
  <si>
    <t xml:space="preserve">{"correction_basis":"2022certificateownernomination replacesoldpersoncovered22; notlivebilingualcontradiction.","physical_pages":[3,4,35,55],"status":"confirmed_replacement"}</t>
  </si>
  <si>
    <t xml:space="preserve">qa-b24-full-review-20261026/issues-and-clarifications.json#/records/5/clarifications/6</t>
  </si>
  <si>
    <t xml:space="preserve">independent-qa.json#/documents/issues-and-clarifications.json/records/5/clarifications/6</t>
  </si>
  <si>
    <t xml:space="preserve">8ea1da34d3440b3bcff9bd550581dfe2a46e9a0216a68b479ef5b1e5e4c72f88</t>
  </si>
  <si>
    <t xml:space="preserve">[28,29,43,44,47,48,65,66]</t>
  </si>
  <si>
    <t xml:space="preserve">{"physical_pages":[28,29,43,44,47,48,65,66],"question":"MRTT002masterholder schedule absent; thatalonepersonalboundary. Distinguish positivelymissing009wakalahcomponent from allotherunidentifiedfooterjumps. 009ratiosand010formula present, notwhollymissing."}</t>
  </si>
  <si>
    <t xml:space="preserve">qa-b24-full-review-20261026/issues-and-clarifications.json#/records/5/other_body_component_version_questions/0</t>
  </si>
  <si>
    <t xml:space="preserve">independent-qa.json#/documents/issues-and-clarifications.json/records/5/other_body_component_version_questions/0</t>
  </si>
  <si>
    <t xml:space="preserve">a094086ccdce7bb79a7d503810206690be79f9c0311645f40ef663c49175eb95</t>
  </si>
  <si>
    <t xml:space="preserve">{"physical_pages":[45,67],"question":"Formula monthly-indexboundary needsclarificationindependentofmatchinglanguages."}</t>
  </si>
  <si>
    <t xml:space="preserve">qa-b24-full-review-20261026/issues-and-clarifications.json#/records/5/other_body_component_version_questions/1</t>
  </si>
  <si>
    <t xml:space="preserve">independent-qa.json#/documents/issues-and-clarifications.json/records/5/other_body_component_version_questions/1</t>
  </si>
  <si>
    <t xml:space="preserve">217a57e0ed194651758cd668aab91d7add2f4163fbe739549d1aca72047a786a</t>
  </si>
  <si>
    <t xml:space="preserve">"2021 expresslyreplacescap/fullTPDdefinition/exclusions; old2m/ownsimilartitle/2019bathingnotconcurrent, headingsconvenienceclausealso present."</t>
  </si>
  <si>
    <t xml:space="preserve">qa-b24-full-review-20261026/issues-and-clarifications.json#/records/5/correction_basis/0</t>
  </si>
  <si>
    <t xml:space="preserve">independent-qa.json#/documents/issues-and-clarifications.json/records/5/correction_basis/0</t>
  </si>
  <si>
    <t xml:space="preserve">a29777a460d4c2f3ed6d63a0a95b980a51bf70c3a9183152c7636a56401635df</t>
  </si>
  <si>
    <t xml:space="preserve">"2020replacementscontrolprinciples/age/gender/funds/wakalah; wrongold008wakalahrefcorrected009, not doublededuction."</t>
  </si>
  <si>
    <t xml:space="preserve">qa-b24-full-review-20261026/issues-and-clarifications.json#/records/5/correction_basis/1</t>
  </si>
  <si>
    <t xml:space="preserve">independent-qa.json#/documents/issues-and-clarifications.json/records/5/correction_basis/1</t>
  </si>
  <si>
    <t xml:space="preserve">2f1ef167659480d618d9da3df1b3c3796efccf46f7bb85ad45dd53605305ca52</t>
  </si>
  <si>
    <t xml:space="preserve">"2019deletes14.2/replacesRM2andadds4.2/5.2eligibilitywithactual13/15targets; datedSept2018replacesJune2018/base53GSTwithlesserRM50oraccount."</t>
  </si>
  <si>
    <t xml:space="preserve">qa-b24-full-review-20261026/issues-and-clarifications.json#/records/5/correction_basis/2</t>
  </si>
  <si>
    <t xml:space="preserve">independent-qa.json#/documents/issues-and-clarifications.json/records/5/correction_basis/2</t>
  </si>
  <si>
    <t xml:space="preserve">8640eb3462d03922b851901498f0169d989bf9b08dcb51dff89745e69bf8375b</t>
  </si>
  <si>
    <t xml:space="preserve">"ReadresidualpaymentandpartialTPDcontinuation beforegeneralterminationinterpretation; noforfeitureinference."</t>
  </si>
  <si>
    <t xml:space="preserve">qa-b24-full-review-20261026/issues-and-clarifications.json#/records/5/correction_basis/3</t>
  </si>
  <si>
    <t xml:space="preserve">independent-qa.json#/documents/issues-and-clarifications.json/records/5/correction_basis/3</t>
  </si>
  <si>
    <t xml:space="preserve">24afef64e7988fd68f29144c26b9d3ada36d12268d5c10daa6b7c869d8589c29</t>
  </si>
  <si>
    <t xml:space="preserve">"216dpi visualrecheckconfirmsexactmatchingindices; retainnosilentcorrection/noshortfallinference, but raise specificmonth-boundaryquestion."</t>
  </si>
  <si>
    <t xml:space="preserve">qa-b24-full-review-20261026/issues-and-clarifications.json#/records/5/correction_basis/4</t>
  </si>
  <si>
    <t xml:space="preserve">independent-qa.json#/documents/issues-and-clarifications.json/records/5/correction_basis/4</t>
  </si>
  <si>
    <t xml:space="preserve">743897eb9b429a65d9403c96ad70c7f8ff9ef86bcf46dc3b5a778ea2c5681746</t>
  </si>
  <si>
    <t xml:space="preserve">"EN2025MRTT003/generalvsBM002/benefitheading differs; completeoperative26sameandaddedafterbase25; headingsconvenience present. Do not inferdifferent sanctiontest or invalidity."</t>
  </si>
  <si>
    <t xml:space="preserve">qa-b24-full-review-20261026/issues-and-clarifications.json#/records/5/correction_basis/5</t>
  </si>
  <si>
    <t xml:space="preserve">independent-qa.json#/documents/issues-and-clarifications.json/records/5/correction_basis/5</t>
  </si>
  <si>
    <t xml:space="preserve">21a9566be3ec0c3653a0a4cd9fc2943148354f26e057edc682d12224ae7770a2</t>
  </si>
  <si>
    <t xml:space="preserve">"2022certificateownernomination replacesoldpersoncovered22; notlivebilingualcontradiction."</t>
  </si>
  <si>
    <t xml:space="preserve">qa-b24-full-review-20261026/issues-and-clarifications.json#/records/5/correction_basis/6</t>
  </si>
  <si>
    <t xml:space="preserve">independent-qa.json#/documents/issues-and-clarifications.json/records/5/correction_basis/6</t>
  </si>
  <si>
    <t xml:space="preserve">c0d036a5f3b392e9c83f0e5ecba22252f9a0cd786c0d80738f1fe872e9385e87</t>
  </si>
  <si>
    <t xml:space="preserve">qa-b24-full-review-20261026/accepted-rows.json#/5/version_boundary</t>
  </si>
  <si>
    <t xml:space="preserve">independent-qa.json#/documents/accepted-rows.json/5/version_boundary</t>
  </si>
  <si>
    <t xml:space="preserve">007-wakalah-threshold</t>
  </si>
  <si>
    <t xml:space="preserve">[28,47]</t>
  </si>
  <si>
    <t xml:space="preserve">{"effect_boundary":"Clarify exact threshold only; no conclusion about fee actually charged.","finding":"English gives RM350,000 and below 26%, above RM350,000 23%; BM gives RM350,000 ke bawah and RM350,000 ke atas, overlapping at RM350,000.","issue_id":"007-wakalah-threshold","physical_pages":[28,47]}</t>
  </si>
  <si>
    <t xml:space="preserve">qa-b24-full-review-20261026/issues-and-clarifications.json#/records/6/issues/0</t>
  </si>
  <si>
    <t xml:space="preserve">independent-qa.json#/documents/issues-and-clarifications.json/records/6/issues/0</t>
  </si>
  <si>
    <t xml:space="preserve">35451dcffee7fc5dc23fffdf671349ea225633d9ede0c55bbc2187d4203286db</t>
  </si>
  <si>
    <t xml:space="preserve">007-TPD-onset-qualification</t>
  </si>
  <si>
    <t xml:space="preserve">{"effect_boundary":"Body-language qualification difference, not an assertion of actual claim outcome.","finding":"EN 1.1 expressly requires TPD to begin on/after certificate commencement. BM starts with payout clause equivalent to EN 1.2 and does not contain that onset qualification. In-force and age conditions do not restate it.","issue_id":"007-TPD-onset-qualification","physical_pages":[24,43]}</t>
  </si>
  <si>
    <t xml:space="preserve">qa-b24-full-review-20261026/issues-and-clarifications.json#/records/6/issues/1</t>
  </si>
  <si>
    <t xml:space="preserve">independent-qa.json#/documents/issues-and-clarifications.json/records/6/issues/1</t>
  </si>
  <si>
    <t xml:space="preserve">0f802c24c176c9c3080ac71966cc9b853750c286f72bf29213112b49120a48e8</t>
  </si>
  <si>
    <t xml:space="preserve">007-formula-month-boundary</t>
  </si>
  <si>
    <t xml:space="preserve">[29,48]</t>
  </si>
  <si>
    <t xml:space="preserve">{"effect_boundary":"Seek intended temporal convention; bilingual consistency does not itself explain this boundary. No formula silently corrected and no contract invalidity or actual shortfall asserted.","finding":"Both languages use exponent 12n-(t-1) when p&gt;0 but numerator 12n-t when p=0 on the same post-deferment range. At first post-deferment month these give ISC versus (12pp-1)/(12pp)ISC; at final month positive versus zero. Wording does not explain start/end-month convention.","issue_id":"007-formula-month-boundary","physical_pages":[29,48]}</t>
  </si>
  <si>
    <t xml:space="preserve">qa-b24-full-review-20261026/issues-and-clarifications.json#/records/6/issues/2</t>
  </si>
  <si>
    <t xml:space="preserve">independent-qa.json#/documents/issues-and-clarifications.json/records/6/issues/2</t>
  </si>
  <si>
    <t xml:space="preserve">0808102d1e66b11752ff0e6bac7cc7b9449e9a79ba8d2ff794329df85358bf84</t>
  </si>
  <si>
    <t xml:space="preserve">[1,5,14,32]</t>
  </si>
  <si>
    <t xml:space="preserve">{"correction_basis":"BM-only deletion of old definition 1.1(c) removes an extra Contract definition absent from EN; it does not delete EN certificate anniversary.","physical_pages":[1,5,14,32],"status":"confirmed"}</t>
  </si>
  <si>
    <t xml:space="preserve">qa-b24-full-review-20261026/issues-and-clarifications.json#/records/6/clarifications/0</t>
  </si>
  <si>
    <t xml:space="preserve">independent-qa.json#/documents/issues-and-clarifications.json/records/6/clarifications/0</t>
  </si>
  <si>
    <t xml:space="preserve">44a44f2dc1c87b3c75a6a733f70f1f9dbdd7f12531ac8eb05cbd0d903b821ecd</t>
  </si>
  <si>
    <t xml:space="preserve">[1,2,3,4,5,6,7,8]</t>
  </si>
  <si>
    <t xml:space="preserve">{"correction_basis":"2020 endorsement explicitly replaces affected definition, age, gender, fund and wakalah clauses, not cumulative deductions.","physical_pages":[1,2,3,4,5,6,7,8],"status":"confirmed"}</t>
  </si>
  <si>
    <t xml:space="preserve">qa-b24-full-review-20261026/issues-and-clarifications.json#/records/6/clarifications/1</t>
  </si>
  <si>
    <t xml:space="preserve">independent-qa.json#/documents/issues-and-clarifications.json/records/6/clarifications/1</t>
  </si>
  <si>
    <t xml:space="preserve">1197decf5db263d0b1638a81e70fb9251f5067952366627da26852af0f99c665</t>
  </si>
  <si>
    <t xml:space="preserve">[9,10,11,19,20,27,28,38,39,46,47]</t>
  </si>
  <si>
    <t xml:space="preserve">{"correction_basis":"2019 clauses have actual termination14/payment18 targets; replaced final-benefit1.2 is not a live contradiction.","physical_pages":[9,10,11,19,20,27,28,38,39,46,47],"status":"confirmed"}</t>
  </si>
  <si>
    <t xml:space="preserve">qa-b24-full-review-20261026/issues-and-clarifications.json#/records/6/clarifications/2</t>
  </si>
  <si>
    <t xml:space="preserve">independent-qa.json#/documents/issues-and-clarifications.json/records/6/clarifications/2</t>
  </si>
  <si>
    <t xml:space="preserve">38a7df55b60b579b3a3bdd184322530f4a7ea1033d87f73a2d2ebab2e15600bd</t>
  </si>
  <si>
    <t xml:space="preserve">[18,24,37,43]</t>
  </si>
  <si>
    <t xml:space="preserve">{"correction_basis":"Debt-first distribution and partial-TPD continuation qualify broad termination and final-benefit language.","physical_pages":[18,24,37,43],"status":"confirmed"}</t>
  </si>
  <si>
    <t xml:space="preserve">qa-b24-full-review-20261026/issues-and-clarifications.json#/records/6/clarifications/3</t>
  </si>
  <si>
    <t xml:space="preserve">independent-qa.json#/documents/issues-and-clarifications.json/records/6/clarifications/3</t>
  </si>
  <si>
    <t xml:space="preserve">a193f855ca92472826df880bb0b9655f0aeb5dc2979445e068b40ba06f6a01c5</t>
  </si>
  <si>
    <t xml:space="preserve">{"correction_basis":"Both death exclusion clauses return participant account value. The account-versus-cash issue in another file must not be imported.","physical_pages":[23,42],"status":"confirmed"}</t>
  </si>
  <si>
    <t xml:space="preserve">qa-b24-full-review-20261026/issues-and-clarifications.json#/records/6/clarifications/4</t>
  </si>
  <si>
    <t xml:space="preserve">independent-qa.json#/documents/issues-and-clarifications.json/records/6/clarifications/4</t>
  </si>
  <si>
    <t xml:space="preserve">151be8b15b364f6eeed5e3c8030d19b194e63033f2f61405006690964fa5aec6</t>
  </si>
  <si>
    <t xml:space="preserve">[1,2,3,4,5,6,7,8,9,10,11,28,47]</t>
  </si>
  <si>
    <t xml:space="preserve">{"correction_basis":"No 2021 TPD replacement or 2018 surrender amendment appears in this exact file. Do not import RM8m/any-work or later surrender wording from another source.","physical_pages":[1,2,3,4,5,6,7,8,9,10,11,28,47],"status":"confirmed"}</t>
  </si>
  <si>
    <t xml:space="preserve">qa-b24-full-review-20261026/issues-and-clarifications.json#/records/6/clarifications/5</t>
  </si>
  <si>
    <t xml:space="preserve">independent-qa.json#/documents/issues-and-clarifications.json/records/6/clarifications/5</t>
  </si>
  <si>
    <t xml:space="preserve">a0a7ff1a1dffea8884b552f315226e58fe39361699b128f53f3c8142e21bd7ea</t>
  </si>
  <si>
    <t xml:space="preserve">{"correction_basis":"Formula indices are visually identical EN/BM and must be preserved; no silent repair or actual-shortfall assertion. However their same-range p&gt;0/p=0 month convention remains specifically unexplained and is retained as 007-formula-month-boundary.","physical_pages":[29,48],"status":"qualified"}</t>
  </si>
  <si>
    <t xml:space="preserve">qa-b24-full-review-20261026/issues-and-clarifications.json#/records/6/clarifications/6</t>
  </si>
  <si>
    <t xml:space="preserve">independent-qa.json#/documents/issues-and-clarifications.json/records/6/clarifications/6</t>
  </si>
  <si>
    <t xml:space="preserve">42b46d70eae500e9d99803b50d5b6aebb3e690dce38bb098d5f931d97c227ca9</t>
  </si>
  <si>
    <t xml:space="preserve">"Exact code is MTTR0315; external Bank Rakyat and after-2015 labels remain unproved, with no current-adoption conclusion."</t>
  </si>
  <si>
    <t xml:space="preserve">qa-b24-full-review-20261026/issues-and-clarifications.json#/records/6/other_body_component_version_questions/0</t>
  </si>
  <si>
    <t xml:space="preserve">independent-qa.json#/documents/issues-and-clarifications.json/records/6/other_body_component_version_questions/0</t>
  </si>
  <si>
    <t xml:space="preserve">d05b359c13455ed7501ee8150e8036d1732cba227b09c29a578bcdc02627da35</t>
  </si>
  <si>
    <t xml:space="preserve">"MRTT002 masterholder schedule is not present; generic fee and formula annexures009/010 are present and complete, so no footer-only missing-component veto."</t>
  </si>
  <si>
    <t xml:space="preserve">qa-b24-full-review-20261026/issues-and-clarifications.json#/records/6/other_body_component_version_questions/1</t>
  </si>
  <si>
    <t xml:space="preserve">independent-qa.json#/documents/issues-and-clarifications.json/records/6/other_body_component_version_questions/1</t>
  </si>
  <si>
    <t xml:space="preserve">ef9bdb545b3554f1690194728523eb8926b8024d8abff50c2cebf768123c9762</t>
  </si>
  <si>
    <t xml:space="preserve">"BM bathing ADL uses bathroom/washroom wording while EN uses bath/shower; preserve narrow translation nuance without declaring different actual eligibility."</t>
  </si>
  <si>
    <t xml:space="preserve">qa-b24-full-review-20261026/issues-and-clarifications.json#/records/6/other_body_component_version_questions/2</t>
  </si>
  <si>
    <t xml:space="preserve">independent-qa.json#/documents/issues-and-clarifications.json/records/6/other_body_component_version_questions/2</t>
  </si>
  <si>
    <t xml:space="preserve">255984643a7e2bb593be1abda13a0df959e7e661ca78459f7af9dbf4dddfc1b0</t>
  </si>
  <si>
    <t xml:space="preserve">"Personal certificate schedule and issued package are outside this exact-file QA."</t>
  </si>
  <si>
    <t xml:space="preserve">qa-b24-full-review-20261026/issues-and-clarifications.json#/records/6/other_body_component_version_questions/3</t>
  </si>
  <si>
    <t xml:space="preserve">independent-qa.json#/documents/issues-and-clarifications.json/records/6/other_body_component_version_questions/3</t>
  </si>
  <si>
    <t xml:space="preserve">bbe3e400c773db6a6822343b162b46d57ba6f81b6f807ec9d4164007369e011a</t>
  </si>
  <si>
    <t xml:space="preserve">"BM-only deletion of old definition 1.1(c) removes an extra Contract definition absent from EN; it does not delete EN certificate anniversary."</t>
  </si>
  <si>
    <t xml:space="preserve">qa-b24-full-review-20261026/issues-and-clarifications.json#/records/6/correction_basis/0</t>
  </si>
  <si>
    <t xml:space="preserve">independent-qa.json#/documents/issues-and-clarifications.json/records/6/correction_basis/0</t>
  </si>
  <si>
    <t xml:space="preserve">65e6ba79d36e23a8a6daddc010170772be2df99e7072b8fe14d33670531f5812</t>
  </si>
  <si>
    <t xml:space="preserve">"2020 endorsement explicitly replaces affected definition, age, gender, fund and wakalah clauses, not cumulative deductions."</t>
  </si>
  <si>
    <t xml:space="preserve">qa-b24-full-review-20261026/issues-and-clarifications.json#/records/6/correction_basis/1</t>
  </si>
  <si>
    <t xml:space="preserve">independent-qa.json#/documents/issues-and-clarifications.json/records/6/correction_basis/1</t>
  </si>
  <si>
    <t xml:space="preserve">fc8a009a816c6f520d9b8ea016d836c2c3d2c37acd9d8ed24691bdf4dc1c7f29</t>
  </si>
  <si>
    <t xml:space="preserve">"2019 clauses have actual termination14/payment18 targets; replaced final-benefit1.2 is not a live contradiction."</t>
  </si>
  <si>
    <t xml:space="preserve">qa-b24-full-review-20261026/issues-and-clarifications.json#/records/6/correction_basis/2</t>
  </si>
  <si>
    <t xml:space="preserve">independent-qa.json#/documents/issues-and-clarifications.json/records/6/correction_basis/2</t>
  </si>
  <si>
    <t xml:space="preserve">6340e4f479736c7f5289f9c59ed00af49c47f9ad9aabf5aa8f68896b2d92395d</t>
  </si>
  <si>
    <t xml:space="preserve">"Debt-first distribution and partial-TPD continuation qualify broad termination and final-benefit language."</t>
  </si>
  <si>
    <t xml:space="preserve">qa-b24-full-review-20261026/issues-and-clarifications.json#/records/6/correction_basis/3</t>
  </si>
  <si>
    <t xml:space="preserve">independent-qa.json#/documents/issues-and-clarifications.json/records/6/correction_basis/3</t>
  </si>
  <si>
    <t xml:space="preserve">39913ae472d604205f60a7e874efb44b876a7aea89ca855982798b64b58fced2</t>
  </si>
  <si>
    <t xml:space="preserve">"Both death exclusion clauses return participant account value. The account-versus-cash issue in another file must not be imported."</t>
  </si>
  <si>
    <t xml:space="preserve">qa-b24-full-review-20261026/issues-and-clarifications.json#/records/6/correction_basis/4</t>
  </si>
  <si>
    <t xml:space="preserve">independent-qa.json#/documents/issues-and-clarifications.json/records/6/correction_basis/4</t>
  </si>
  <si>
    <t xml:space="preserve">556430c7a9951b7ad085f0c0e8e2a0c3453afc9197b556ba0cc240b5eb50bbd4</t>
  </si>
  <si>
    <t xml:space="preserve">"No 2021 TPD replacement or 2018 surrender amendment appears in this exact file. Do not import RM8m/any-work or later surrender wording from another source."</t>
  </si>
  <si>
    <t xml:space="preserve">qa-b24-full-review-20261026/issues-and-clarifications.json#/records/6/correction_basis/5</t>
  </si>
  <si>
    <t xml:space="preserve">independent-qa.json#/documents/issues-and-clarifications.json/records/6/correction_basis/5</t>
  </si>
  <si>
    <t xml:space="preserve">8afa3cce02496c069775c3685e40387374e6da136e10ac5baea276fe0d803801</t>
  </si>
  <si>
    <t xml:space="preserve">"Formula indices are visually identical EN/BM and must be preserved; no silent repair or actual-shortfall assertion. However their same-range p&gt;0/p=0 month convention remains specifically unexplained and is retained as 007-formula-month-boundary."</t>
  </si>
  <si>
    <t xml:space="preserve">qa-b24-full-review-20261026/issues-and-clarifications.json#/records/6/correction_basis/6</t>
  </si>
  <si>
    <t xml:space="preserve">independent-qa.json#/documents/issues-and-clarifications.json/records/6/correction_basis/6</t>
  </si>
  <si>
    <t xml:space="preserve">3581c6aed7dd518b32f34c3e4812601b393888711f93d77d976458b93f1c8564</t>
  </si>
  <si>
    <t xml:space="preserve">qa-b24-full-review-20261026/accepted-rows.json#/6/version_boundary</t>
  </si>
  <si>
    <t xml:space="preserve">independent-qa.json#/documents/accepted-rows.json/6/version_boundary</t>
  </si>
  <si>
    <t xml:space="preserve">008-death-refund-terminology</t>
  </si>
  <si>
    <t xml:space="preserve">[15,20,36,41]</t>
  </si>
  <si>
    <t xml:space="preserve">{"boundary":"No inference that a death claim actually incurs surrender charge or that contract is invalid.","disposition":"needs_review","finding":"EN death-exclusion refund is participant-account value; BM is nilai tunai/cash value. Cash-value definition elsewhere deducts surrender charge for surrender/early settlement. No language-priority or replacement resolves term equivalence.","issue_id":"008-death-refund-terminology","physical_pages":[15,20,36,41]}</t>
  </si>
  <si>
    <t xml:space="preserve">qa-b24-full-review-20261026/issues-and-clarifications.json#/records/7/issues/0</t>
  </si>
  <si>
    <t xml:space="preserve">independent-qa.json#/documents/issues-and-clarifications.json/records/7/issues/0</t>
  </si>
  <si>
    <t xml:space="preserve">cd482ce339f794f16649eca0f0c900871a6d3ee86820bc654240f4edb805ee49</t>
  </si>
  <si>
    <t xml:space="preserve">008-TPD-definition-reference</t>
  </si>
  <si>
    <t xml:space="preserve">[9,10,21,29,30,43]</t>
  </si>
  <si>
    <t xml:space="preserve">{"disposition":"needs_review","finding":"TPD benefit1.1 both languages points MRTT002 but supplied definitions are in MRTT003; operative definition exists yet cross-reference remains uncorrected.","issue_id":"008-TPD-definition-reference","physical_pages":[9,10,21,29,30,43]}</t>
  </si>
  <si>
    <t xml:space="preserve">qa-b24-full-review-20261026/issues-and-clarifications.json#/records/7/issues/1</t>
  </si>
  <si>
    <t xml:space="preserve">independent-qa.json#/documents/issues-and-clarifications.json/records/7/issues/1</t>
  </si>
  <si>
    <t xml:space="preserve">7bb35e6b2c760a98ce4195c6e1d39552838080dc97566d65a250fdb60f1a7f59</t>
  </si>
  <si>
    <t xml:space="preserve">008-reducing-sum-formula-month-boundary</t>
  </si>
  <si>
    <t xml:space="preserve">{"correction_basis":{"literal_formulas":{"common_repayment_interval":"t=12dp+1,12dp+2,…,12n","deferment":"RSC_t=ISC for t=0,1,…,12dp","definitions":"v=1/(1+p/12); n=dp+pp; t=duration in months measured from certificate commencement","positive_profit":"RSC_t=[(1−v^(12n−(t−1)))/(1−v^(12pp))]×ISC, p&gt;0","zero_profit":"RSC_t=[(12n−t)/(12pp)]×ISC, p=0"},"not_claimed":["No replacement formula or numerical correction is made.","No calculation-error, actual underpayment, actual refusal, or invalidity is asserted.","No personal certificate amount or entitlement is calculated."],"reason_material":"The two branches retain a one-period indexing difference at the same t, including the terminal boundary. Clarification could affect the intended reducing coverage amount; this is not a title/footer/numbering-only question.","requested_clarification":"Confirm whether monthly observation is beginning-of-month or end-of-month in each branch, how the terminal month is treated, and how the p=0 branch relates to the positive-rate formula.","supersedes_prior_qa_characterization":"Earlier faithful-retention/no-actuarial-repair language is retained as history but is not a resolution of the material interpretation question."},"disposition":"needs_review","finding":"Both language formula appendices use 12n−(t−1) in the positive-profit-rate exponent but 12n−t in the zero-profit-rate numerator, over the same stated monthly interval t=12dp+1,…,12n. The definition of t is months measured from certificate commencement, without an express branch-specific month-start/month-end convention. A material reducing-sum-covered interpretation question remains at the monthly/terminal and zero-rate boundaries; bilingual agreement does not resolve it.","issue_id":"008-reducing-sum-formula-month-boundary","materiality":"substantive_body_formula_interpretation","physical_pages":[26,48]}</t>
  </si>
  <si>
    <t xml:space="preserve">qa-b24-full-review-20261026/issues-and-clarifications.json#/records/7/issues/2</t>
  </si>
  <si>
    <t xml:space="preserve">independent-qa.json#/documents/issues-and-clarifications.json/records/7/issues/2</t>
  </si>
  <si>
    <t xml:space="preserve">23cd4787096086272526b51c45e721fca429f06bdc3028ba8524a0a5b9d524b3</t>
  </si>
  <si>
    <t xml:space="preserve">[8,9,26,28,42,48]</t>
  </si>
  <si>
    <t xml:space="preserve">{"finding":"Initial EN1/29 denominator not evidence of ten missing pages; actual base continues1–19. BM1–21 includes footer-onlyp42. Financial annex009 and formula010 present.","physical_pages":[8,9,26,28,42,48]}</t>
  </si>
  <si>
    <t xml:space="preserve">qa-b24-full-review-20261026/issues-and-clarifications.json#/records/7/clarifications/0</t>
  </si>
  <si>
    <t xml:space="preserve">independent-qa.json#/documents/issues-and-clarifications.json/records/7/clarifications/0</t>
  </si>
  <si>
    <t xml:space="preserve">27f706cd5c14dd9c8fa92072797863c2a9c443c86fcefd43b88541c9f7f5f071</t>
  </si>
  <si>
    <t xml:space="preserve">[21,22,43,44]</t>
  </si>
  <si>
    <t xml:space="preserve">{"finding":"Lower TPD preserves death; BM comparison/negation read correctly, no reversed continuation. Execution false alarms retained as withdrawn.","physical_pages":[21,22,43,44]}</t>
  </si>
  <si>
    <t xml:space="preserve">qa-b24-full-review-20261026/issues-and-clarifications.json#/records/7/clarifications/1</t>
  </si>
  <si>
    <t xml:space="preserve">independent-qa.json#/documents/issues-and-clarifications.json/records/7/clarifications/1</t>
  </si>
  <si>
    <t xml:space="preserve">5ebbec4d9844d5a3e938021b17a77bec3c5e4ec012cda4f87ba9a6efc5639264</t>
  </si>
  <si>
    <t xml:space="preserve">[1,2,3,4,5,6,15,36]</t>
  </si>
  <si>
    <t xml:space="preserve">{"finding":"2020 express replacement/deletion controls old age/fund/wakalah/legal-proceedings wording; no live contradiction from superseded text.","physical_pages":[1,2,3,4,5,6,15,36]}</t>
  </si>
  <si>
    <t xml:space="preserve">qa-b24-full-review-20261026/issues-and-clarifications.json#/records/7/clarifications/2</t>
  </si>
  <si>
    <t xml:space="preserve">independent-qa.json#/documents/issues-and-clarifications.json/records/7/clarifications/2</t>
  </si>
  <si>
    <t xml:space="preserve">a2602c4c63c482d159edbc790bc86c5bc63bedb232376de9aafea025f962c10f</t>
  </si>
  <si>
    <t xml:space="preserve">{"finding":"Positive-rate branch uses12n−(t−1), zero-rate12n−t in both languages; faithfully retained without actuarial repair, no personalized benefit calculation.","physical_pages":[26,48]}</t>
  </si>
  <si>
    <t xml:space="preserve">qa-b24-full-review-20261026/issues-and-clarifications.json#/records/7/clarifications/3</t>
  </si>
  <si>
    <t xml:space="preserve">independent-qa.json#/documents/issues-and-clarifications.json/records/7/clarifications/3</t>
  </si>
  <si>
    <t xml:space="preserve">321b164e83efff93049e25f52bc7f971f01d6931d854046807cf3a18a16e98bf</t>
  </si>
  <si>
    <t xml:space="preserve">{"finding":"Clarification update: faithful preservation of both branch indices does not settle their common-t month-start/month-end, terminal-month or zero-rate relationship. The unresolved material question is explicitly carried as needs_review; no formula is repaired.","issue_id":"008-reducing-sum-formula-month-boundary","physical_pages":[26,48]}</t>
  </si>
  <si>
    <t xml:space="preserve">qa-b24-full-review-20261026/issues-and-clarifications.json#/records/7/clarifications/4</t>
  </si>
  <si>
    <t xml:space="preserve">independent-qa.json#/documents/issues-and-clarifications.json/records/7/clarifications/4</t>
  </si>
  <si>
    <t xml:space="preserve">5483626596a70142d6d4e8b32cad420941945d244425fdc95a58d6f6b3df6f8d</t>
  </si>
  <si>
    <t xml:space="preserve">qa-b24-full-review-20261026/issues-and-clarifications.json#/records/7/other_body_component_version_questions/0</t>
  </si>
  <si>
    <t xml:space="preserve">independent-qa.json#/documents/issues-and-clarifications.json/records/7/other_body_component_version_questions/0</t>
  </si>
  <si>
    <t xml:space="preserve">非阻断范围边界</t>
  </si>
  <si>
    <t xml:space="preserve">"Reference code and2020 endorsement do not establish base edition/current adoption."</t>
  </si>
  <si>
    <t xml:space="preserve">qa-b24-full-review-20261026/issues-and-clarifications.json#/records/7/scope_caveats/0</t>
  </si>
  <si>
    <t xml:space="preserve">independent-qa.json#/documents/issues-and-clarifications.json/records/7/scope_caveats/0</t>
  </si>
  <si>
    <t xml:space="preserve">ed3ea9890fc58d6b60f7608d7f43bc92efe474de3e650817295212fd7e2b86e8</t>
  </si>
  <si>
    <t xml:space="preserve">"Personal certificate and fee rate absent; no package completeness or current sale claim."</t>
  </si>
  <si>
    <t xml:space="preserve">qa-b24-full-review-20261026/issues-and-clarifications.json#/records/7/scope_caveats/1</t>
  </si>
  <si>
    <t xml:space="preserve">independent-qa.json#/documents/issues-and-clarifications.json/records/7/scope_caveats/1</t>
  </si>
  <si>
    <t xml:space="preserve">f3151f354cadede45ef83664c3e72d17df93027de2059586c84ffb37df5a23db</t>
  </si>
  <si>
    <t xml:space="preserve">009-surrender-effective-periods</t>
  </si>
  <si>
    <t xml:space="preserve">[12,13,14,15,16,17]</t>
  </si>
  <si>
    <t xml:space="preserve">{"boundary":"Replacement wording is explicit; not cumulative fees and not actual double charging.","disposition":"needs_review","finding":"PlainRM50 and RM50inclusive0percentGST full-section replacements have unspecified numerical effective dates; dated1April2015 usesRM53inclusive6percent. Page order alone cannot establish exact operative periods.","issue_id":"009-surrender-effective-periods","physical_pages":[12,13,14,15,16,17]}</t>
  </si>
  <si>
    <t xml:space="preserve">qa-b24-full-review-20261026/issues-and-clarifications.json#/records/8/issues/0</t>
  </si>
  <si>
    <t xml:space="preserve">independent-qa.json#/documents/issues-and-clarifications.json/records/8/issues/0</t>
  </si>
  <si>
    <t xml:space="preserve">408c493503f74a377873fae123640964e9608a79a5e07369e61bca9f8211831a</t>
  </si>
  <si>
    <t xml:space="preserve">009-wakalah-exact-boundary</t>
  </si>
  <si>
    <t xml:space="preserve">[38,57]</t>
  </si>
  <si>
    <t xml:space="preserve">{"boundary":"Wording boundary only, no asserted actual charge error.","disposition":"needs_review","finding":"EN28percent applies350000andbelow and25percentabove350000. BM lower row350000keatas overlaps first350000andbelow at exact350000; no supplied language-priority resolves.","issue_id":"009-wakalah-exact-boundary","physical_pages":[38,57]}</t>
  </si>
  <si>
    <t xml:space="preserve">qa-b24-full-review-20261026/issues-and-clarifications.json#/records/8/issues/1</t>
  </si>
  <si>
    <t xml:space="preserve">independent-qa.json#/documents/issues-and-clarifications.json/records/8/issues/1</t>
  </si>
  <si>
    <t xml:space="preserve">ad2fbb31dda686842f18c892ba6702a30aba7b879a4978f2f68ed9eeb8119ddc</t>
  </si>
  <si>
    <t xml:space="preserve">009-reducing-sum-formula-month-boundary</t>
  </si>
  <si>
    <t xml:space="preserve">[39,58]</t>
  </si>
  <si>
    <t xml:space="preserve">{"correction_basis":{"literal_formulas":{"common_repayment_interval":"t=12dp+1,12dp+2,…,12n","deferment":"RSC_t=ISC for t=0,1,…,12dp","definitions":"v=1/(1+p/12); n=dp+pp; t=duration in months measured from certificate commencement","positive_profit":"RSC_t=[(1−v^(12n−(t−1)))/(1−v^(12pp))]×ISC, p&gt;0","zero_profit":"RSC_t=[(12n−t)/(12pp)]×ISC, p=0"},"not_claimed":["No replacement formula or numerical correction is made.","No calculation-error, actual underpayment, actual refusal, or invalidity is asserted.","No personal certificate amount or entitlement is calculated."],"reason_material":"The two branches retain a one-period indexing difference at the same t, including the terminal boundary. Clarification could affect the intended reducing coverage amount; this is not a title/footer/numbering-only question.","requested_clarification":"Confirm whether monthly observation is beginning-of-month or end-of-month in each branch, how the terminal month is treated, and how the p=0 branch relates to the positive-rate formula.","supersedes_prior_qa_characterization":"Earlier faithful-retention/no-actuarial-repair language is retained as history but is not a resolution of the material interpretation question."},"disposition":"needs_review","finding":"Both language formula appendices use 12n−(t−1) in the positive-profit-rate exponent but 12n−t in the zero-profit-rate numerator, over the same stated monthly interval t=12dp+1,…,12n. The definition of t is months measured from certificate commencement, without an express branch-specific month-start/month-end convention. A material reducing-sum-covered interpretation question remains at the monthly/terminal and zero-rate boundaries; bilingual agreement does not resolve it.","issue_id":"009-reducing-sum-formula-month-boundary","materiality":"substantive_body_formula_interpretation","physical_pages":[39,58]}</t>
  </si>
  <si>
    <t xml:space="preserve">qa-b24-full-review-20261026/issues-and-clarifications.json#/records/8/issues/2</t>
  </si>
  <si>
    <t xml:space="preserve">independent-qa.json#/documents/issues-and-clarifications.json/records/8/issues/2</t>
  </si>
  <si>
    <t xml:space="preserve">b7cd5133bc0c4427cd9f0baa51ee0f79d02925d7aa53c01a31aca32f4cb76370</t>
  </si>
  <si>
    <t xml:space="preserve">[24,25,41,42]</t>
  </si>
  <si>
    <t xml:space="preserve">{"finding":"Printed2to4 jump in both language sections retained as assembly observation, not claim unread actual page or automatic strict veto. Fee009 and formula010 actually present.","physical_pages":[24,25,41,42]}</t>
  </si>
  <si>
    <t xml:space="preserve">qa-b24-full-review-20261026/issues-and-clarifications.json#/records/8/clarifications/0</t>
  </si>
  <si>
    <t xml:space="preserve">independent-qa.json#/documents/issues-and-clarifications.json/records/8/clarifications/0</t>
  </si>
  <si>
    <t xml:space="preserve">13b2c046b0c9b048582d86a71af4b6b373a713f9e750ff3be7e5754d6ba343ff</t>
  </si>
  <si>
    <t xml:space="preserve">[1,9,18,20]</t>
  </si>
  <si>
    <t xml:space="preserve">{"finding":"Explicit2015/2019/2020 replacements not simultaneous live contradictory obligations.","physical_pages":[1,9,18,20]}</t>
  </si>
  <si>
    <t xml:space="preserve">qa-b24-full-review-20261026/issues-and-clarifications.json#/records/8/clarifications/1</t>
  </si>
  <si>
    <t xml:space="preserve">independent-qa.json#/documents/issues-and-clarifications.json/records/8/clarifications/1</t>
  </si>
  <si>
    <t xml:space="preserve">77b806f0bfa022fa1799fb6af3f6e24de5194a5da6d5bbd6b7f2f1886bc68bb8</t>
  </si>
  <si>
    <t xml:space="preserve">[33,34,36,52,53,55]</t>
  </si>
  <si>
    <t xml:space="preserve">{"finding":"Death exclusion account wording matches both languages; smallerTPD explicitly preserves death, no imported008 issue.","physical_pages":[33,34,36,52,53,55]}</t>
  </si>
  <si>
    <t xml:space="preserve">qa-b24-full-review-20261026/issues-and-clarifications.json#/records/8/clarifications/2</t>
  </si>
  <si>
    <t xml:space="preserve">independent-qa.json#/documents/issues-and-clarifications.json/records/8/clarifications/2</t>
  </si>
  <si>
    <t xml:space="preserve">7eb5b6f027d9d501bd22619870d008c15ec59056b6fe690ae92ee14316edea30</t>
  </si>
  <si>
    <t xml:space="preserve">{"finding":"Formula indexes faithfully read in both languages; no actuarial repair/personal calculation.","physical_pages":[39,58]}</t>
  </si>
  <si>
    <t xml:space="preserve">qa-b24-full-review-20261026/issues-and-clarifications.json#/records/8/clarifications/3</t>
  </si>
  <si>
    <t xml:space="preserve">independent-qa.json#/documents/issues-and-clarifications.json/records/8/clarifications/3</t>
  </si>
  <si>
    <t xml:space="preserve">fefb58788dcb27ac3e9cda85bb3f1550787cd18ab4e7cb76c4fcdc51e7180f31</t>
  </si>
  <si>
    <t xml:space="preserve">{"finding":"Clarification update: faithful preservation of both branch indices does not settle their common-t month-start/month-end, terminal-month or zero-rate relationship. The unresolved material question is explicitly carried as needs_review; no formula is repaired.","issue_id":"009-reducing-sum-formula-month-boundary","physical_pages":[39,58]}</t>
  </si>
  <si>
    <t xml:space="preserve">qa-b24-full-review-20261026/issues-and-clarifications.json#/records/8/clarifications/4</t>
  </si>
  <si>
    <t xml:space="preserve">independent-qa.json#/documents/issues-and-clarifications.json/records/8/clarifications/4</t>
  </si>
  <si>
    <t xml:space="preserve">5104e6467bd284f28f5b861d1b09aa5c31f6bbf26860e43183d90086faa7d525</t>
  </si>
  <si>
    <t xml:space="preserve">qa-b24-full-review-20261026/issues-and-clarifications.json#/records/8/other_body_component_version_questions/0</t>
  </si>
  <si>
    <t xml:space="preserve">independent-qa.json#/documents/issues-and-clarifications.json/records/8/other_body_component_version_questions/0</t>
  </si>
  <si>
    <t xml:space="preserve">"After5August2013 source label unproved by body; name-change19August2013 is separate fact."</t>
  </si>
  <si>
    <t xml:space="preserve">qa-b24-full-review-20261026/issues-and-clarifications.json#/records/8/scope_caveats/0</t>
  </si>
  <si>
    <t xml:space="preserve">independent-qa.json#/documents/issues-and-clarifications.json/records/8/scope_caveats/0</t>
  </si>
  <si>
    <t xml:space="preserve">a367f2772518ceaf35ed7c3339d5ff8c39d1b2f21f53da6db63173f3f2b65929</t>
  </si>
  <si>
    <t xml:space="preserve">"Holder only referred to master schedule; no personal package,current sale,current adoption or independent product claims."</t>
  </si>
  <si>
    <t xml:space="preserve">qa-b24-full-review-20261026/issues-and-clarifications.json#/records/8/scope_caveats/1</t>
  </si>
  <si>
    <t xml:space="preserve">independent-qa.json#/documents/issues-and-clarifications.json/records/8/scope_caveats/1</t>
  </si>
  <si>
    <t xml:space="preserve">edfd53966edfa30a549ead721244e77d47e8d2765fb0988e20e7c51225f0be23</t>
  </si>
  <si>
    <t xml:space="preserve">010-surrender-effective-periods</t>
  </si>
  <si>
    <t xml:space="preserve">{"boundary":"Replacement language precludes cumulativecharge inference; not actualdoublecharge orinvalidity.","disposition":"needs_review","finding":"Plain minRM50/account and RM50inclusiveGST0% whole-section replacements lack numeric effective dates; dated1April2015 minRM53inclusive6% also present. Cannot establish exact applicable periods frompageorder.","issue_id":"010-surrender-effective-periods","physical_pages":[12,13,14,15,16,17]}</t>
  </si>
  <si>
    <t xml:space="preserve">qa-b24-full-review-20261026/issues-and-clarifications.json#/records/9/issues/0</t>
  </si>
  <si>
    <t xml:space="preserve">independent-qa.json#/documents/issues-and-clarifications.json/records/9/issues/0</t>
  </si>
  <si>
    <t xml:space="preserve">e7851162a720d1164e3bd6fb2ce1ea80c0eb16032b16f306aff09afce84d0de7</t>
  </si>
  <si>
    <t xml:space="preserve">010-wakalah-exact-boundary</t>
  </si>
  <si>
    <t xml:space="preserve">[39,59]</t>
  </si>
  <si>
    <t xml:space="preserve">{"boundary":"Wording boundary only; no actualmischarge claim.","disposition":"needs_review","finding":"English ≤RM35000028% and above35000025%; Malay350000andbelow28% and350000keatas25% overlap at exact350000 without in-file priority reconciliation.","issue_id":"010-wakalah-exact-boundary","physical_pages":[39,59]}</t>
  </si>
  <si>
    <t xml:space="preserve">qa-b24-full-review-20261026/issues-and-clarifications.json#/records/9/issues/1</t>
  </si>
  <si>
    <t xml:space="preserve">independent-qa.json#/documents/issues-and-clarifications.json/records/9/issues/1</t>
  </si>
  <si>
    <t xml:space="preserve">321ef29fb56da64e87b188e5deeebc41c1cca5c72788de5b2f60d36b7bc55d55</t>
  </si>
  <si>
    <t xml:space="preserve">010-reducing-sum-formula-month-boundary</t>
  </si>
  <si>
    <t xml:space="preserve">[40,60]</t>
  </si>
  <si>
    <t xml:space="preserve">{"correction_basis":{"literal_formulas":{"common_repayment_interval":"t=12dp+1,12dp+2,…,12n","deferment":"RSC_t=ISC for t=0,1,…,12dp","definitions":"v=1/(1+p/12); n=dp+pp; t=duration in months measured from certificate commencement","positive_profit":"RSC_t=[(1−v^(12n−(t−1)))/(1−v^(12pp))]×ISC, p&gt;0","zero_profit":"RSC_t=[(12n−t)/(12pp)]×ISC, p=0"},"not_claimed":["No replacement formula or numerical correction is made.","No calculation-error, actual underpayment, actual refusal, or invalidity is asserted.","No personal certificate amount or entitlement is calculated."],"reason_material":"The two branches retain a one-period indexing difference at the same t, including the terminal boundary. Clarification could affect the intended reducing coverage amount; this is not a title/footer/numbering-only question.","requested_clarification":"Confirm whether monthly observation is beginning-of-month or end-of-month in each branch, how the terminal month is treated, and how the p=0 branch relates to the positive-rate formula.","supersedes_prior_qa_characterization":"Earlier faithful-retention/no-actuarial-repair language is retained as history but is not a resolution of the material interpretation question."},"disposition":"needs_review","finding":"Both language formula appendices use 12n−(t−1) in the positive-profit-rate exponent but 12n−t in the zero-profit-rate numerator, over the same stated monthly interval t=12dp+1,…,12n. The definition of t is months measured from certificate commencement, without an express branch-specific month-start/month-end convention. A material reducing-sum-covered interpretation question remains at the monthly/terminal and zero-rate boundaries; bilingual agreement does not resolve it.","issue_id":"010-reducing-sum-formula-month-boundary","materiality":"substantive_body_formula_interpretation","physical_pages":[40,60]}</t>
  </si>
  <si>
    <t xml:space="preserve">qa-b24-full-review-20261026/issues-and-clarifications.json#/records/9/issues/2</t>
  </si>
  <si>
    <t xml:space="preserve">independent-qa.json#/documents/issues-and-clarifications.json/records/9/issues/2</t>
  </si>
  <si>
    <t xml:space="preserve">8526a2323bebde80769ee99a8d53ee3a483c2c0ea7e94890e06a0c9ad7c1da82</t>
  </si>
  <si>
    <t xml:space="preserve">[17]</t>
  </si>
  <si>
    <t xml:space="preserve">{"finding":"GBTC009 in Malay2015 heading confirmed; surrenderclause2/context/masterGBTC0714 andEnglishGBFT009 identify target. Code anomaly not separatemissingannexure.","physical_pages":[17]}</t>
  </si>
  <si>
    <t xml:space="preserve">qa-b24-full-review-20261026/issues-and-clarifications.json#/records/9/clarifications/0</t>
  </si>
  <si>
    <t xml:space="preserve">independent-qa.json#/documents/issues-and-clarifications.json/records/9/clarifications/0</t>
  </si>
  <si>
    <t xml:space="preserve">10e4947e331ec4eca1a077ac67d040af5b2df5d0a982cdcbf11a5e22a1431275</t>
  </si>
  <si>
    <t xml:space="preserve">[23,24,25,39,40,42,43,44,59,60]</t>
  </si>
  <si>
    <t xml:space="preserve">{"finding":"Contents lists002schedule printed3; observed2to4 transitions but009financialand010formula actuallypresent. Missingindividual/masterparticulars not independently strictveto.","physical_pages":[23,24,25,39,40,42,43,44,59,60]}</t>
  </si>
  <si>
    <t xml:space="preserve">qa-b24-full-review-20261026/issues-and-clarifications.json#/records/9/clarifications/1</t>
  </si>
  <si>
    <t xml:space="preserve">independent-qa.json#/documents/issues-and-clarifications.json/records/9/clarifications/1</t>
  </si>
  <si>
    <t xml:space="preserve">33dd6e6af2a4c39d4fb4deb6a1e853c902a0a87573a3c62c19c1bc04c4e30016</t>
  </si>
  <si>
    <t xml:space="preserve">[1,2,3,4,5,6,7,8,9,10,11,18,19,20,21]</t>
  </si>
  <si>
    <t xml:space="preserve">{"finding":"Express2015/2019/2020 replacements control specified scopes, not live old/newconflicts.","physical_pages":[1,2,3,4,5,6,7,8,9,10,11,18,19,20,21]}</t>
  </si>
  <si>
    <t xml:space="preserve">qa-b24-full-review-20261026/issues-and-clarifications.json#/records/9/clarifications/2</t>
  </si>
  <si>
    <t xml:space="preserve">independent-qa.json#/documents/issues-and-clarifications.json/records/9/clarifications/2</t>
  </si>
  <si>
    <t xml:space="preserve">1af3c6e5488934c5f0e7679480b2cc0b903c493ddf853c9985efb049c958c77d</t>
  </si>
  <si>
    <t xml:space="preserve">[34,35,37,54,55,57]</t>
  </si>
  <si>
    <t xml:space="preserve">{"finding":"Death exclusion accountrefund and partialTPDnontermination matchlanguages; no008issue imported.","physical_pages":[34,35,37,54,55,57]}</t>
  </si>
  <si>
    <t xml:space="preserve">qa-b24-full-review-20261026/issues-and-clarifications.json#/records/9/clarifications/3</t>
  </si>
  <si>
    <t xml:space="preserve">independent-qa.json#/documents/issues-and-clarifications.json/records/9/clarifications/3</t>
  </si>
  <si>
    <t xml:space="preserve">52e99efe0d281f33a69ccaf07e4cc3c8bb981bc4384b66bf6f523929bb8bcae4</t>
  </si>
  <si>
    <t xml:space="preserve">{"finding":"Formula branchindexing identical bilingual; positiveprofit exponent12n−(t−1),zeroprofit numerator12n−t preserved, not silently actuarially repaired.","physical_pages":[40,60]}</t>
  </si>
  <si>
    <t xml:space="preserve">qa-b24-full-review-20261026/issues-and-clarifications.json#/records/9/clarifications/4</t>
  </si>
  <si>
    <t xml:space="preserve">independent-qa.json#/documents/issues-and-clarifications.json/records/9/clarifications/4</t>
  </si>
  <si>
    <t xml:space="preserve">54a346504112ead9a49e1f7ccd1ad9b44a13fdcba8c3e3a9aaf8ba8aed340f79</t>
  </si>
  <si>
    <t xml:space="preserve">{"finding":"Clarification update: faithful preservation of both branch indices does not settle their common-t month-start/month-end, terminal-month or zero-rate relationship. The unresolved material question is explicitly carried as needs_review; no formula is repaired.","issue_id":"010-reducing-sum-formula-month-boundary","physical_pages":[40,60]}</t>
  </si>
  <si>
    <t xml:space="preserve">qa-b24-full-review-20261026/issues-and-clarifications.json#/records/9/clarifications/5</t>
  </si>
  <si>
    <t xml:space="preserve">independent-qa.json#/documents/issues-and-clarifications.json/records/9/clarifications/5</t>
  </si>
  <si>
    <t xml:space="preserve">67fb8c1eb07730e61b57f37fc7cdf8b4e81bb766d18610feae68e8848a3f7882</t>
  </si>
  <si>
    <t xml:space="preserve">qa-b24-full-review-20261026/issues-and-clarifications.json#/records/9/other_body_component_version_questions/0</t>
  </si>
  <si>
    <t xml:space="preserve">independent-qa.json#/documents/issues-and-clarifications.json/records/9/other_body_component_version_questions/0</t>
  </si>
  <si>
    <t xml:space="preserve">"CIMB Bank Berhad remains source label, holder schedule-referred not directlybodyproved."</t>
  </si>
  <si>
    <t xml:space="preserve">qa-b24-full-review-20261026/issues-and-clarifications.json#/records/9/scope_caveats/0</t>
  </si>
  <si>
    <t xml:space="preserve">independent-qa.json#/documents/issues-and-clarifications.json/records/9/scope_caveats/0</t>
  </si>
  <si>
    <t xml:space="preserve">a069d75c8336e8d537c9d2bcc913d5b736592d4d9180d921eee9653f94783380</t>
  </si>
  <si>
    <t xml:space="preserve">"No personalcertificate/currentadoption/packagecomplete orbaseedition conclusion."</t>
  </si>
  <si>
    <t xml:space="preserve">qa-b24-full-review-20261026/issues-and-clarifications.json#/records/9/scope_caveats/1</t>
  </si>
  <si>
    <t xml:space="preserve">independent-qa.json#/documents/issues-and-clarifications.json/records/9/scope_caveats/1</t>
  </si>
  <si>
    <t xml:space="preserve">f1f9e43ab11405f7a1c03939a1cdc66b904af44ddf4503c080813fac8db71ea6</t>
  </si>
  <si>
    <t xml:space="preserve">011-surrender-effective-periods</t>
  </si>
  <si>
    <t xml:space="preserve">{"boundary":"Not cumulativefees or actualdoublecharge.","disposition":"needs_review","finding":"Undated plainminRM50/account andminRM50inclusiveGST0% whole replacements plusdated1April2015RM53inclusive6% do notestablishcompleteoperativeperiod sequence.","issue_id":"011-surrender-effective-periods","physical_pages":[12,13,14,15,16,17]}</t>
  </si>
  <si>
    <t xml:space="preserve">qa-b24-full-review-20261026/issues-and-clarifications.json#/records/10/issues/0</t>
  </si>
  <si>
    <t xml:space="preserve">independent-qa.json#/documents/issues-and-clarifications.json/records/10/issues/0</t>
  </si>
  <si>
    <t xml:space="preserve">1ea4a774fdf24e1d8390e10c94a7d300d2895ad5811127abe7d81e56e5a87cfc</t>
  </si>
  <si>
    <t xml:space="preserve">011-wakalah-exact-boundary</t>
  </si>
  <si>
    <t xml:space="preserve">{"boundary":"Textboundary not actualmischarge.","disposition":"needs_review","finding":"Englishabove35000025% versusMalay350000keatas25%, whilebothfirstbandsinclude35000028%; nofile languagepriority reconcilesexactboundary.","issue_id":"011-wakalah-exact-boundary","physical_pages":[39,59]}</t>
  </si>
  <si>
    <t xml:space="preserve">qa-b24-full-review-20261026/issues-and-clarifications.json#/records/10/issues/1</t>
  </si>
  <si>
    <t xml:space="preserve">independent-qa.json#/documents/issues-and-clarifications.json/records/10/issues/1</t>
  </si>
  <si>
    <t xml:space="preserve">88a927282b6623733e68319d53f42acaf7a11cdfcc6d128ca9261679189d5938</t>
  </si>
  <si>
    <t xml:space="preserve">011-reducing-sum-formula-month-boundary</t>
  </si>
  <si>
    <t xml:space="preserve">{"correction_basis":{"literal_formulas":{"common_repayment_interval":"t=12dp+1,12dp+2,…,12n","deferment":"RSC_t=ISC for t=0,1,…,12dp","definitions":"v=1/(1+p/12); n=dp+pp; t=duration in months measured from certificate commencement","positive_profit":"RSC_t=[(1−v^(12n−(t−1)))/(1−v^(12pp))]×ISC, p&gt;0","zero_profit":"RSC_t=[(12n−t)/(12pp)]×ISC, p=0"},"not_claimed":["No replacement formula or numerical correction is made.","No calculation-error, actual underpayment, actual refusal, or invalidity is asserted.","No personal certificate amount or entitlement is calculated."],"reason_material":"The two branches retain a one-period indexing difference at the same t, including the terminal boundary. Clarification could affect the intended reducing coverage amount; this is not a title/footer/numbering-only question.","requested_clarification":"Confirm whether monthly observation is beginning-of-month or end-of-month in each branch, how the terminal month is treated, and how the p=0 branch relates to the positive-rate formula.","supersedes_prior_qa_characterization":"Earlier faithful-retention/no-actuarial-repair language is retained as history but is not a resolution of the material interpretation question."},"disposition":"needs_review","finding":"Both language formula appendices use 12n−(t−1) in the positive-profit-rate exponent but 12n−t in the zero-profit-rate numerator, over the same stated monthly interval t=12dp+1,…,12n. The definition of t is months measured from certificate commencement, without an express branch-specific month-start/month-end convention. A material reducing-sum-covered interpretation question remains at the monthly/terminal and zero-rate boundaries; bilingual agreement does not resolve it.","issue_id":"011-reducing-sum-formula-month-boundary","materiality":"substantive_body_formula_interpretation","physical_pages":[40,60]}</t>
  </si>
  <si>
    <t xml:space="preserve">qa-b24-full-review-20261026/issues-and-clarifications.json#/records/10/issues/2</t>
  </si>
  <si>
    <t xml:space="preserve">independent-qa.json#/documents/issues-and-clarifications.json/records/10/issues/2</t>
  </si>
  <si>
    <t xml:space="preserve">3d0429cb7e8d67e24a9571564f835a116695674d10c7477a0e000e495842c327</t>
  </si>
  <si>
    <t xml:space="preserve">[1,5,12,17]</t>
  </si>
  <si>
    <t xml:space="preserve">{"finding":"Masterreference GBTI0714 confirmed contiguous; 2015Malay heading GBFT009 correct. ENFirst/Second/Fourth andMalayFirst/Second/Third labels carrysame principles includingmudharabah, no substantiveomission.","physical_pages":[1,5,12,17]}</t>
  </si>
  <si>
    <t xml:space="preserve">qa-b24-full-review-20261026/issues-and-clarifications.json#/records/10/clarifications/0</t>
  </si>
  <si>
    <t xml:space="preserve">independent-qa.json#/documents/issues-and-clarifications.json/records/10/clarifications/0</t>
  </si>
  <si>
    <t xml:space="preserve">298648e798d14b9ff983df3c6d4b6633805c5d98677966140266b45fe5a9190c</t>
  </si>
  <si>
    <t xml:space="preserve">{"finding":"Master002schedulelistedatprinted3 butnotpresent at2to4transitions;009financialand010formula actuallypresent. This doesnotestablishfullissuedpackage; scheduleabsencealone not strictveto.","physical_pages":[23,24,25,39,40,42,43,44,59,60]}</t>
  </si>
  <si>
    <t xml:space="preserve">qa-b24-full-review-20261026/issues-and-clarifications.json#/records/10/clarifications/1</t>
  </si>
  <si>
    <t xml:space="preserve">independent-qa.json#/documents/issues-and-clarifications.json/records/10/clarifications/1</t>
  </si>
  <si>
    <t xml:space="preserve">3a05707ad57d6447230e140b3b67dabb8a8538dbfb4b04c7d3687487dc6a9384</t>
  </si>
  <si>
    <t xml:space="preserve">{"finding":"Accountrefund forfirstyeardeathexclusions andpartialTPDnontermination agreeacrosslanguages; no008issueimport.","physical_pages":[34,35,37,54,55,57]}</t>
  </si>
  <si>
    <t xml:space="preserve">qa-b24-full-review-20261026/issues-and-clarifications.json#/records/10/clarifications/2</t>
  </si>
  <si>
    <t xml:space="preserve">independent-qa.json#/documents/issues-and-clarifications.json/records/10/clarifications/2</t>
  </si>
  <si>
    <t xml:space="preserve">6bf352915eccba63756d8bbec19f3ba3a8077e9e5a44017c953cda995d9c3de0</t>
  </si>
  <si>
    <t xml:space="preserve">{"finding":"Formula indexing positiveprofit12n−(t−1) versuszero12n−t preserved, bilingualsame; noactuarialcorrection.","physical_pages":[40,60]}</t>
  </si>
  <si>
    <t xml:space="preserve">qa-b24-full-review-20261026/issues-and-clarifications.json#/records/10/clarifications/3</t>
  </si>
  <si>
    <t xml:space="preserve">independent-qa.json#/documents/issues-and-clarifications.json/records/10/clarifications/3</t>
  </si>
  <si>
    <t xml:space="preserve">d1ca87ec0b4375a233100f97c2800471097c20c18ef23cdb4136630aff0ead2f</t>
  </si>
  <si>
    <t xml:space="preserve">{"finding":"2015/2019/2020expressamendments resolveoldnewscopes, not simultaneousobligations.","physical_pages":[1,2,3,4,5,6,7,8,9,10,11,18,19,20,21]}</t>
  </si>
  <si>
    <t xml:space="preserve">qa-b24-full-review-20261026/issues-and-clarifications.json#/records/10/clarifications/4</t>
  </si>
  <si>
    <t xml:space="preserve">independent-qa.json#/documents/issues-and-clarifications.json/records/10/clarifications/4</t>
  </si>
  <si>
    <t xml:space="preserve">d827388685f911cc0bc63213afe6878fddbe32bcb5bade1fe881b07ad83c6e35</t>
  </si>
  <si>
    <t xml:space="preserve">{"finding":"Clarification update: faithful preservation of both branch indices does not settle their common-t month-start/month-end, terminal-month or zero-rate relationship. The unresolved material question is explicitly carried as needs_review; no formula is repaired.","issue_id":"011-reducing-sum-formula-month-boundary","physical_pages":[40,60]}</t>
  </si>
  <si>
    <t xml:space="preserve">qa-b24-full-review-20261026/issues-and-clarifications.json#/records/10/clarifications/5</t>
  </si>
  <si>
    <t xml:space="preserve">independent-qa.json#/documents/issues-and-clarifications.json/records/10/clarifications/5</t>
  </si>
  <si>
    <t xml:space="preserve">b7ce51350ac01a013d436336937316a45a60ea4338a9b0414cc90148932d8a52</t>
  </si>
  <si>
    <t xml:space="preserve">qa-b24-full-review-20261026/issues-and-clarifications.json#/records/10/other_body_component_version_questions/0</t>
  </si>
  <si>
    <t xml:space="preserve">independent-qa.json#/documents/issues-and-clarifications.json/records/10/other_body_component_version_questions/0</t>
  </si>
  <si>
    <t xml:space="preserve">"SourceCIMBIslamicBankholder label notbodyproven; holderschedule-referred."</t>
  </si>
  <si>
    <t xml:space="preserve">qa-b24-full-review-20261026/issues-and-clarifications.json#/records/10/scope_caveats/0</t>
  </si>
  <si>
    <t xml:space="preserve">independent-qa.json#/documents/issues-and-clarifications.json/records/10/scope_caveats/0</t>
  </si>
  <si>
    <t xml:space="preserve">5bc8010f0a9d416b5cd5ac4d084c4ff124e4cd457cc24a42995ac91544b240cd</t>
  </si>
  <si>
    <t xml:space="preserve">"Baseedition,currentadoption,individualcertificateandpackagecompleteness remainunestablished."</t>
  </si>
  <si>
    <t xml:space="preserve">qa-b24-full-review-20261026/issues-and-clarifications.json#/records/10/scope_caveats/1</t>
  </si>
  <si>
    <t xml:space="preserve">independent-qa.json#/documents/issues-and-clarifications.json/records/10/scope_caveats/1</t>
  </si>
  <si>
    <t xml:space="preserve">ef984007d46317a058cd5046a0dc2f8741bf93b4e4e539d883ecd321c7324c93</t>
  </si>
  <si>
    <t xml:space="preserve">[33,51]</t>
  </si>
  <si>
    <t xml:space="preserve">{"correction_basis":{"literal_formulas":{"common_repayment_interval":"t=12dp+1,12dp+2,…,12n","deferment":"RSC_t=ISC for t=0,1,…,12dp","definitions":"v=1/(1+p/12); n=dp+pp; t=duration in months measured from certificate commencement","positive_profit":"RSC_t=[(1−v^(12n−(t−1)))/(1−v^(12pp))]×ISC, p&gt;0","zero_profit":"RSC_t=[(12n−t)/(12pp)]×ISC, p=0"},"not_claimed":["No replacement formula or numerical correction is made.","No calculation-error, actual underpayment, actual refusal, or invalidity is asserted.","No personal certificate amount or entitlement is calculated."],"reason_material":"The two branches retain a one-period indexing difference at the same t, including the terminal boundary. Clarification could affect the intended reducing coverage amount; this is not a title/footer/numbering-only question.","requested_clarification":"Confirm whether monthly observation is beginning-of-month or end-of-month in each branch, how the terminal month is treated, and how the p=0 branch relates to the positive-rate formula.","supersedes_prior_qa_characterization":"Earlier faithful-retention/no-actuarial-repair language is retained as history but is not a resolution of the material interpretation question."},"disposition":"needs_review","finding":"Both language formula appendices use 12n−(t−1) in the positive-profit-rate exponent but 12n−t in the zero-profit-rate numerator, over the same stated monthly interval t=12dp+1,…,12n. The definition of t is months measured from certificate commencement, without an express branch-specific month-start/month-end convention. A material reducing-sum-covered interpretation question remains at the monthly/terminal and zero-rate boundaries; bilingual agreement does not resolve it.","issue_id":"012-reducing-sum-formula-month-boundary","materiality":"substantive_body_formula_interpretation","physical_pages":[33,51]}</t>
  </si>
  <si>
    <t xml:space="preserve">qa-b24-full-review-20261026/issues-and-clarifications.json#/records/11/issues/0</t>
  </si>
  <si>
    <t xml:space="preserve">independent-qa.json#/documents/issues-and-clarifications.json/records/11/issues/0</t>
  </si>
  <si>
    <t xml:space="preserve">e9c049e0e889d3291f1b5d17a2b563e45ab8007847fc20eb906cf0e7b701dac5</t>
  </si>
  <si>
    <t xml:space="preserve">[2,6,7,24,25,41,43]</t>
  </si>
  <si>
    <t xml:space="preserve">{"finding":"Malay2020heading literallyGTFT003general above accountreplacement; exactaccounttitle/clause1,continuationfundclause2,English004counterpart andactualbase004fund identifytarget contextually. Recordliteralcode, do notsilentlyrewrite orclaiminvalidity.","physical_pages":[2,6,7,24,25,41,43]}</t>
  </si>
  <si>
    <t xml:space="preserve">qa-b24-full-review-20261026/issues-and-clarifications.json#/records/11/clarifications/0</t>
  </si>
  <si>
    <t xml:space="preserve">independent-qa.json#/documents/issues-and-clarifications.json/records/11/clarifications/0</t>
  </si>
  <si>
    <t xml:space="preserve">1a4f26d3c05ce0ca660b6134839072427dd33ddf05b5f8a2b846730ebae8122d</t>
  </si>
  <si>
    <t xml:space="preserve">[18,19,32,33,35,36,50,51]</t>
  </si>
  <si>
    <t xml:space="preserve">{"finding":"Footertransitions2to4,EN17of18to19of19,Malay18of19to20of20 retained. Actual009financialand010formula presentbothlanguages; no substantivemissingfinancialcomponent inferredfrompagination.","physical_pages":[18,19,32,33,35,36,50,51]}</t>
  </si>
  <si>
    <t xml:space="preserve">qa-b24-full-review-20261026/issues-and-clarifications.json#/records/11/clarifications/1</t>
  </si>
  <si>
    <t xml:space="preserve">independent-qa.json#/documents/issues-and-clarifications.json/records/11/clarifications/1</t>
  </si>
  <si>
    <t xml:space="preserve">c3e5fdf35b5565775442861a10ed29c07a77e40fac83f9705e1ef9667e0a8ad0</t>
  </si>
  <si>
    <t xml:space="preserve">[9,11,22,24,40,41]</t>
  </si>
  <si>
    <t xml:space="preserve">{"finding":"2019explicitlydeletes13.3oldRM2surrendercharityand replaces18.3; oldtextnot simultaneouscurrentobligation.","physical_pages":[9,11,22,24,40,41]}</t>
  </si>
  <si>
    <t xml:space="preserve">qa-b24-full-review-20261026/issues-and-clarifications.json#/records/11/clarifications/2</t>
  </si>
  <si>
    <t xml:space="preserve">independent-qa.json#/documents/issues-and-clarifications.json/records/11/clarifications/2</t>
  </si>
  <si>
    <t xml:space="preserve">43c69035056675c7f2d1db7c4096aa574a85c3919477c3fed0ed8aa173175e4c</t>
  </si>
  <si>
    <t xml:space="preserve">[27,28,30,45,46,48]</t>
  </si>
  <si>
    <t xml:space="preserve">{"finding":"Accountdeathrefund andpartialTPDnontermination consistentbilingually;RM2million65cutoff,sixmonths verified.","physical_pages":[27,28,30,45,46,48]}</t>
  </si>
  <si>
    <t xml:space="preserve">qa-b24-full-review-20261026/issues-and-clarifications.json#/records/11/clarifications/3</t>
  </si>
  <si>
    <t xml:space="preserve">independent-qa.json#/documents/issues-and-clarifications.json/records/11/clarifications/3</t>
  </si>
  <si>
    <t xml:space="preserve">408fd31801ea238a63433dde56b59d162cab27f412b2c6215895d233f8be8979</t>
  </si>
  <si>
    <t xml:space="preserve">[32,33,50,51]</t>
  </si>
  <si>
    <t xml:space="preserve">{"finding":"NoRM350000 fee boundary andnoundatedsurrenderreplacement inthisfile; certificate-referredwakalah notmissingfinancialappendix. Formula branchindices preservedwithoutactuarialrepair.","physical_pages":[32,33,50,51]}</t>
  </si>
  <si>
    <t xml:space="preserve">qa-b24-full-review-20261026/issues-and-clarifications.json#/records/11/clarifications/4</t>
  </si>
  <si>
    <t xml:space="preserve">independent-qa.json#/documents/issues-and-clarifications.json/records/11/clarifications/4</t>
  </si>
  <si>
    <t xml:space="preserve">8ca7dbf3042a28af16c34cc747bcb84b10cca3db4610436d24db6ed62833492b</t>
  </si>
  <si>
    <t xml:space="preserve">{"finding":"Clarification update: faithful preservation of both branch indices does not settle their common-t month-start/month-end, terminal-month or zero-rate relationship. The unresolved material question is explicitly carried as needs_review; no formula is repaired.","issue_id":"012-reducing-sum-formula-month-boundary","physical_pages":[33,51]}</t>
  </si>
  <si>
    <t xml:space="preserve">qa-b24-full-review-20261026/issues-and-clarifications.json#/records/11/clarifications/5</t>
  </si>
  <si>
    <t xml:space="preserve">independent-qa.json#/documents/issues-and-clarifications.json/records/11/clarifications/5</t>
  </si>
  <si>
    <t xml:space="preserve">8f760beac5bcce5eeff90a2a4ce2110267d70d9a5a60011063627b7d3a10338b</t>
  </si>
  <si>
    <t xml:space="preserve">qa-b24-full-review-20261026/issues-and-clarifications.json#/records/11/other_body_component_version_questions/0</t>
  </si>
  <si>
    <t xml:space="preserve">independent-qa.json#/documents/issues-and-clarifications.json/records/11/other_body_component_version_questions/0</t>
  </si>
  <si>
    <t xml:space="preserve">"Prior2015sourceclassification notindependentlybodyproved; endorsementdates are notbaseedition/currentadoption."</t>
  </si>
  <si>
    <t xml:space="preserve">qa-b24-full-review-20261026/issues-and-clarifications.json#/records/11/scope_caveats/0</t>
  </si>
  <si>
    <t xml:space="preserve">independent-qa.json#/documents/issues-and-clarifications.json/records/11/scope_caveats/0</t>
  </si>
  <si>
    <t xml:space="preserve">82681fbe61e76527c5d2162d8c76033077486b4ca348852a9a03753f798de44c</t>
  </si>
  <si>
    <t xml:space="preserve">"No masterholder orindividualcertificate/scheduleterms proven; personalwakalahrate/amounts/dates unestablished, notissuedpackagecertification."</t>
  </si>
  <si>
    <t xml:space="preserve">qa-b24-full-review-20261026/issues-and-clarifications.json#/records/11/scope_caveats/1</t>
  </si>
  <si>
    <t xml:space="preserve">independent-qa.json#/documents/issues-and-clarifications.json/records/11/scope_caveats/1</t>
  </si>
  <si>
    <t xml:space="preserve">c8f8b7f0cb27152bf48f07d297e9d99d72b27fcd7d223a14e41bdde42c0e8451</t>
  </si>
  <si>
    <t xml:space="preserve">{"004_005_comparison_scope":"This reviewer did not independently read004/005. No contrary conclusion for them is asserted here.","basis":{"literal_formulas":{"common_repayment_interval":"t=12dp+1,12dp+2,…,12n","deferment":"RSC_t=ISC for t=0,1,…,12dp","definitions":"v=1/(1+p/12); n=dp+pp; t=duration in months measured from certificate commencement","positive_profit":"RSC_t=[(1−v^(12n−(t−1)))/(1−v^(12pp))]×ISC, p&gt;0","zero_profit":"RSC_t=[(12n−t)/(12pp)]×ISC, p=0"},"not_claimed":["No replacement formula or numerical correction is made.","No calculation-error, actual underpayment, actual refusal, or invalidity is asserted.","No personal certificate amount or entitlement is calculated."],"reason_material":"The two branches retain a one-period indexing difference at the same t, including the terminal boundary. Clarification could affect the intended reducing coverage amount; this is not a title/footer/numbering-only question.","requested_clarification":"Confirm whether monthly observation is beginning-of-month or end-of-month in each branch, how the terminal month is treated, and how the p=0 branch relates to the positive-rate formula.","supersedes_prior_qa_characterization":"Earlier faithful-retention/no-actuarial-repair language is retained as history but is not a resolution of the material interpretation question."},"distinction_from_009_011":"No undated surrender replacements or RM350000 band issue were imported into012. Only the independently observed formula-boundary question is shared.","distinction_from_pagination":"Actual financial009 and formula010 annexures are present in both languages. Footer jumps and missing personal particulars are not the basis of this downgrade.","final_qa_status":"needs_review","full_review_unchanged":true,"physical_pages":[33,51],"prior_execution_and_preliminary_qa_status":"verified"}</t>
  </si>
  <si>
    <t xml:space="preserve">qa-b24-full-review-20261026/issues-and-clarifications.json#/records/11/correction_basis</t>
  </si>
  <si>
    <t xml:space="preserve">independent-qa.json#/documents/issues-and-clarifications.json/records/11/correction_basis</t>
  </si>
  <si>
    <t xml:space="preserve">76b5c181de617614dca5c9dec66fd82ae1da3e9adb1ea641c43e5bd3134d09cf</t>
  </si>
  <si>
    <t xml:space="preserve">被取代的QA状态历史</t>
  </si>
  <si>
    <t xml:space="preserve">{"prior_qa_assessment":{"strict_basis":"Independent51-page semanticreview with bilingualfinancial/formula/endorsementchecks found no unresolvedsubstantivebody conflict ormissingoperativeannexure; file-onlyverified.","strict_delta_qa_accepted":1,"strict_eligible":true,"verification_status":"verified"},"revision_basis":"012-reducing-sum-formula-month-boundary","revision_note":"Independent formula consistency/high-resolution recheck withdraws preliminary strict acceptance. Prior execution verified proposal is not a required QA outcome. All 51 physical-page full-review credit remains accepted.","superseded":true}</t>
  </si>
  <si>
    <t xml:space="preserve">qa-b24-full-review-20261026/accepted-rows.json#/11/qa_status_revision_history/0</t>
  </si>
  <si>
    <t xml:space="preserve">independent-qa.json#/documents/accepted-rows.json/11/qa_status_revision_history/0</t>
  </si>
  <si>
    <t xml:space="preserve">1d79a45ec3d6d1ecc4fa3e25ba071a2fa826c76f96944ec6d60754984ce75857</t>
  </si>
  <si>
    <t xml:space="preserve">013-corrective-surgery-age</t>
  </si>
  <si>
    <t xml:space="preserve">[43,71]</t>
  </si>
  <si>
    <t xml:space="preserve">{"effect_boundary":"Bilingual rider-scope question, not actual insured eligibility, rejection or invalidity.","finding":"BM PA0121.3(b) adds accident after attaining age18 inclusive; EN counterpart conditions contain no age qualification. No in-file amendment/language priority reconciles it.","issue_id":"013-corrective-surgery-age","physical_pages":[43,71]}</t>
  </si>
  <si>
    <t xml:space="preserve">qa-b24-full-review-20261026/issues-and-clarifications.json#/records/12/issues/0</t>
  </si>
  <si>
    <t xml:space="preserve">independent-qa.json#/documents/issues-and-clarifications.json/records/12/issues/0</t>
  </si>
  <si>
    <t xml:space="preserve">f51749532518687fca0e7eb02faa3eaa414f3ef87a306501d1a1c311c5a74b51</t>
  </si>
  <si>
    <t xml:space="preserve">013-ATM-modifier-attachment</t>
  </si>
  <si>
    <t xml:space="preserve">[42,70]</t>
  </si>
  <si>
    <t xml:space="preserve">{"effect_boundary":"No definite geographic denial or actual claim outcome inferred.","finding":"EN thirty-minute branch includes at the ATM itself, whose attachment to withdrawal versus robbery is ambiguous; BM specifies withdrawal from that ATM without repeating the phrase. Both retain OR1km alternative. Preserve narrow attachment ambiguity rather than assert definite robbery-at-ATM restriction.","issue_id":"013-ATM-modifier-attachment","physical_pages":[42,70]}</t>
  </si>
  <si>
    <t xml:space="preserve">qa-b24-full-review-20261026/issues-and-clarifications.json#/records/12/issues/1</t>
  </si>
  <si>
    <t xml:space="preserve">independent-qa.json#/documents/issues-and-clarifications.json/records/12/issues/1</t>
  </si>
  <si>
    <t xml:space="preserve">07f52fdba7bdd7127983e7a94e6e0985c3983f35a7691fcd054f8afd6ecf5af3</t>
  </si>
  <si>
    <t xml:space="preserve">[1,2,3,4,31,32,58]</t>
  </si>
  <si>
    <t xml:space="preserve">{"correction_basis":"2019 expressly replaces old fund/surplus and &lt;=RM10 recycling.55%/40% wakalah is percentage of contribution,50% is surplus; no double deduction established.","physical_pages":[1,2,3,4,31,32,58],"status":"confirmed"}</t>
  </si>
  <si>
    <t xml:space="preserve">qa-b24-full-review-20261026/issues-and-clarifications.json#/records/12/clarifications/0</t>
  </si>
  <si>
    <t xml:space="preserve">independent-qa.json#/documents/issues-and-clarifications.json/records/12/clarifications/0</t>
  </si>
  <si>
    <t xml:space="preserve">7e7bdae662b60cbf91520784350b5ae24faa0df590661c227aba7daf3dfcc93c</t>
  </si>
  <si>
    <t xml:space="preserve">[5,8,9,10,11,14,15,16,35,63]</t>
  </si>
  <si>
    <t xml:space="preserve">{"correction_basis":"2018 notwithstanding supplies infectious benefits over old disease exclusions; partial-TPD proportional residual death protection qualifies generic termination.","physical_pages":[5,8,9,10,11,14,15,16,35,63],"status":"confirmed"}</t>
  </si>
  <si>
    <t xml:space="preserve">qa-b24-full-review-20261026/issues-and-clarifications.json#/records/12/clarifications/1</t>
  </si>
  <si>
    <t xml:space="preserve">independent-qa.json#/documents/issues-and-clarifications.json/records/12/clarifications/1</t>
  </si>
  <si>
    <t xml:space="preserve">ae8999e56b36a3d6273a44f5035f8b3c6bf2e744eed0c798cc904623e9af26cd</t>
  </si>
  <si>
    <t xml:space="preserve">[17,18,21,45,47,73]</t>
  </si>
  <si>
    <t xml:space="preserve">{"correction_basis":"OFS heading PA013 is a numbering anomaly, but important-notice/FMB functional target is present as PA014 in both bases; not missing or competing benefit replacement.","physical_pages":[17,18,21,45,47,73],"status":"confirmed"}</t>
  </si>
  <si>
    <t xml:space="preserve">qa-b24-full-review-20261026/issues-and-clarifications.json#/records/12/clarifications/2</t>
  </si>
  <si>
    <t xml:space="preserve">independent-qa.json#/documents/issues-and-clarifications.json/records/12/clarifications/2</t>
  </si>
  <si>
    <t xml:space="preserve">9d54232bae7e2b3bc806414e6877901bc9705e55773eb4c026b6e40b8f8258d0</t>
  </si>
  <si>
    <t xml:space="preserve">[39,43,44,67,71,72]</t>
  </si>
  <si>
    <t xml:space="preserve">{"correction_basis":"Extra BM surgery/joyous NCD paragraphs repeat general PA008 any-approved-claim reset; English riders are not exempt.","physical_pages":[39,43,44,67,71,72],"status":"confirmed"}</t>
  </si>
  <si>
    <t xml:space="preserve">qa-b24-full-review-20261026/issues-and-clarifications.json#/records/12/clarifications/3</t>
  </si>
  <si>
    <t xml:space="preserve">independent-qa.json#/documents/issues-and-clarifications.json/records/12/clarifications/3</t>
  </si>
  <si>
    <t xml:space="preserve">c4487df78c06824d2385e39cac936bbcca5f285d8e65a3ade6f17006c2f4966c</t>
  </si>
  <si>
    <t xml:space="preserve">[40,43,68,71]</t>
  </si>
  <si>
    <t xml:space="preserve">{"correction_basis":"Both reimburse balance beyond third-party reimbursement, not reversed deduction.","physical_pages":[40,43,68,71],"status":"confirmed"}</t>
  </si>
  <si>
    <t xml:space="preserve">qa-b24-full-review-20261026/issues-and-clarifications.json#/records/12/clarifications/4</t>
  </si>
  <si>
    <t xml:space="preserve">independent-qa.json#/documents/issues-and-clarifications.json/records/12/clarifications/4</t>
  </si>
  <si>
    <t xml:space="preserve">8277b06d855c5b5c5e78917a09d78846aa3b011a6b9897e4b1496e983c5a18b3</t>
  </si>
  <si>
    <t xml:space="preserve">[8,14]</t>
  </si>
  <si>
    <t xml:space="preserve">{"correction_basis":"Both legal-proceedings provisions say before expiry of2years; do not rewrite as after-event limitation bar or opine enforceability.","physical_pages":[8,14],"status":"confirmed"}</t>
  </si>
  <si>
    <t xml:space="preserve">qa-b24-full-review-20261026/issues-and-clarifications.json#/records/12/clarifications/5</t>
  </si>
  <si>
    <t xml:space="preserve">independent-qa.json#/documents/issues-and-clarifications.json/records/12/clarifications/5</t>
  </si>
  <si>
    <t xml:space="preserve">a62fcb7ac7ef920e21a74c597ebd9772b99387a11439e5f32e379c9c3371252e</t>
  </si>
  <si>
    <t xml:space="preserve">{"correction_basis":"No definitive English robbery-location requirement established: at the ATM itself may modify withdrawal. Both OR/atau and1km branch are expressly visible. The initial geographic overstatement must remain withdrawn while narrow attachment remains open.","physical_pages":[42,70],"status":"initial_overstatement_withdrawn_narrow_question_retained"}</t>
  </si>
  <si>
    <t xml:space="preserve">qa-b24-full-review-20261026/issues-and-clarifications.json#/records/12/clarifications/6</t>
  </si>
  <si>
    <t xml:space="preserve">independent-qa.json#/documents/issues-and-clarifications.json/records/12/clarifications/6</t>
  </si>
  <si>
    <t xml:space="preserve">f52053d546cec969e57bd5a147be99834ba2f337a4efeb39ac87c0893b6e2605</t>
  </si>
  <si>
    <t xml:space="preserve">[27,28,54]</t>
  </si>
  <si>
    <t xml:space="preserve">{"correction_basis":"Whole BM pergelangan tangan atau kaki uses shared joint term for wrist/ankle, not a confirmed wrist-versus-foot boundary difference. Do not isolate kaki to allege changed anatomy.","physical_pages":[27,28,54],"status":"anatomical_false_positive_not_sustained"}</t>
  </si>
  <si>
    <t xml:space="preserve">qa-b24-full-review-20261026/issues-and-clarifications.json#/records/12/clarifications/7</t>
  </si>
  <si>
    <t xml:space="preserve">independent-qa.json#/documents/issues-and-clarifications.json/records/12/clarifications/7</t>
  </si>
  <si>
    <t xml:space="preserve">ff3ff8f67fdaf717ce57a52796239b533d528ae5325298e61bf4d6f9f7c8134f</t>
  </si>
  <si>
    <t xml:space="preserve">"BM6.1(a) specifically names principal person; BM effective-date definition covers person covered. Preserve wording detail without inferring missing nonprincipal coverage or adding a veto."</t>
  </si>
  <si>
    <t xml:space="preserve">qa-b24-full-review-20261026/issues-and-clarifications.json#/records/12/other_body_component_version_questions/0</t>
  </si>
  <si>
    <t xml:space="preserve">independent-qa.json#/documents/issues-and-clarifications.json/records/12/other_body_component_version_questions/0</t>
  </si>
  <si>
    <t xml:space="preserve">49703675e0b379e117c998c9e3a35d6f2b95ce15ee4763bced681b262356ce0c</t>
  </si>
  <si>
    <t xml:space="preserve">"Bathing ADL uses room wording plus other means; not independently adjudicated as changed eligibility."</t>
  </si>
  <si>
    <t xml:space="preserve">qa-b24-full-review-20261026/issues-and-clarifications.json#/records/12/other_body_component_version_questions/1</t>
  </si>
  <si>
    <t xml:space="preserve">independent-qa.json#/documents/issues-and-clarifications.json/records/12/other_body_component_version_questions/1</t>
  </si>
  <si>
    <t xml:space="preserve">4fbc437b5913abcb2b2f0d84cfa3aa07f140e8820f4edc4ac3c50f982fe3d737</t>
  </si>
  <si>
    <t xml:space="preserve">"All listed base annexures, benefit tables and generic wakalah tables present. Personal eligibility/selectedriders/issuedschedule not established and alone not strict veto."</t>
  </si>
  <si>
    <t xml:space="preserve">qa-b24-full-review-20261026/issues-and-clarifications.json#/records/12/other_body_component_version_questions/2</t>
  </si>
  <si>
    <t xml:space="preserve">independent-qa.json#/documents/issues-and-clarifications.json/records/12/other_body_component_version_questions/2</t>
  </si>
  <si>
    <t xml:space="preserve">809dc6e111d095aecd52c651dad4a9d81e1f42c1e7dc4d5db70998e855d171f9</t>
  </si>
  <si>
    <t xml:space="preserve">"Master codes identify two named references within one exact file; no split into independent products or new primaries."</t>
  </si>
  <si>
    <t xml:space="preserve">qa-b24-full-review-20261026/issues-and-clarifications.json#/records/12/other_body_component_version_questions/3</t>
  </si>
  <si>
    <t xml:space="preserve">independent-qa.json#/documents/issues-and-clarifications.json/records/12/other_body_component_version_questions/3</t>
  </si>
  <si>
    <t xml:space="preserve">b168f88096b39d225865f3bfec306eac73d1411f7fd0cb42d0138d1652c240e9</t>
  </si>
  <si>
    <t xml:space="preserve">"OFS endorsement undated; latest file endorsement dates do not prove current contact, sale, adoption, issued package or base edition."</t>
  </si>
  <si>
    <t xml:space="preserve">qa-b24-full-review-20261026/issues-and-clarifications.json#/records/12/other_body_component_version_questions/4</t>
  </si>
  <si>
    <t xml:space="preserve">independent-qa.json#/documents/issues-and-clarifications.json/records/12/other_body_component_version_questions/4</t>
  </si>
  <si>
    <t xml:space="preserve">6a6d43ff176dbef6bff16a434da7f867361c30b55814351c4ce2906bf5a6b3f3</t>
  </si>
  <si>
    <t xml:space="preserve">"2019 expressly replaces old fund/surplus and &lt;=RM10 recycling.55%/40% wakalah is percentage of contribution,50% is surplus; no double deduction established."</t>
  </si>
  <si>
    <t xml:space="preserve">qa-b24-full-review-20261026/issues-and-clarifications.json#/records/12/correction_basis/0</t>
  </si>
  <si>
    <t xml:space="preserve">independent-qa.json#/documents/issues-and-clarifications.json/records/12/correction_basis/0</t>
  </si>
  <si>
    <t xml:space="preserve">e77a2320ee55948efbcd5c996805f782859c9759268d4b43513d84d1edd45760</t>
  </si>
  <si>
    <t xml:space="preserve">"2018 notwithstanding supplies infectious benefits over old disease exclusions; partial-TPD proportional residual death protection qualifies generic termination."</t>
  </si>
  <si>
    <t xml:space="preserve">qa-b24-full-review-20261026/issues-and-clarifications.json#/records/12/correction_basis/1</t>
  </si>
  <si>
    <t xml:space="preserve">independent-qa.json#/documents/issues-and-clarifications.json/records/12/correction_basis/1</t>
  </si>
  <si>
    <t xml:space="preserve">ebb3f85f134eb51bcb0db8fe6173e35b6776f8b577f0b083513de498de08f72f</t>
  </si>
  <si>
    <t xml:space="preserve">"OFS heading PA013 is a numbering anomaly, but important-notice/FMB functional target is present as PA014 in both bases; not missing or competing benefit replacement."</t>
  </si>
  <si>
    <t xml:space="preserve">qa-b24-full-review-20261026/issues-and-clarifications.json#/records/12/correction_basis/2</t>
  </si>
  <si>
    <t xml:space="preserve">independent-qa.json#/documents/issues-and-clarifications.json/records/12/correction_basis/2</t>
  </si>
  <si>
    <t xml:space="preserve">991d9ff359cfafcd20564ff4ff9c59ea89fd52527f80308ef8bf22f0e025a7c1</t>
  </si>
  <si>
    <t xml:space="preserve">"Extra BM surgery/joyous NCD paragraphs repeat general PA008 any-approved-claim reset; English riders are not exempt."</t>
  </si>
  <si>
    <t xml:space="preserve">qa-b24-full-review-20261026/issues-and-clarifications.json#/records/12/correction_basis/3</t>
  </si>
  <si>
    <t xml:space="preserve">independent-qa.json#/documents/issues-and-clarifications.json/records/12/correction_basis/3</t>
  </si>
  <si>
    <t xml:space="preserve">b749acda99d45544d8efe6ea9b407266f7956fbe02b22a60ea2a94907548c018</t>
  </si>
  <si>
    <t xml:space="preserve">"Both reimburse balance beyond third-party reimbursement, not reversed deduction."</t>
  </si>
  <si>
    <t xml:space="preserve">qa-b24-full-review-20261026/issues-and-clarifications.json#/records/12/correction_basis/4</t>
  </si>
  <si>
    <t xml:space="preserve">independent-qa.json#/documents/issues-and-clarifications.json/records/12/correction_basis/4</t>
  </si>
  <si>
    <t xml:space="preserve">53e43f4037bfbff48e88e94bdc0cf97e4185b729d15e0d642fd59fa02d89606a</t>
  </si>
  <si>
    <t xml:space="preserve">"Both legal-proceedings provisions say before expiry of2years; do not rewrite as after-event limitation bar or opine enforceability."</t>
  </si>
  <si>
    <t xml:space="preserve">qa-b24-full-review-20261026/issues-and-clarifications.json#/records/12/correction_basis/5</t>
  </si>
  <si>
    <t xml:space="preserve">independent-qa.json#/documents/issues-and-clarifications.json/records/12/correction_basis/5</t>
  </si>
  <si>
    <t xml:space="preserve">df04d633f90ce8ad08bdd68d55738be7c33d88d2a842cf718a5488fa7284ad49</t>
  </si>
  <si>
    <t xml:space="preserve">"No definitive English robbery-location requirement established: at the ATM itself may modify withdrawal. Both OR/atau and1km branch are expressly visible. The initial geographic overstatement must remain withdrawn while narrow attachment remains open."</t>
  </si>
  <si>
    <t xml:space="preserve">qa-b24-full-review-20261026/issues-and-clarifications.json#/records/12/correction_basis/6</t>
  </si>
  <si>
    <t xml:space="preserve">independent-qa.json#/documents/issues-and-clarifications.json/records/12/correction_basis/6</t>
  </si>
  <si>
    <t xml:space="preserve">d39693deb3be889f36364e0e4002843561dd392245aea633ced8fa3c35eed809</t>
  </si>
  <si>
    <t xml:space="preserve">"Whole BM pergelangan tangan atau kaki uses shared joint term for wrist/ankle, not a confirmed wrist-versus-foot boundary difference. Do not isolate kaki to allege changed anatomy."</t>
  </si>
  <si>
    <t xml:space="preserve">qa-b24-full-review-20261026/issues-and-clarifications.json#/records/12/correction_basis/7</t>
  </si>
  <si>
    <t xml:space="preserve">independent-qa.json#/documents/issues-and-clarifications.json/records/12/correction_basis/7</t>
  </si>
  <si>
    <t xml:space="preserve">031165487db48f74ad6697ea2d6afa0dd39f3ae34c4537836fca0eed9f67ce06</t>
  </si>
  <si>
    <t xml:space="preserve">qa-b24-full-review-20261026/accepted-rows.json#/12/version_boundary</t>
  </si>
  <si>
    <t xml:space="preserve">independent-qa.json#/documents/accepted-rows.json/12/version_boundary</t>
  </si>
  <si>
    <t xml:space="preserve">{"correction_basis":{"method":"Own present-file semantic visual review, with targeted high-resolution rechecks","page_proof":"independent-qa.json#/documents/page-review-proof.json/by_task/B24-MY-014","physical_pages":[1,2,3,4,34,35,61]},"original_clarification":{"item":"2019whole16/17and15.1control.16.4explicitqardrepaymentprecedes50/50;17.1less-qard wording not evidence of actual double deduction. OldRM10fundreturn superseded bybank/charity.","pages":[1,2,3,4,34,35,61]},"qa_disposition":"independently_confirmed_after_full_visual_review"}</t>
  </si>
  <si>
    <t xml:space="preserve">qa-b24-full-review-20261026/issues-and-clarifications.json#/records/13/independent_clarification_dispositions/0</t>
  </si>
  <si>
    <t xml:space="preserve">independent-qa.json#/documents/issues-and-clarifications.json/records/13/independent_clarification_dispositions/0</t>
  </si>
  <si>
    <t xml:space="preserve">5e56a1c7f08f2f2469f82a69d0275602921399a318894c103a316c341a16e5f9</t>
  </si>
  <si>
    <t xml:space="preserve">{"correction_basis":{"method":"Own present-file semantic visual review, with targeted high-resolution rechecks","page_proof":"independent-qa.json#/documents/page-review-proof.json/by_task/B24-MY-014","physical_pages":[5,9,11,16,38,65,66]},"original_clarification":{"item":"2018specificdisease extension notwithstanding base excludes overrides infections; smallerTPDspecificdeathcontinuation controlsgeneraltermination.","pages":[5,9,11,16,38,65,66]},"qa_disposition":"independently_confirmed_after_full_visual_review"}</t>
  </si>
  <si>
    <t xml:space="preserve">qa-b24-full-review-20261026/issues-and-clarifications.json#/records/13/independent_clarification_dispositions/1</t>
  </si>
  <si>
    <t xml:space="preserve">independent-qa.json#/documents/issues-and-clarifications.json/records/13/independent_clarification_dispositions/1</t>
  </si>
  <si>
    <t xml:space="preserve">d37e63afdc537b0c7fa61874540c8d99be1235eac75c0b98f99f57f80d32b39d</t>
  </si>
  <si>
    <t xml:space="preserve">{"correction_basis":{"method":"Own present-file semantic visual review, with targeted high-resolution rechecks","page_proof":"independent-qa.json#/documents/page-review-proof.json/by_task/B24-MY-014","physical_pages":[17,18,24,48,50,76]},"original_clarification":{"item":"OFSamendment headingPA013vsactualnoticePA014 confirmed,but operativeexactFMBreplacement andnonoperativeheadingsruleidentify notice;not deletion ofPA013joyousbenefit.","pages":[17,18,24,48,50,76]},"qa_disposition":"independently_confirmed_after_full_visual_review"}</t>
  </si>
  <si>
    <t xml:space="preserve">qa-b24-full-review-20261026/issues-and-clarifications.json#/records/13/independent_clarification_dispositions/2</t>
  </si>
  <si>
    <t xml:space="preserve">independent-qa.json#/documents/issues-and-clarifications.json/records/13/independent_clarification_dispositions/2</t>
  </si>
  <si>
    <t xml:space="preserve">3d2ff4685e239a87bdc6109819fb39e78af5ac4aef7a47716fdeff7b3a4c9c3a</t>
  </si>
  <si>
    <t xml:space="preserve">{"correction_basis":{"method":"Own present-file semantic visual review, with targeted high-resolution rechecks","page_proof":"independent-qa.json#/documents/page-review-proof.json/by_task/B24-MY-014","physical_pages":[19,20,21,22,31,33,58,60]},"original_clarification":{"item":"2015wholecontractfoundationreplacement anddelete10.3applied;Englishdate2015-01-01versusMalaygenericendorsementeffective-date notalone substantiveconflict.","pages":[19,20,21,22,31,33,58,60]},"qa_disposition":"independently_confirmed_after_full_visual_review"}</t>
  </si>
  <si>
    <t xml:space="preserve">qa-b24-full-review-20261026/issues-and-clarifications.json#/records/13/independent_clarification_dispositions/3</t>
  </si>
  <si>
    <t xml:space="preserve">independent-qa.json#/documents/issues-and-clarifications.json/records/13/independent_clarification_dispositions/3</t>
  </si>
  <si>
    <t xml:space="preserve">c59f5a774b0aed82d9580d07e8978dc644605798fb9cedd88ec4bf19f3e20107</t>
  </si>
  <si>
    <t xml:space="preserve">{"correction_basis":{"method":"Own present-file semantic visual review, with targeted high-resolution rechecks","page_proof":"independent-qa.json#/documents/page-review-proof.json/by_task/B24-MY-014","physical_pages":[42,46,47,70,74,75]},"original_clarification":{"item":"NCDspecificfirstentitlementsecondanniversary inboth languages controlsgenericone-year description. Malay repeatedNCDparagraphs inPA012/013notinEnglish arealreadycoveredbyEnglishgeneralPA008allclaims;notautomaticdifference.","pages":[42,46,47,70,74,75]},"qa_disposition":"independently_confirmed_after_full_visual_review"}</t>
  </si>
  <si>
    <t xml:space="preserve">qa-b24-full-review-20261026/issues-and-clarifications.json#/records/13/independent_clarification_dispositions/4</t>
  </si>
  <si>
    <t xml:space="preserve">independent-qa.json#/documents/issues-and-clarifications.json/records/13/independent_clarification_dispositions/4</t>
  </si>
  <si>
    <t xml:space="preserve">7a631f1980bc66d18d337072c34388615c3a4f298340edb6b579e1a689c88f9e</t>
  </si>
  <si>
    <t xml:space="preserve">{"correction_basis":{"method":"Own present-file semantic visual review, with targeted high-resolution rechecks","page_proof":"independent-qa.json#/documents/page-review-proof.json/by_task/B24-MY-014","physical_pages":[23,24,48,49,50,76]},"original_clarification":{"item":"ActualcoversbothLadies+ andcompleteconsecutiveEnglish1–25/Malay1–27;filenameomitsplusnotnewproduct,norpagenumberdifferenceproofmissingbody.","pages":[23,24,48,49,50,76]},"qa_disposition":"independently_confirmed_after_full_visual_review"}</t>
  </si>
  <si>
    <t xml:space="preserve">qa-b24-full-review-20261026/issues-and-clarifications.json#/records/13/independent_clarification_dispositions/5</t>
  </si>
  <si>
    <t xml:space="preserve">independent-qa.json#/documents/issues-and-clarifications.json/records/13/independent_clarification_dispositions/5</t>
  </si>
  <si>
    <t xml:space="preserve">057fcdd11c00cd4bf627bd285e83629edc5068bfb4bb59109f97fbed08477ca6</t>
  </si>
  <si>
    <t xml:space="preserve">[45,73]</t>
  </si>
  <si>
    <t xml:space="preserve">{"correction_basis":"Both contain OR1km. EN at-the-ATM-itself may attach to incident or withdrawal; BM from-that-ATM attaches withdrawal. Scope is syntactic reconciliation, not a proven extra exclusion.","disposition":"overbroad_reading_withdrawn_narrow_modifier_question_retained","evidence":"independent-qa.json#/documents/page-review-proof.json/by_task/B24-MY-014","physical_pages":[45,73],"prior_candidate":"ATM incident must necessarily occur at ATM rather than nearby"}</t>
  </si>
  <si>
    <t xml:space="preserve">qa-b24-full-review-20261026/issues-and-clarifications.json#/records/13/independent_corrections_and_dispositions/0</t>
  </si>
  <si>
    <t xml:space="preserve">independent-qa.json#/documents/issues-and-clarifications.json/records/13/independent_corrections_and_dispositions/0</t>
  </si>
  <si>
    <t xml:space="preserve">d631a65ac0350e0b4587258cc75f19112c6828633df1e38fdb10e60f2cba13e1</t>
  </si>
  <si>
    <t xml:space="preserve">[32,54,58]</t>
  </si>
  <si>
    <t xml:space="preserve">{"correction_basis":"BM6.1(a) expressly names principal covered person while EN6.1 uses general coverage wording, but BM1.1(h) effective-date definition atp54 concerns person covered generally. Preserve textual detail without concluding a missing nonprincipal start rule, actual denial or new independent blocker; ENclause is6.1 not6.1(a).","disposition":"narrowed_wording_detail_not_separate_verification_veto","evidence":"independent-qa.json#/documents/page-review-proof.json/by_task/B24-MY-014","physical_pages":[32,54,58],"prior_candidate":"Initial page58 note suggested an additional substantive general-coverage subject difference"}</t>
  </si>
  <si>
    <t xml:space="preserve">qa-b24-full-review-20261026/issues-and-clarifications.json#/records/13/independent_corrections_and_dispositions/1</t>
  </si>
  <si>
    <t xml:space="preserve">independent-qa.json#/documents/issues-and-clarifications.json/records/13/independent_corrections_and_dispositions/1</t>
  </si>
  <si>
    <t xml:space="preserve">302c7c7c74b38fd7f291d1155c4bc0dc4bd5d9f3a28dc87862c639dcfb0416eb</t>
  </si>
  <si>
    <t xml:space="preserve">"Independent76page semantic review confirms PA012 age18 condition present only BM p74, absent EN p46; no supplied amendment reconciles. ATM p45/73 narrow location-modifier ambiguity retained, both are OR. Contextual wording detail: BM6.1(a) p58 expressly principalperson, EN6.1 p32 generalcoverage; BM1.1(h) p54 effective-date definition covers personcovered generally. Initial broader scope-question note narrowed; not a separate verification veto or proof of nonprincipal denial. All six executor clarified/superseded items and source/package boundaries checked:2019fund/surplus replacements,2018disease override/residualdeath,PA013complaintlabel versus actual014,2015dategenericBM,PA008allclaims covers repeatedNCD and complete25/27base pagination. No actual denial/invalidity or currentadoption inference."</t>
  </si>
  <si>
    <t xml:space="preserve">qa-b24-full-review-20261026/issues-and-clarifications.json#/records/13/independent_qa_conclusion</t>
  </si>
  <si>
    <t xml:space="preserve">independent-qa.json#/documents/issues-and-clarifications.json/records/13/independent_qa_conclusion</t>
  </si>
  <si>
    <t xml:space="preserve">ada8ab762ca5d70bdeb0a79304e3d50fe0f7649953416dde6c0ab9eba177d320</t>
  </si>
  <si>
    <t xml:space="preserve">[1,2,3,4,34,35,61]</t>
  </si>
  <si>
    <t xml:space="preserve">{"item":"2019whole16/17and15.1control.16.4explicitqardrepaymentprecedes50/50;17.1less-qard wording not evidence of actual double deduction. OldRM10fundreturn superseded bybank/charity.","pages":[1,2,3,4,34,35,61]}</t>
  </si>
  <si>
    <t xml:space="preserve">qa-b24-full-review-20261026/issues-and-clarifications.json#/records/13/execution_findings_and_clarifications_preserved/clarified_or_superseded_items/0</t>
  </si>
  <si>
    <t xml:space="preserve">independent-qa.json#/documents/issues-and-clarifications.json/records/13/execution_findings_and_clarifications_preserved/clarified_or_superseded_items/0</t>
  </si>
  <si>
    <t xml:space="preserve">ff8056138decf77f318d1b4ffac3c86363f8f07762f3e779a889051b132e3d73</t>
  </si>
  <si>
    <t xml:space="preserve">[5,9,11,16,38,65,66]</t>
  </si>
  <si>
    <t xml:space="preserve">{"item":"2018specificdisease extension notwithstanding base excludes overrides infections; smallerTPDspecificdeathcontinuation controlsgeneraltermination.","pages":[5,9,11,16,38,65,66]}</t>
  </si>
  <si>
    <t xml:space="preserve">qa-b24-full-review-20261026/issues-and-clarifications.json#/records/13/execution_findings_and_clarifications_preserved/clarified_or_superseded_items/1</t>
  </si>
  <si>
    <t xml:space="preserve">independent-qa.json#/documents/issues-and-clarifications.json/records/13/execution_findings_and_clarifications_preserved/clarified_or_superseded_items/1</t>
  </si>
  <si>
    <t xml:space="preserve">9cb597429a1d5644e0908c0fc2c60a354daca98ab564eef49650e89e32d5355c</t>
  </si>
  <si>
    <t xml:space="preserve">[17,18,24,48,50,76]</t>
  </si>
  <si>
    <t xml:space="preserve">{"item":"OFSamendment headingPA013vsactualnoticePA014 confirmed,but operativeexactFMBreplacement andnonoperativeheadingsruleidentify notice;not deletion ofPA013joyousbenefit.","pages":[17,18,24,48,50,76]}</t>
  </si>
  <si>
    <t xml:space="preserve">qa-b24-full-review-20261026/issues-and-clarifications.json#/records/13/execution_findings_and_clarifications_preserved/clarified_or_superseded_items/2</t>
  </si>
  <si>
    <t xml:space="preserve">independent-qa.json#/documents/issues-and-clarifications.json/records/13/execution_findings_and_clarifications_preserved/clarified_or_superseded_items/2</t>
  </si>
  <si>
    <t xml:space="preserve">6128b98cb59777248c068ff3e2dbba7e2133deb4d707c70f7266fde05ff48119</t>
  </si>
  <si>
    <t xml:space="preserve">[19,20,21,22,31,33,58,60]</t>
  </si>
  <si>
    <t xml:space="preserve">{"item":"2015wholecontractfoundationreplacement anddelete10.3applied;Englishdate2015-01-01versusMalaygenericendorsementeffective-date notalone substantiveconflict.","pages":[19,20,21,22,31,33,58,60]}</t>
  </si>
  <si>
    <t xml:space="preserve">qa-b24-full-review-20261026/issues-and-clarifications.json#/records/13/execution_findings_and_clarifications_preserved/clarified_or_superseded_items/3</t>
  </si>
  <si>
    <t xml:space="preserve">independent-qa.json#/documents/issues-and-clarifications.json/records/13/execution_findings_and_clarifications_preserved/clarified_or_superseded_items/3</t>
  </si>
  <si>
    <t xml:space="preserve">cb232b777644b83ad60c629087cd70a89680f6375e1e890c3bd2af3aa0691ec9</t>
  </si>
  <si>
    <t xml:space="preserve">[42,46,47,70,74,75]</t>
  </si>
  <si>
    <t xml:space="preserve">{"item":"NCDspecificfirstentitlementsecondanniversary inboth languages controlsgenericone-year description. Malay repeatedNCDparagraphs inPA012/013notinEnglish arealreadycoveredbyEnglishgeneralPA008allclaims;notautomaticdifference.","pages":[42,46,47,70,74,75]}</t>
  </si>
  <si>
    <t xml:space="preserve">qa-b24-full-review-20261026/issues-and-clarifications.json#/records/13/execution_findings_and_clarifications_preserved/clarified_or_superseded_items/4</t>
  </si>
  <si>
    <t xml:space="preserve">independent-qa.json#/documents/issues-and-clarifications.json/records/13/execution_findings_and_clarifications_preserved/clarified_or_superseded_items/4</t>
  </si>
  <si>
    <t xml:space="preserve">09c706c7d1a714f926d078b1c137e314d0bfcf7f8f20f6efc39990b53598694d</t>
  </si>
  <si>
    <t xml:space="preserve">[23,24,48,49,50,76]</t>
  </si>
  <si>
    <t xml:space="preserve">{"item":"ActualcoversbothLadies+ andcompleteconsecutiveEnglish1–25/Malay1–27;filenameomitsplusnotnewproduct,norpagenumberdifferenceproofmissingbody.","pages":[23,24,48,49,50,76]}</t>
  </si>
  <si>
    <t xml:space="preserve">qa-b24-full-review-20261026/issues-and-clarifications.json#/records/13/execution_findings_and_clarifications_preserved/clarified_or_superseded_items/5</t>
  </si>
  <si>
    <t xml:space="preserve">independent-qa.json#/documents/issues-and-clarifications.json/records/13/execution_findings_and_clarifications_preserved/clarified_or_superseded_items/5</t>
  </si>
  <si>
    <t xml:space="preserve">3b031bd77934c6e4f8f5c1f86332e8aad48638b82e1bfd1531eea92a8c790444</t>
  </si>
  <si>
    <t xml:space="preserve">{"finding":"ATM PA0111.3(a) English includes at the ATM itself after the30-minute withdrawal wording; Malay states within30minutes afterwithdrawal from thatATM without the same explicit incident-location wording. Both use OR with1km branch. Attachment/wording scope needs clarification, not a definite claim-denial or radius conclusion.","pages":[45,73]}</t>
  </si>
  <si>
    <t xml:space="preserve">qa-b24-full-review-20261026/issues-and-clarifications.json#/records/13/execution_findings_and_clarifications_preserved/other_body_component_version_questions/0</t>
  </si>
  <si>
    <t xml:space="preserve">independent-qa.json#/documents/issues-and-clarifications.json/records/13/execution_findings_and_clarifications_preserved/other_body_component_version_questions/0</t>
  </si>
  <si>
    <t xml:space="preserve">96cc0cf45ad5a433206eb5f82569abe39209eaf48721d99ce3a44432cd13c2d8</t>
  </si>
  <si>
    <t xml:space="preserve">"Currentadoption/sale,personalissuance and completeamendmenthistory notproved;notsole strict blockers."</t>
  </si>
  <si>
    <t xml:space="preserve">qa-b24-full-review-20261026/issues-and-clarifications.json#/records/13/execution_findings_and_clarifications_preserved/source_and_package_boundaries/0</t>
  </si>
  <si>
    <t xml:space="preserve">independent-qa.json#/documents/issues-and-clarifications.json/records/13/execution_findings_and_clarifications_preserved/source_and_package_boundaries/0</t>
  </si>
  <si>
    <t xml:space="preserve">d8afc1e2b0e77fb0c6db36c6c0c4e1ccade9134aa2a9eaaf907045d4fca2015b</t>
  </si>
  <si>
    <t xml:space="preserve">"Two mastercodes associatedwithsameLadies+wording;exactholder/channel selection andindividualcombo/schedule unknown."</t>
  </si>
  <si>
    <t xml:space="preserve">qa-b24-full-review-20261026/issues-and-clarifications.json#/records/13/execution_findings_and_clarifications_preserved/source_and_package_boundaries/1</t>
  </si>
  <si>
    <t xml:space="preserve">independent-qa.json#/documents/issues-and-clarifications.json/records/13/execution_findings_and_clarifications_preserved/source_and_package_boundaries/1</t>
  </si>
  <si>
    <t xml:space="preserve">09f031bba10f7ec5b4c58069c9c2b382a4adbad9de68dfc21deb9cbe65096db6</t>
  </si>
  <si>
    <t xml:space="preserve">"Baseeditionnotprinted;PDFmetadata andendorsementdates notsubstitute. Conditionalcombos notseparateindependentproducts."</t>
  </si>
  <si>
    <t xml:space="preserve">qa-b24-full-review-20261026/issues-and-clarifications.json#/records/13/execution_findings_and_clarifications_preserved/source_and_package_boundaries/2</t>
  </si>
  <si>
    <t xml:space="preserve">independent-qa.json#/documents/issues-and-clarifications.json/records/13/execution_findings_and_clarifications_preserved/source_and_package_boundaries/2</t>
  </si>
  <si>
    <t xml:space="preserve">067b0ba11a7349e901da8dee35836b822cac72f60822fbca65f299e728f88302</t>
  </si>
  <si>
    <t xml:space="preserve">[46,74]</t>
  </si>
  <si>
    <t xml:space="preserve">{"boundary":"File-text eligibility reconciliation only, not proof of actual personal eligibility,denial or contract invalidity.","confirmation":"Both pages independently enlarged216dpi.","finding":"Malay PA0121.3(b) requires the accidental injury after the covered person reaches age18inclusive; English PA0121.3 lists five conditions but no corresponding age requirement. Generaleligibility defers to a schedule and the present generic PA002tables do not settle the age scope. No attached amendment replaces PA012 or establishes language precedence.","id":"014-F1","pages":[46,74],"topic":"Bilingual corrective-surgery age eligibility"}</t>
  </si>
  <si>
    <t xml:space="preserve">qa-b24-full-review-20261026/issues-and-clarifications.json#/records/13/execution_findings_and_clarifications_preserved/substantive_unresolved_findings/0</t>
  </si>
  <si>
    <t xml:space="preserve">independent-qa.json#/documents/issues-and-clarifications.json/records/13/execution_findings_and_clarifications_preserved/substantive_unresolved_findings/0</t>
  </si>
  <si>
    <t xml:space="preserve">45925696cbb073c9a01a396b13616e5a9261b1ba080dcc43cf93b7dba4b911c9</t>
  </si>
  <si>
    <t xml:space="preserve">{"holder":"Full named holder not established; Anda is organization/institution named in schedule.","master_codes":["CIMB-LLL002-06012014","CIMBI-LLL002-06012014"],"operator":"Sun Life Malaysia Takaful Berhad","owner_mutation":false,"product":"LiveLife Ladies+"}</t>
  </si>
  <si>
    <t xml:space="preserve">qa-b24-full-review-20261026/accepted-rows.json#/13/identity_observations</t>
  </si>
  <si>
    <t xml:space="preserve">independent-qa.json#/documents/accepted-rows.json/13/identity_observations</t>
  </si>
  <si>
    <t xml:space="preserve">e62b6af4ba5211630540f04aa226dbaaea6b29745c22ae74c0c578f33a65831e</t>
  </si>
  <si>
    <t xml:space="preserve">{"correction_basis":{"method":"Own present-file semantic visual review, with targeted high-resolution rechecks","page_proof":"independent-qa.json#/documents/page-review-proof.json/by_task/B24-MY-015","physical_pages":[1,2,3,4,33,61]},"original_clarification":{"item":"2019 replaces whole 16/17 and 15.1; qard repayment precedes 50/50 under 16.4. Less-qard wording in 17.1 does not establish actual double deduction. Old RM10 fund return is superseded.","pages":[1,2,3,4,33,61]},"qa_disposition":"independently_confirmed_after_full_visual_review"}</t>
  </si>
  <si>
    <t xml:space="preserve">qa-b24-full-review-20261026/issues-and-clarifications.json#/records/14/independent_clarification_dispositions/0</t>
  </si>
  <si>
    <t xml:space="preserve">independent-qa.json#/documents/issues-and-clarifications.json/records/14/independent_clarification_dispositions/0</t>
  </si>
  <si>
    <t xml:space="preserve">a4879b0a2fadac4712ca657933ce7eac454a9f7e8be7a5ecefca2636fdaecd2c</t>
  </si>
  <si>
    <t xml:space="preserve">{"correction_basis":{"method":"Own present-file semantic visual review, with targeted high-resolution rechecks","page_proof":"independent-qa.json#/documents/page-review-proof.json/by_task/B24-MY-015","physical_pages":[5,9,11,16,36,65]},"original_clarification":{"item":"2018 notwithstanding overrides base disease/infection exclusions for specified disease cover; smaller TPD specific continuation governs remaining death cover.","pages":[5,9,11,16,36,65]},"qa_disposition":"independently_confirmed_after_full_visual_review"}</t>
  </si>
  <si>
    <t xml:space="preserve">qa-b24-full-review-20261026/issues-and-clarifications.json#/records/14/independent_clarification_dispositions/1</t>
  </si>
  <si>
    <t xml:space="preserve">independent-qa.json#/documents/issues-and-clarifications.json/records/14/independent_clarification_dispositions/1</t>
  </si>
  <si>
    <t xml:space="preserve">2c99821c4e546c85f07b915646151783e22933abc4f97662a34a51772fc8f974</t>
  </si>
  <si>
    <t xml:space="preserve">{"correction_basis":{"method":"Own present-file semantic visual review, with targeted high-resolution rechecks","page_proof":"independent-qa.json#/documents/page-review-proof.json/by_task/B24-MY-015","physical_pages":[17,18,46,74]},"original_clarification":{"item":"OFS amendment PA013 matches this member’s actual notice annexure; do not import Ladies PA014 reference issue.","pages":[17,18,46,74]},"qa_disposition":"independently_confirmed_after_full_visual_review"}</t>
  </si>
  <si>
    <t xml:space="preserve">qa-b24-full-review-20261026/issues-and-clarifications.json#/records/14/independent_clarification_dispositions/2</t>
  </si>
  <si>
    <t xml:space="preserve">independent-qa.json#/documents/issues-and-clarifications.json/records/14/independent_clarification_dispositions/2</t>
  </si>
  <si>
    <t xml:space="preserve">ceb07b3e3587ffd47224f83dc857932d46f69ea4f02090032cd764b107d6bb0b</t>
  </si>
  <si>
    <t xml:space="preserve">{"correction_basis":{"method":"Own present-file semantic visual review, with targeted high-resolution rechecks","page_proof":"independent-qa.json#/documents/page-review-proof.json/by_task/B24-MY-015","physical_pages":[7,13,32,59]},"original_clarification":{"item":"2018 incontestability expressly preserves reinstatement provisions. Reinstatement refund/time rules remain applicable, not automatically conflicting with general inception rules.","pages":[7,13,32,59]},"qa_disposition":"independently_confirmed_after_full_visual_review"}</t>
  </si>
  <si>
    <t xml:space="preserve">qa-b24-full-review-20261026/issues-and-clarifications.json#/records/14/independent_clarification_dispositions/3</t>
  </si>
  <si>
    <t xml:space="preserve">independent-qa.json#/documents/issues-and-clarifications.json/records/14/independent_clarification_dispositions/3</t>
  </si>
  <si>
    <t xml:space="preserve">29c16dcda143c60ebbfaba7706fe10a2f17f854685bf093cc66f8b693c0e62dd</t>
  </si>
  <si>
    <t xml:space="preserve">{"correction_basis":{"method":"Own present-file semantic visual review, with targeted high-resolution rechecks","page_proof":"independent-qa.json#/documents/page-review-proof.json/by_task/B24-MY-015","physical_pages":[41,69]},"original_clarification":{"item":"Specific first NCD entitlement at second anniversary qualifies generic one-year claim-free statement in both languages.","pages":[41,69]},"qa_disposition":"independently_confirmed_after_full_visual_review"}</t>
  </si>
  <si>
    <t xml:space="preserve">qa-b24-full-review-20261026/issues-and-clarifications.json#/records/14/independent_clarification_dispositions/4</t>
  </si>
  <si>
    <t xml:space="preserve">independent-qa.json#/documents/issues-and-clarifications.json/records/14/independent_clarification_dispositions/4</t>
  </si>
  <si>
    <t xml:space="preserve">78e74a400cb5c14064515341c31dabd21ca076c7deedce212032a7a45d64c749</t>
  </si>
  <si>
    <t xml:space="preserve">{"correction_basis":{"method":"Own present-file semantic visual review, with targeted high-resolution rechecks","page_proof":"independent-qa.json#/documents/page-review-proof.json/by_task/B24-MY-015","physical_pages":[26,35,53,63,65]},"original_clarification":{"item":"General child-age inclusive language is read with explicit termination on attaining 21, or 23 for full-time students; not automatically an internal coverage extension.","pages":[26,35,53,63,65]},"qa_disposition":"independently_confirmed_after_full_visual_review"}</t>
  </si>
  <si>
    <t xml:space="preserve">qa-b24-full-review-20261026/issues-and-clarifications.json#/records/14/independent_clarification_dispositions/5</t>
  </si>
  <si>
    <t xml:space="preserve">independent-qa.json#/documents/issues-and-clarifications.json/records/14/independent_clarification_dispositions/5</t>
  </si>
  <si>
    <t xml:space="preserve">eb11a111fa3f67f4d1d3a7f2abca9bacd77dad59f3a1807366d36b1af203f791</t>
  </si>
  <si>
    <t xml:space="preserve">{"correction_basis":{"method":"Own present-file semantic visual review, with targeted high-resolution rechecks","page_proof":"independent-qa.json#/documents/page-review-proof.json/by_task/B24-MY-015","physical_pages":[36,64,65]},"original_clarification":{"item":"Different exclusion lettering does not demonstrate omitted substantive clause; all substantive lists read.","pages":[36,64,65]},"qa_disposition":"independently_confirmed_after_full_visual_review"}</t>
  </si>
  <si>
    <t xml:space="preserve">qa-b24-full-review-20261026/issues-and-clarifications.json#/records/14/independent_clarification_dispositions/6</t>
  </si>
  <si>
    <t xml:space="preserve">independent-qa.json#/documents/issues-and-clarifications.json/records/14/independent_clarification_dispositions/6</t>
  </si>
  <si>
    <t xml:space="preserve">e581e50f7b7ba977d0b9c04b7ba84fe9b0514291322d38941575a4902483a87c</t>
  </si>
  <si>
    <t xml:space="preserve">{"correction_basis":{"method":"Own present-file semantic visual review, with targeted high-resolution rechecks","page_proof":"independent-qa.json#/documents/page-review-proof.json/by_task/B24-MY-015","physical_pages":[19,20,47]},"original_clarification":{"item":"Attached 2013 name-change bridge connects CIMB Aviva body to Sun Life; historic contact details are not asserted current.","pages":[19,20,47]},"qa_disposition":"independently_confirmed_after_full_visual_review"}</t>
  </si>
  <si>
    <t xml:space="preserve">qa-b24-full-review-20261026/issues-and-clarifications.json#/records/14/independent_clarification_dispositions/7</t>
  </si>
  <si>
    <t xml:space="preserve">independent-qa.json#/documents/issues-and-clarifications.json/records/14/independent_clarification_dispositions/7</t>
  </si>
  <si>
    <t xml:space="preserve">f12ba918c239fc562e9c749cfd39b0e0b903a3663191b73e521335daccb2605f</t>
  </si>
  <si>
    <t xml:space="preserve">[29,56,57]</t>
  </si>
  <si>
    <t xml:space="preserve">{"correction_basis":"Malay pergelangan tangan atau kaki correctly denotes wrist or ankle in the full loss-of-limb context, not whole foot/leg. No anatomical scope issue retained.","disposition":"withdrawn","evidence":"independent-qa.json#/documents/page-review-proof.json/by_task/B24-MY-015","physical_pages":[29,56,57],"prior_candidate":"Anatomical wrist/ankle translation mismatch"}</t>
  </si>
  <si>
    <t xml:space="preserve">qa-b24-full-review-20261026/issues-and-clarifications.json#/records/14/independent_corrections_and_dispositions/0</t>
  </si>
  <si>
    <t xml:space="preserve">independent-qa.json#/documents/issues-and-clarifications.json/records/14/independent_corrections_and_dispositions/0</t>
  </si>
  <si>
    <t xml:space="preserve">7d22fba8c156565498694c47a738ddcc33d66b5d1ce6ada5c054391f2f2f9bb7</t>
  </si>
  <si>
    <t xml:space="preserve">[44,72]</t>
  </si>
  <si>
    <t xml:space="preserve">{"correction_basis":"Both explicitly use OR1km. At-the-ATM-itself attachment remains narrowly unresolved; no definitive incident-location limitation or claim result inferred.","disposition":"withdrawn_except_narrow_modifier_attachment","evidence":"independent-qa.json#/documents/page-review-proof.json/by_task/B24-MY-015","physical_pages":[44,72],"prior_candidate":"ATM condition definitive location restriction or AND instead of OR"}</t>
  </si>
  <si>
    <t xml:space="preserve">qa-b24-full-review-20261026/issues-and-clarifications.json#/records/14/independent_corrections_and_dispositions/1</t>
  </si>
  <si>
    <t xml:space="preserve">independent-qa.json#/documents/issues-and-clarifications.json/records/14/independent_corrections_and_dispositions/1</t>
  </si>
  <si>
    <t xml:space="preserve">1ada41b2c4b36df2b9b5b77c88878d505061170e4a19cc66ecdf1cd82a60cd44</t>
  </si>
  <si>
    <t xml:space="preserve">"All74pages independently read. Narrow ATM1.3(a) p44/72 modifier attachment remains unresolved, both OR1km; no definite different scope or denial. TPD anatomy EN29/BM56-57 ordinary enlarged216dpi confirms wrist/ankle meaning, not false anatomical conflict. All8executor clarifications independently affirmed:2019replacefund/surplus,2018specificinfection/residualdeath,PA013OFSproperpointer,incontestabilitypreservesreinstatement,NCDsecondanniversary,childinclusiveagereadwithspecifictermination,exclusionletteringnotomission,2013rename. No2015amendment imported. Childagefirst-passquestion resolved byexpress termination, not separateblocker."</t>
  </si>
  <si>
    <t xml:space="preserve">qa-b24-full-review-20261026/issues-and-clarifications.json#/records/14/independent_qa_conclusion</t>
  </si>
  <si>
    <t xml:space="preserve">independent-qa.json#/documents/issues-and-clarifications.json/records/14/independent_qa_conclusion</t>
  </si>
  <si>
    <t xml:space="preserve">b75e08a6c11e16f47bb4df6a5aee9e22e99a7547ee1a0328ec0bdcfe9ed63917</t>
  </si>
  <si>
    <t xml:space="preserve">[1,2,3,4,33,61]</t>
  </si>
  <si>
    <t xml:space="preserve">{"item":"2019 replaces whole 16/17 and 15.1; qard repayment precedes 50/50 under 16.4. Less-qard wording in 17.1 does not establish actual double deduction. Old RM10 fund return is superseded.","pages":[1,2,3,4,33,61]}</t>
  </si>
  <si>
    <t xml:space="preserve">qa-b24-full-review-20261026/issues-and-clarifications.json#/records/14/execution_findings_and_clarifications_preserved/clarified_or_superseded_items/0</t>
  </si>
  <si>
    <t xml:space="preserve">independent-qa.json#/documents/issues-and-clarifications.json/records/14/execution_findings_and_clarifications_preserved/clarified_or_superseded_items/0</t>
  </si>
  <si>
    <t xml:space="preserve">dbc913810d56d127f78011c0644b59fd1feac935f4637dde0372a3cdca1dcf0a</t>
  </si>
  <si>
    <t xml:space="preserve">[5,9,11,16,36,65]</t>
  </si>
  <si>
    <t xml:space="preserve">{"item":"2018 notwithstanding overrides base disease/infection exclusions for specified disease cover; smaller TPD specific continuation governs remaining death cover.","pages":[5,9,11,16,36,65]}</t>
  </si>
  <si>
    <t xml:space="preserve">qa-b24-full-review-20261026/issues-and-clarifications.json#/records/14/execution_findings_and_clarifications_preserved/clarified_or_superseded_items/1</t>
  </si>
  <si>
    <t xml:space="preserve">independent-qa.json#/documents/issues-and-clarifications.json/records/14/execution_findings_and_clarifications_preserved/clarified_or_superseded_items/1</t>
  </si>
  <si>
    <t xml:space="preserve">0ca43625d0cc875f3fb5549615237016d736b19467d79ab0289ce0175103900f</t>
  </si>
  <si>
    <t xml:space="preserve">[17,18,46,74]</t>
  </si>
  <si>
    <t xml:space="preserve">{"item":"OFS amendment PA013 matches this member’s actual notice annexure; do not import Ladies PA014 reference issue.","pages":[17,18,46,74]}</t>
  </si>
  <si>
    <t xml:space="preserve">qa-b24-full-review-20261026/issues-and-clarifications.json#/records/14/execution_findings_and_clarifications_preserved/clarified_or_superseded_items/2</t>
  </si>
  <si>
    <t xml:space="preserve">independent-qa.json#/documents/issues-and-clarifications.json/records/14/execution_findings_and_clarifications_preserved/clarified_or_superseded_items/2</t>
  </si>
  <si>
    <t xml:space="preserve">0643dbe716512c662c37065be14dfd0886c6c231b01526c56eb5a537ce391797</t>
  </si>
  <si>
    <t xml:space="preserve">[7,13,32,59]</t>
  </si>
  <si>
    <t xml:space="preserve">{"item":"2018 incontestability expressly preserves reinstatement provisions. Reinstatement refund/time rules remain applicable, not automatically conflicting with general inception rules.","pages":[7,13,32,59]}</t>
  </si>
  <si>
    <t xml:space="preserve">qa-b24-full-review-20261026/issues-and-clarifications.json#/records/14/execution_findings_and_clarifications_preserved/clarified_or_superseded_items/3</t>
  </si>
  <si>
    <t xml:space="preserve">independent-qa.json#/documents/issues-and-clarifications.json/records/14/execution_findings_and_clarifications_preserved/clarified_or_superseded_items/3</t>
  </si>
  <si>
    <t xml:space="preserve">a558208561af743db7eed38fbab98818edb3f44ec5721ec6e1296285c607f346</t>
  </si>
  <si>
    <t xml:space="preserve">[41,69]</t>
  </si>
  <si>
    <t xml:space="preserve">{"item":"Specific first NCD entitlement at second anniversary qualifies generic one-year claim-free statement in both languages.","pages":[41,69]}</t>
  </si>
  <si>
    <t xml:space="preserve">qa-b24-full-review-20261026/issues-and-clarifications.json#/records/14/execution_findings_and_clarifications_preserved/clarified_or_superseded_items/4</t>
  </si>
  <si>
    <t xml:space="preserve">independent-qa.json#/documents/issues-and-clarifications.json/records/14/execution_findings_and_clarifications_preserved/clarified_or_superseded_items/4</t>
  </si>
  <si>
    <t xml:space="preserve">10890ac800e8f8bf0125839297d8e623ab22809af64f386de40904f55bb65c37</t>
  </si>
  <si>
    <t xml:space="preserve">[26,35,53,63,65]</t>
  </si>
  <si>
    <t xml:space="preserve">{"item":"General child-age inclusive language is read with explicit termination on attaining 21, or 23 for full-time students; not automatically an internal coverage extension.","pages":[26,35,53,63,65]}</t>
  </si>
  <si>
    <t xml:space="preserve">qa-b24-full-review-20261026/issues-and-clarifications.json#/records/14/execution_findings_and_clarifications_preserved/clarified_or_superseded_items/5</t>
  </si>
  <si>
    <t xml:space="preserve">independent-qa.json#/documents/issues-and-clarifications.json/records/14/execution_findings_and_clarifications_preserved/clarified_or_superseded_items/5</t>
  </si>
  <si>
    <t xml:space="preserve">c8ac058ce303761a75e08c7d4cc682fa70aabcb2ec6abf3ec8e0d0c07dad5547</t>
  </si>
  <si>
    <t xml:space="preserve">[36,64,65]</t>
  </si>
  <si>
    <t xml:space="preserve">{"item":"Different exclusion lettering does not demonstrate omitted substantive clause; all substantive lists read.","pages":[36,64,65]}</t>
  </si>
  <si>
    <t xml:space="preserve">qa-b24-full-review-20261026/issues-and-clarifications.json#/records/14/execution_findings_and_clarifications_preserved/clarified_or_superseded_items/6</t>
  </si>
  <si>
    <t xml:space="preserve">independent-qa.json#/documents/issues-and-clarifications.json/records/14/execution_findings_and_clarifications_preserved/clarified_or_superseded_items/6</t>
  </si>
  <si>
    <t xml:space="preserve">fecabb646dd82e2b714e04212e2275678e2c437e61693ca5d2b68a8f16bcf2cc</t>
  </si>
  <si>
    <t xml:space="preserve">[19,20,47]</t>
  </si>
  <si>
    <t xml:space="preserve">{"item":"Attached 2013 name-change bridge connects CIMB Aviva body to Sun Life; historic contact details are not asserted current.","pages":[19,20,47]}</t>
  </si>
  <si>
    <t xml:space="preserve">qa-b24-full-review-20261026/issues-and-clarifications.json#/records/14/execution_findings_and_clarifications_preserved/clarified_or_superseded_items/7</t>
  </si>
  <si>
    <t xml:space="preserve">independent-qa.json#/documents/issues-and-clarifications.json/records/14/execution_findings_and_clarifications_preserved/clarified_or_superseded_items/7</t>
  </si>
  <si>
    <t xml:space="preserve">b1e194cfe2e8357ae9613a506b40176744a1e0c5044ca3965d3e983c76e67a41</t>
  </si>
  <si>
    <t xml:space="preserve">"Current adoption, sale, personal issuance and exhaustive amendment history are unknown and not sole strict blockers."</t>
  </si>
  <si>
    <t xml:space="preserve">qa-b24-full-review-20261026/issues-and-clarifications.json#/records/14/execution_findings_and_clarifications_preserved/source_and_package_boundaries/0</t>
  </si>
  <si>
    <t xml:space="preserve">independent-qa.json#/documents/issues-and-clarifications.json/records/14/execution_findings_and_clarifications_preserved/source_and_package_boundaries/0</t>
  </si>
  <si>
    <t xml:space="preserve">b731e608f62ad7c2cd180c046d58922c47ceed2503b4135aec5b175e165009cd</t>
  </si>
  <si>
    <t xml:space="preserve">"Two master codes appear in the same product wording; no full holder names or individual selected combo are established."</t>
  </si>
  <si>
    <t xml:space="preserve">qa-b24-full-review-20261026/issues-and-clarifications.json#/records/14/execution_findings_and_clarifications_preserved/source_and_package_boundaries/1</t>
  </si>
  <si>
    <t xml:space="preserve">independent-qa.json#/documents/issues-and-clarifications.json/records/14/execution_findings_and_clarifications_preserved/source_and_package_boundaries/1</t>
  </si>
  <si>
    <t xml:space="preserve">8455d583857162c4bca4d0a3c3388af70d11dcee2719be0811faef6fcb166744</t>
  </si>
  <si>
    <t xml:space="preserve">"Generic benefit and fee tables are present; personal certificate/schedule and selected tier remain unknown. Conditional combos do not create independent-product credit."</t>
  </si>
  <si>
    <t xml:space="preserve">qa-b24-full-review-20261026/issues-and-clarifications.json#/records/14/execution_findings_and_clarifications_preserved/source_and_package_boundaries/2</t>
  </si>
  <si>
    <t xml:space="preserve">independent-qa.json#/documents/issues-and-clarifications.json/records/14/execution_findings_and_clarifications_preserved/source_and_package_boundaries/2</t>
  </si>
  <si>
    <t xml:space="preserve">deb0c2c126816667563e341f833d9b25444a86d058d3f27060356ede0f24db08</t>
  </si>
  <si>
    <t xml:space="preserve">"PDF creation metadata and code dates are not a printed base-edition date; consecutive English 1–26 and Malay 1–27 are complete as present."</t>
  </si>
  <si>
    <t xml:space="preserve">qa-b24-full-review-20261026/issues-and-clarifications.json#/records/14/execution_findings_and_clarifications_preserved/source_and_package_boundaries/3</t>
  </si>
  <si>
    <t xml:space="preserve">independent-qa.json#/documents/issues-and-clarifications.json/records/14/execution_findings_and_clarifications_preserved/source_and_package_boundaries/3</t>
  </si>
  <si>
    <t xml:space="preserve">99812c113fbeb93f009998e9d66d6a65ca12d2b56a6eceaad9b71e24d4736be7</t>
  </si>
  <si>
    <t xml:space="preserve">{"boundary":"Not a definitive assertion that English restricts robbery location, not an established different claim outcome, and not contract invalidity.","confirmation":"Paired ordinary 216 dpi visual recheck.","finding":"English PA011 1.3(a) includes at the ATM itself after the withdrawal wording; the phrase can attach to withdrawal or incident. Malay states within 30 minutes after withdrawal from that ATM, without the same explicit location phrase. Both independently provide an OR 1 km branch. No present amendment or language-precedence provision settles the attachment. This narrow body-scope ambiguity remains for reconciliation.","id":"015-F1","pages":[44,72],"topic":"ATM time-branch location wording"}</t>
  </si>
  <si>
    <t xml:space="preserve">qa-b24-full-review-20261026/issues-and-clarifications.json#/records/14/execution_findings_and_clarifications_preserved/substantive_unresolved_findings/0</t>
  </si>
  <si>
    <t xml:space="preserve">independent-qa.json#/documents/issues-and-clarifications.json/records/14/execution_findings_and_clarifications_preserved/substantive_unresolved_findings/0</t>
  </si>
  <si>
    <t xml:space="preserve">00370bd7d71a2e3e9980f3cbeb532a70ede4b4a5ce8f95beda4db145012fd9b5</t>
  </si>
  <si>
    <t xml:space="preserve">{"holder":"Full named holder not established in present generic body; institution named in master schedule.","master_codes":["CIMB-LL001-17042012","CIMBI-LL002-17042012"],"operator":"Sun Life Malaysia Takaful Berhad, bridged by attached 2013 name-change notice from CIMB Aviva Takaful Berhad","owner_mutation":false,"product":"LiveLife (Takaful LifeStyle PA series)"}</t>
  </si>
  <si>
    <t xml:space="preserve">qa-b24-full-review-20261026/accepted-rows.json#/14/identity_observations</t>
  </si>
  <si>
    <t xml:space="preserve">independent-qa.json#/documents/accepted-rows.json/14/identity_observations</t>
  </si>
  <si>
    <t xml:space="preserve">193afae782186e5715d2c4e4e8f25e0fcc5218f1f480fa9586f5b03cf06e2906</t>
  </si>
  <si>
    <t xml:space="preserve">{"correction_basis":{"method":"Own present-file semantic visual review, with targeted high-resolution rechecks","page_proof":"independent-qa.json#/documents/page-review-proof.json/by_task/B24-MY-016","physical_pages":[1,2,3,4,36,64,65]},"original_clarification":{"item":"2019 replaces whole16/17 and15.1;16.4 makes qard repayment precede50/50.17.1 wording does not establish actual double deduction. Old RM10 return to fund superseded.","pages":[1,2,3,4,36,64,65]},"qa_disposition":"independently_confirmed_after_full_visual_review"}</t>
  </si>
  <si>
    <t xml:space="preserve">qa-b24-full-review-20261026/issues-and-clarifications.json#/records/15/independent_clarification_dispositions/0</t>
  </si>
  <si>
    <t xml:space="preserve">independent-qa.json#/documents/issues-and-clarifications.json/records/15/independent_clarification_dispositions/0</t>
  </si>
  <si>
    <t xml:space="preserve">11a9678138e87030fdd71ee63c5bea15ae564c104563197294fc22c24c90e5f2</t>
  </si>
  <si>
    <t xml:space="preserve">{"correction_basis":{"method":"Own present-file semantic visual review, with targeted high-resolution rechecks","page_proof":"independent-qa.json#/documents/page-review-proof.json/by_task/B24-MY-016","physical_pages":[5,9,11,16,40,69]},"original_clarification":{"item":"2018 notwithstanding controls base disease/infection exclusions for specified diseases; specific smaller-TPD continuation controls remaining death cover.","pages":[5,9,11,16,40,69]},"qa_disposition":"independently_confirmed_after_full_visual_review"}</t>
  </si>
  <si>
    <t xml:space="preserve">qa-b24-full-review-20261026/issues-and-clarifications.json#/records/15/independent_clarification_dispositions/1</t>
  </si>
  <si>
    <t xml:space="preserve">independent-qa.json#/documents/issues-and-clarifications.json/records/15/independent_clarification_dispositions/1</t>
  </si>
  <si>
    <t xml:space="preserve">109132d9d4d78c5520b1c92c4e672f84e6b91d4552f957bc0db6f1762cef3a3b</t>
  </si>
  <si>
    <t xml:space="preserve">{"correction_basis":{"method":"Own present-file semantic visual review, with targeted high-resolution rechecks","page_proof":"independent-qa.json#/documents/page-review-proof.json/by_task/B24-MY-016","physical_pages":[19,20,21,22,32,35,61,63]},"original_clarification":{"item":"2015 whole contract clause2 replacement and10.3 deletion applied; both language endorsements expressly effective2015-01-01. Old wording not retained as live issue.","pages":[19,20,21,22,32,35,61,63]},"qa_disposition":"independently_confirmed_after_full_visual_review"}</t>
  </si>
  <si>
    <t xml:space="preserve">qa-b24-full-review-20261026/issues-and-clarifications.json#/records/15/independent_clarification_dispositions/2</t>
  </si>
  <si>
    <t xml:space="preserve">independent-qa.json#/documents/issues-and-clarifications.json/records/15/independent_clarification_dispositions/2</t>
  </si>
  <si>
    <t xml:space="preserve">e7e10f4cc5670e14048579d0559a600e2ecc04fa4c248c18224301bd5cb1f45a</t>
  </si>
  <si>
    <t xml:space="preserve">{"correction_basis":{"method":"Own present-file semantic visual review, with targeted high-resolution rechecks","page_proof":"independent-qa.json#/documents/page-review-proof.json/by_task/B24-MY-016","physical_pages":[17,18,50,78]},"original_clarification":{"item":"OFS PA013 replacement matches actual notice annexure; no Ladies PA014 reference issue in this member.","pages":[17,18,50,78]},"qa_disposition":"independently_confirmed_after_full_visual_review"}</t>
  </si>
  <si>
    <t xml:space="preserve">qa-b24-full-review-20261026/issues-and-clarifications.json#/records/15/independent_clarification_dispositions/3</t>
  </si>
  <si>
    <t xml:space="preserve">independent-qa.json#/documents/issues-and-clarifications.json/records/15/independent_clarification_dispositions/3</t>
  </si>
  <si>
    <t xml:space="preserve">0d65f5552acb10ee0a9a2a79779bde2f9a5e3f7351ca9c5837a1f71b82220c34</t>
  </si>
  <si>
    <t xml:space="preserve">{"correction_basis":{"method":"Own present-file semantic visual review, with targeted high-resolution rechecks","page_proof":"independent-qa.json#/documents/page-review-proof.json/by_task/B24-MY-016","physical_pages":[37,40,66,68]},"original_clarification":{"item":"Boxing absent from Malay hazardous-hobby examples but present in English. Both exclude unlisted sports and retain broad hazardous catch-all; boxing absent from both covered-leisure lists. No active coverage divergence established from the example omission.","pages":[37,40,66,68]},"qa_disposition":"independently_confirmed_after_full_visual_review"}</t>
  </si>
  <si>
    <t xml:space="preserve">qa-b24-full-review-20261026/issues-and-clarifications.json#/records/15/independent_clarification_dispositions/4</t>
  </si>
  <si>
    <t xml:space="preserve">independent-qa.json#/documents/issues-and-clarifications.json/records/15/independent_clarification_dispositions/4</t>
  </si>
  <si>
    <t xml:space="preserve">a9ef370bfa3062b0b222e56d96f1674143dd2b90a7a1eaf6e57d85e14f512174</t>
  </si>
  <si>
    <t xml:space="preserve">{"correction_basis":{"method":"Own present-file semantic visual review, with targeted high-resolution rechecks","page_proof":"independent-qa.json#/documents/page-review-proof.json/by_task/B24-MY-016","physical_pages":[45,73]},"original_clarification":{"item":"Specific first NCD entitlement at second anniversary qualifies generic one-year statement in both languages.","pages":[45,73]},"qa_disposition":"independently_confirmed_after_full_visual_review"}</t>
  </si>
  <si>
    <t xml:space="preserve">qa-b24-full-review-20261026/issues-and-clarifications.json#/records/15/independent_clarification_dispositions/5</t>
  </si>
  <si>
    <t xml:space="preserve">independent-qa.json#/documents/issues-and-clarifications.json/records/15/independent_clarification_dispositions/5</t>
  </si>
  <si>
    <t xml:space="preserve">db43d44d44f99387cc74e06439c98c6c12c4f9268d9ea7a062bfddb8411d29ac</t>
  </si>
  <si>
    <t xml:space="preserve">{"correction_basis":{"method":"Own present-file semantic visual review, with targeted high-resolution rechecks","page_proof":"independent-qa.json#/documents/page-review-proof.json/by_task/B24-MY-016","physical_pages":[29,38,57,67]},"original_clarification":{"item":"Generic child-age inclusive language read with explicit termination on attaining21 or23 for full-time students; not automatically extension.","pages":[29,38,57,67]},"qa_disposition":"independently_confirmed_after_full_visual_review"}</t>
  </si>
  <si>
    <t xml:space="preserve">qa-b24-full-review-20261026/issues-and-clarifications.json#/records/15/independent_clarification_dispositions/6</t>
  </si>
  <si>
    <t xml:space="preserve">independent-qa.json#/documents/issues-and-clarifications.json/records/15/independent_clarification_dispositions/6</t>
  </si>
  <si>
    <t xml:space="preserve">df43d9dc41009d72c771e636bbaa5227883502f10d4be0c16826bf2dc0409797</t>
  </si>
  <si>
    <t xml:space="preserve">{"correction_basis":{"method":"Own present-file semantic visual review, with targeted high-resolution rechecks","page_proof":"independent-qa.json#/documents/page-review-proof.json/by_task/B24-MY-016","physical_pages":[7,13,35,63]},"original_clarification":{"item":"2018 incontestability expressly preserves reinstatement provisions; remaining specific reinstatement rules are not automatically displaced.","pages":[7,13,35,63]},"qa_disposition":"independently_confirmed_after_full_visual_review"}</t>
  </si>
  <si>
    <t xml:space="preserve">qa-b24-full-review-20261026/issues-and-clarifications.json#/records/15/independent_clarification_dispositions/7</t>
  </si>
  <si>
    <t xml:space="preserve">independent-qa.json#/documents/issues-and-clarifications.json/records/15/independent_clarification_dispositions/7</t>
  </si>
  <si>
    <t xml:space="preserve">4a432dd8939dbad55446b197dce7308975aeddb33e36b359397ddae5190a4c4b</t>
  </si>
  <si>
    <t xml:space="preserve">{"correction_basis":{"method":"Own present-file semantic visual review, with targeted high-resolution rechecks","page_proof":"independent-qa.json#/documents/page-review-proof.json/by_task/B24-MY-016","physical_pages":[23,51,59]},"original_clarification":{"item":"LiveLife+ appears on both covers despite filename omitting plus; Malay mobility ADL substance present despite absent numeral; no missing body inferred.","pages":[23,51,59]},"qa_disposition":"independently_confirmed_after_full_visual_review"}</t>
  </si>
  <si>
    <t xml:space="preserve">qa-b24-full-review-20261026/issues-and-clarifications.json#/records/15/independent_clarification_dispositions/8</t>
  </si>
  <si>
    <t xml:space="preserve">independent-qa.json#/documents/issues-and-clarifications.json/records/15/independent_clarification_dispositions/8</t>
  </si>
  <si>
    <t xml:space="preserve">cf7721f065027eeed0917f28ba9b81a996c16fe897c9f0894987e4554f55ef73</t>
  </si>
  <si>
    <t xml:space="preserve">[32,60,61]</t>
  </si>
  <si>
    <t xml:space="preserve">{"correction_basis":"Full pergelangan tangan atau kaki wording supports wrist/ankle, not a missing ankle term; enlarged check confirms no substantive anatomical mismatch.","disposition":"withdrawn","evidence":"independent-qa.json#/documents/page-review-proof.json/by_task/B24-MY-016","physical_pages":[32,60,61],"prior_candidate":"Anatomical wrist/ankle translation mismatch"}</t>
  </si>
  <si>
    <t xml:space="preserve">qa-b24-full-review-20261026/issues-and-clarifications.json#/records/15/independent_corrections_and_dispositions/0</t>
  </si>
  <si>
    <t xml:space="preserve">independent-qa.json#/documents/issues-and-clarifications.json/records/15/independent_corrections_and_dispositions/0</t>
  </si>
  <si>
    <t xml:space="preserve">99beeb64c6c44fde754b0e7d463aaa5187689e7da2de66803f325b27441b8408</t>
  </si>
  <si>
    <t xml:space="preserve">[48,76]</t>
  </si>
  <si>
    <t xml:space="preserve">{"correction_basis":"Both use OR1km. EN location-phrase attachment versus BM withdrawal reference remains a bounded semantic question, not demonstrated broader exclusion.","disposition":"withdrawn_except_narrow_modifier_attachment","evidence":"independent-qa.json#/documents/page-review-proof.json/by_task/B24-MY-016","physical_pages":[48,76],"prior_candidate":"ATM phrase proves definitive incident-location restriction"}</t>
  </si>
  <si>
    <t xml:space="preserve">qa-b24-full-review-20261026/issues-and-clarifications.json#/records/15/independent_corrections_and_dispositions/1</t>
  </si>
  <si>
    <t xml:space="preserve">independent-qa.json#/documents/issues-and-clarifications.json/records/15/independent_corrections_and_dispositions/1</t>
  </si>
  <si>
    <t xml:space="preserve">34f430c702b8a8288d60af1f2bcd25073ddda7d0aef1e5068170b6717b2c2743</t>
  </si>
  <si>
    <t xml:space="preserve">"Independent all78pages plus9highdefinition checks confirm narrow ATM location-phrase attachment ambiguity p48/76; both alternatives expressly OR, no established claim-outcome difference or invalidity. All9 execution clarifications reviewed and affirmed: whole2019 replacement,2018 specific infection/partialTPD,2015 bilingual January1 amendment,properOFS PA013,boxing catch-all/unlisted sports,secondanniversaryNCD,childspecifictermination,reinstatementpreserved,andplus/ADLnumbering. Anatomical wrist-or-ankle initial false alarm withdrawn; must preserve execution correction_basis. No universal component missing,personal schedule/current adoption/package unknown not sole blockers."</t>
  </si>
  <si>
    <t xml:space="preserve">qa-b24-full-review-20261026/issues-and-clarifications.json#/records/15/independent_qa_conclusion</t>
  </si>
  <si>
    <t xml:space="preserve">independent-qa.json#/documents/issues-and-clarifications.json/records/15/independent_qa_conclusion</t>
  </si>
  <si>
    <t xml:space="preserve">175a5a0f67d45e25ead7046d8ab7a7e9a8c45e7b5878628704e0178013f71980</t>
  </si>
  <si>
    <t xml:space="preserve">[1,2,3,4,36,64,65]</t>
  </si>
  <si>
    <t xml:space="preserve">{"item":"2019 replaces whole16/17 and15.1;16.4 makes qard repayment precede50/50.17.1 wording does not establish actual double deduction. Old RM10 return to fund superseded.","pages":[1,2,3,4,36,64,65]}</t>
  </si>
  <si>
    <t xml:space="preserve">qa-b24-full-review-20261026/issues-and-clarifications.json#/records/15/execution_findings_and_clarifications_preserved/clarified_or_superseded_items/0</t>
  </si>
  <si>
    <t xml:space="preserve">independent-qa.json#/documents/issues-and-clarifications.json/records/15/execution_findings_and_clarifications_preserved/clarified_or_superseded_items/0</t>
  </si>
  <si>
    <t xml:space="preserve">180bd8ab3bd7280a203185738555f7285e530d0769ac1f7e625e424e1b8e9b58</t>
  </si>
  <si>
    <t xml:space="preserve">[5,9,11,16,40,69]</t>
  </si>
  <si>
    <t xml:space="preserve">{"item":"2018 notwithstanding controls base disease/infection exclusions for specified diseases; specific smaller-TPD continuation controls remaining death cover.","pages":[5,9,11,16,40,69]}</t>
  </si>
  <si>
    <t xml:space="preserve">qa-b24-full-review-20261026/issues-and-clarifications.json#/records/15/execution_findings_and_clarifications_preserved/clarified_or_superseded_items/1</t>
  </si>
  <si>
    <t xml:space="preserve">independent-qa.json#/documents/issues-and-clarifications.json/records/15/execution_findings_and_clarifications_preserved/clarified_or_superseded_items/1</t>
  </si>
  <si>
    <t xml:space="preserve">436651bf36693f6ae8bee058472e4226287fc20a1b7349ffa0536e3e91a6f32a</t>
  </si>
  <si>
    <t xml:space="preserve">[19,20,21,22,32,35,61,63]</t>
  </si>
  <si>
    <t xml:space="preserve">{"item":"2015 whole contract clause2 replacement and10.3 deletion applied; both language endorsements expressly effective2015-01-01. Old wording not retained as live issue.","pages":[19,20,21,22,32,35,61,63]}</t>
  </si>
  <si>
    <t xml:space="preserve">qa-b24-full-review-20261026/issues-and-clarifications.json#/records/15/execution_findings_and_clarifications_preserved/clarified_or_superseded_items/2</t>
  </si>
  <si>
    <t xml:space="preserve">independent-qa.json#/documents/issues-and-clarifications.json/records/15/execution_findings_and_clarifications_preserved/clarified_or_superseded_items/2</t>
  </si>
  <si>
    <t xml:space="preserve">91a8081ca8669fe55ad90b14a2e18094cd473dbbda45f5a64da47448eb3fb11c</t>
  </si>
  <si>
    <t xml:space="preserve">[17,18,50,78]</t>
  </si>
  <si>
    <t xml:space="preserve">{"item":"OFS PA013 replacement matches actual notice annexure; no Ladies PA014 reference issue in this member.","pages":[17,18,50,78]}</t>
  </si>
  <si>
    <t xml:space="preserve">qa-b24-full-review-20261026/issues-and-clarifications.json#/records/15/execution_findings_and_clarifications_preserved/clarified_or_superseded_items/3</t>
  </si>
  <si>
    <t xml:space="preserve">independent-qa.json#/documents/issues-and-clarifications.json/records/15/execution_findings_and_clarifications_preserved/clarified_or_superseded_items/3</t>
  </si>
  <si>
    <t xml:space="preserve">e756a25d71900b41fd1fa36acfece194b293e66a9079c3ce52c0ecfeaf721785</t>
  </si>
  <si>
    <t xml:space="preserve">[37,40,66,68]</t>
  </si>
  <si>
    <t xml:space="preserve">{"item":"Boxing absent from Malay hazardous-hobby examples but present in English. Both exclude unlisted sports and retain broad hazardous catch-all; boxing absent from both covered-leisure lists. No active coverage divergence established from the example omission.","pages":[37,40,66,68]}</t>
  </si>
  <si>
    <t xml:space="preserve">qa-b24-full-review-20261026/issues-and-clarifications.json#/records/15/execution_findings_and_clarifications_preserved/clarified_or_superseded_items/4</t>
  </si>
  <si>
    <t xml:space="preserve">independent-qa.json#/documents/issues-and-clarifications.json/records/15/execution_findings_and_clarifications_preserved/clarified_or_superseded_items/4</t>
  </si>
  <si>
    <t xml:space="preserve">eee4349348e2c9139c3a7a85ef989c63c0a781895dc5114fc3fbd33edfcbac99</t>
  </si>
  <si>
    <t xml:space="preserve">{"item":"Specific first NCD entitlement at second anniversary qualifies generic one-year statement in both languages.","pages":[45,73]}</t>
  </si>
  <si>
    <t xml:space="preserve">qa-b24-full-review-20261026/issues-and-clarifications.json#/records/15/execution_findings_and_clarifications_preserved/clarified_or_superseded_items/5</t>
  </si>
  <si>
    <t xml:space="preserve">independent-qa.json#/documents/issues-and-clarifications.json/records/15/execution_findings_and_clarifications_preserved/clarified_or_superseded_items/5</t>
  </si>
  <si>
    <t xml:space="preserve">b8dee3b20ebdc1ff6a36bcbb6b524aa61568519336c00294f085a9c267f8d256</t>
  </si>
  <si>
    <t xml:space="preserve">[29,38,57,67]</t>
  </si>
  <si>
    <t xml:space="preserve">{"item":"Generic child-age inclusive language read with explicit termination on attaining21 or23 for full-time students; not automatically extension.","pages":[29,38,57,67]}</t>
  </si>
  <si>
    <t xml:space="preserve">qa-b24-full-review-20261026/issues-and-clarifications.json#/records/15/execution_findings_and_clarifications_preserved/clarified_or_superseded_items/6</t>
  </si>
  <si>
    <t xml:space="preserve">independent-qa.json#/documents/issues-and-clarifications.json/records/15/execution_findings_and_clarifications_preserved/clarified_or_superseded_items/6</t>
  </si>
  <si>
    <t xml:space="preserve">91424fa49e38ac09e95f8d74d5a08a4961ea94619da4c00c69741fcc9f9c5424</t>
  </si>
  <si>
    <t xml:space="preserve">[7,13,35,63]</t>
  </si>
  <si>
    <t xml:space="preserve">{"item":"2018 incontestability expressly preserves reinstatement provisions; remaining specific reinstatement rules are not automatically displaced.","pages":[7,13,35,63]}</t>
  </si>
  <si>
    <t xml:space="preserve">qa-b24-full-review-20261026/issues-and-clarifications.json#/records/15/execution_findings_and_clarifications_preserved/clarified_or_superseded_items/7</t>
  </si>
  <si>
    <t xml:space="preserve">independent-qa.json#/documents/issues-and-clarifications.json/records/15/execution_findings_and_clarifications_preserved/clarified_or_superseded_items/7</t>
  </si>
  <si>
    <t xml:space="preserve">c2e0eb7f80ba80ade7a46356fa313d3b88cc172514332e47628ff3d427881cf1</t>
  </si>
  <si>
    <t xml:space="preserve">[23,51,59]</t>
  </si>
  <si>
    <t xml:space="preserve">{"item":"LiveLife+ appears on both covers despite filename omitting plus; Malay mobility ADL substance present despite absent numeral; no missing body inferred.","pages":[23,51,59]}</t>
  </si>
  <si>
    <t xml:space="preserve">qa-b24-full-review-20261026/issues-and-clarifications.json#/records/15/execution_findings_and_clarifications_preserved/clarified_or_superseded_items/8</t>
  </si>
  <si>
    <t xml:space="preserve">independent-qa.json#/documents/issues-and-clarifications.json/records/15/execution_findings_and_clarifications_preserved/clarified_or_superseded_items/8</t>
  </si>
  <si>
    <t xml:space="preserve">0a037b849c04745dd25f28feaccd88916576639a986bb96ccf14871354326a67</t>
  </si>
  <si>
    <t xml:space="preserve">"Current adoption, sale, personal issuance and exhaustive amendment history remain unknown and are not sole strict blockers."</t>
  </si>
  <si>
    <t xml:space="preserve">qa-b24-full-review-20261026/issues-and-clarifications.json#/records/15/execution_findings_and_clarifications_preserved/source_and_package_boundaries/0</t>
  </si>
  <si>
    <t xml:space="preserve">independent-qa.json#/documents/issues-and-clarifications.json/records/15/execution_findings_and_clarifications_preserved/source_and_package_boundaries/0</t>
  </si>
  <si>
    <t xml:space="preserve">62c7d4abf3ffb84cb1de9bacce1d70a1d5cbbeeac2b9903c1e3845bd35a8e2f7</t>
  </si>
  <si>
    <t xml:space="preserve">"Two codes in one generic product wording do not establish two independent products or named holder/channel mapping."</t>
  </si>
  <si>
    <t xml:space="preserve">qa-b24-full-review-20261026/issues-and-clarifications.json#/records/15/execution_findings_and_clarifications_preserved/source_and_package_boundaries/1</t>
  </si>
  <si>
    <t xml:space="preserve">independent-qa.json#/documents/issues-and-clarifications.json/records/15/execution_findings_and_clarifications_preserved/source_and_package_boundaries/1</t>
  </si>
  <si>
    <t xml:space="preserve">3e71a319e7904a8d6db05d8d4aa975774759879ca38856cbbd80ff57d0f4fcd0</t>
  </si>
  <si>
    <t xml:space="preserve">"Generic benefit and fee tables present; personal certificate/schedule, selected tier and optional combos remain unknown."</t>
  </si>
  <si>
    <t xml:space="preserve">qa-b24-full-review-20261026/issues-and-clarifications.json#/records/15/execution_findings_and_clarifications_preserved/source_and_package_boundaries/2</t>
  </si>
  <si>
    <t xml:space="preserve">independent-qa.json#/documents/issues-and-clarifications.json/records/15/execution_findings_and_clarifications_preserved/source_and_package_boundaries/2</t>
  </si>
  <si>
    <t xml:space="preserve">b0d2f59cc3898336b79e852d5c7f099f004049e6aae5f5d11d5a5a228cfa060a</t>
  </si>
  <si>
    <t xml:space="preserve">"PDF creation2019-12-04 and code date are not printed base edition; English and Malay printed1–27 are complete as present."</t>
  </si>
  <si>
    <t xml:space="preserve">qa-b24-full-review-20261026/issues-and-clarifications.json#/records/15/execution_findings_and_clarifications_preserved/source_and_package_boundaries/3</t>
  </si>
  <si>
    <t xml:space="preserve">independent-qa.json#/documents/issues-and-clarifications.json/records/15/execution_findings_and_clarifications_preserved/source_and_package_boundaries/3</t>
  </si>
  <si>
    <t xml:space="preserve">58bb56b8d0da6f764f54e8dc966eae538c3820be519a11e0069325c767ad8984</t>
  </si>
  <si>
    <t xml:space="preserve">{"boundary":"Not a definitive assertion that English restricts robbery location, not an established different claim outcome, and not contract invalidity.","confirmation":"Paired ordinary216dpi visual recheck.","finding":"English PA0111.3(a) includes at the ATM itself after withdrawal wording; phrase can attach to withdrawal or incident. Malay states within30minutes after withdrawal from that ATM without the same explicit location phrase. Both independently provide an OR1km branch. No present amendment or language-precedence provision settles the attachment. Narrow body-scope ambiguity remains for reconciliation.","id":"016-F1","pages":[48,76],"topic":"ATM time-branch location phrase attachment"}</t>
  </si>
  <si>
    <t xml:space="preserve">qa-b24-full-review-20261026/issues-and-clarifications.json#/records/15/execution_findings_and_clarifications_preserved/substantive_unresolved_findings/0</t>
  </si>
  <si>
    <t xml:space="preserve">independent-qa.json#/documents/issues-and-clarifications.json/records/15/execution_findings_and_clarifications_preserved/substantive_unresolved_findings/0</t>
  </si>
  <si>
    <t xml:space="preserve">fb5efa5a6e6eb09ca292e9d008701768dfbcdab7917544af4b0fce05595d39d1</t>
  </si>
  <si>
    <t xml:space="preserve">{"holder":"Institution named in master schedule; full holder names not established by the present generic body.","master_codes":["CIMB-LL002-06012014","CIMBI-LL002-06012014"],"operator":"Sun Life Malaysia Takaful Berhad","owner_mutation":false,"product":"LiveLife+ (Takaful LifeStyle PA series)"}</t>
  </si>
  <si>
    <t xml:space="preserve">qa-b24-full-review-20261026/accepted-rows.json#/15/identity_observations</t>
  </si>
  <si>
    <t xml:space="preserve">independent-qa.json#/documents/accepted-rows.json/15/identity_observations</t>
  </si>
  <si>
    <t xml:space="preserve">ec16e12b307cee2ba7f301295b1dfcd363223b55788cad716835485b03491a86</t>
  </si>
  <si>
    <t xml:space="preserve">{"effect_boundary":"Narrow terminology-scope uncertainty only, not proof all knee injuries are excluded, that BM necessarily excludes more, of actual claim denial, or invalidity.","finding":"PA009 1.3(e) EN excludes kneecaps among other fractures; BM excludes lutut. Anatomical reach is not defined or reconciled in the complete file. Both versions separately include knee dislocation under 1.3(f).","issue_id":"017-broken-bones-anatomical-term","physical_pages":[41,69]}</t>
  </si>
  <si>
    <t xml:space="preserve">qa-b24-full-review-20261026/issues-and-clarifications.json#/records/16/issues/0</t>
  </si>
  <si>
    <t xml:space="preserve">independent-qa.json#/documents/issues-and-clarifications.json/records/16/issues/0</t>
  </si>
  <si>
    <t xml:space="preserve">e82cccbc7f94af847a0c9112826b83acdb943dc495089c669c754b05a32e514d</t>
  </si>
  <si>
    <t xml:space="preserve">[1,2,3,4,32,60]</t>
  </si>
  <si>
    <t xml:space="preserve">{"correction_basis":"2019 expressly replaces old fund/surplus wording and &lt;=RM10 return-to-fund; 55%/40% contribution wakalah differs from 50% surplus share, no double-deduction demonstrated.","physical_pages":[1,2,3,4,32,60],"status":"cleared"}</t>
  </si>
  <si>
    <t xml:space="preserve">qa-b24-full-review-20261026/issues-and-clarifications.json#/records/16/clarifications/0</t>
  </si>
  <si>
    <t xml:space="preserve">independent-qa.json#/documents/issues-and-clarifications.json/records/16/clarifications/0</t>
  </si>
  <si>
    <t xml:space="preserve">f71965eee28811549767c4c8b90e894a0e4cd1bebed79329cfd5eeca81a3a04f</t>
  </si>
  <si>
    <t xml:space="preserve">[5,8,9,10,11,14,15,16,35,63,64]</t>
  </si>
  <si>
    <t xml:space="preserve">{"correction_basis":"2018 notwithstanding clauses add specified diseases despite older disease/mosquito/infection exclusions; partial infectious-TPD residual-death provision qualifies generic termination.","physical_pages":[5,8,9,10,11,14,15,16,35,63,64],"status":"cleared"}</t>
  </si>
  <si>
    <t xml:space="preserve">qa-b24-full-review-20261026/issues-and-clarifications.json#/records/16/clarifications/1</t>
  </si>
  <si>
    <t xml:space="preserve">independent-qa.json#/documents/issues-and-clarifications.json/records/16/clarifications/1</t>
  </si>
  <si>
    <t xml:space="preserve">1fafbbc8b29b7e0fdd8bb857f214ff7b9fbf0609fc690c213db38cac0402a3f9</t>
  </si>
  <si>
    <t xml:space="preserve">{"correction_basis":"OFS amendment targets PA013, the actual important-notice annexure in both languages; old FMB contact is superseded. This is not Ladies PA014 numbering.","physical_pages":[17,18,46,74],"status":"cleared"}</t>
  </si>
  <si>
    <t xml:space="preserve">qa-b24-full-review-20261026/issues-and-clarifications.json#/records/16/clarifications/2</t>
  </si>
  <si>
    <t xml:space="preserve">independent-qa.json#/documents/issues-and-clarifications.json/records/16/clarifications/2</t>
  </si>
  <si>
    <t xml:space="preserve">2cfb7293cc7272e9e16cc459cb8a613ab54fa82c7f0ac62fb74795932a0fac3b</t>
  </si>
  <si>
    <t xml:space="preserve">[27,55]</t>
  </si>
  <si>
    <t xml:space="preserve">{"correction_basis":"BM pre-existing definition includes prior/current treatment in introduction plus three bullets, preserving EN four limbs; no missing treatment criterion.","physical_pages":[27,55],"status":"cleared"}</t>
  </si>
  <si>
    <t xml:space="preserve">qa-b24-full-review-20261026/issues-and-clarifications.json#/records/16/clarifications/3</t>
  </si>
  <si>
    <t xml:space="preserve">independent-qa.json#/documents/issues-and-clarifications.json/records/16/clarifications/3</t>
  </si>
  <si>
    <t xml:space="preserve">2881a02560ce682c47611c928118a0030efba5e75ef07247adf6c312432eebf1</t>
  </si>
  <si>
    <t xml:space="preserve">[43,44,71,72]</t>
  </si>
  <si>
    <t xml:space="preserve">{"correction_basis":"Medical and ambulance reimburse only unpaid balance after third-party reimbursement in both languages, not opposite deduction directions.","physical_pages":[43,44,71,72],"status":"cleared"}</t>
  </si>
  <si>
    <t xml:space="preserve">qa-b24-full-review-20261026/issues-and-clarifications.json#/records/16/clarifications/4</t>
  </si>
  <si>
    <t xml:space="preserve">independent-qa.json#/documents/issues-and-clarifications.json/records/16/clarifications/4</t>
  </si>
  <si>
    <t xml:space="preserve">fb7ed88bb1f24ea2d3229f943e371e49b9d3a84d83fb9da4268235a5b4055cd7</t>
  </si>
  <si>
    <t xml:space="preserve">[39,67]</t>
  </si>
  <si>
    <t xml:space="preserve">{"correction_basis":"Both accidental TPD riders require age six inclusive and 180 days; generic benefit age is not proof of Senior entry eligibility.","physical_pages":[39,67],"status":"cleared"}</t>
  </si>
  <si>
    <t xml:space="preserve">qa-b24-full-review-20261026/issues-and-clarifications.json#/records/16/clarifications/5</t>
  </si>
  <si>
    <t xml:space="preserve">independent-qa.json#/documents/issues-and-clarifications.json/records/16/clarifications/5</t>
  </si>
  <si>
    <t xml:space="preserve">ba923e6bffb0298da5e3f26b3af7779f05eefa01c3e154d6cd87999aa96c6d3c</t>
  </si>
  <si>
    <t xml:space="preserve">{"correction_basis":"Both legal-proceeding additions say before-expiry two-year wording; do not reinterpret as opposite after-event limitation.","physical_pages":[8,14],"status":"cleared"}</t>
  </si>
  <si>
    <t xml:space="preserve">qa-b24-full-review-20261026/issues-and-clarifications.json#/records/16/clarifications/6</t>
  </si>
  <si>
    <t xml:space="preserve">independent-qa.json#/documents/issues-and-clarifications.json/records/16/clarifications/6</t>
  </si>
  <si>
    <t xml:space="preserve">82e2625001bf42330b27222acea193de46c957e5eb9529115142b3a94ac9603a</t>
  </si>
  <si>
    <t xml:space="preserve">[28,29,55,56]</t>
  </si>
  <si>
    <t xml:space="preserve">{"correction_basis":"BM pergelangan tangan atau kaki uses shared pergelangan across wrist/ankle phrase. An isolated kaki reading does not establish feet-only instead of ankle, so anatomical TPD divergence is withdrawn; separate PA009 kneecaps/lutut question remains.","physical_pages":[28,29,55,56],"status":"retracted_false_positive"}</t>
  </si>
  <si>
    <t xml:space="preserve">qa-b24-full-review-20261026/issues-and-clarifications.json#/records/16/clarifications/7</t>
  </si>
  <si>
    <t xml:space="preserve">independent-qa.json#/documents/issues-and-clarifications.json/records/16/clarifications/7</t>
  </si>
  <si>
    <t xml:space="preserve">aea31a2b3084e211c3e847161913ce46787705d7953930a9b28ababe65ae7a6f</t>
  </si>
  <si>
    <t xml:space="preserve">"All listed base annexures, benefit/fee schedules and optional Combo A/B bodies are present; personal certificate, entry particulars and selected optional riders remain unproved but are not this file-level veto."</t>
  </si>
  <si>
    <t xml:space="preserve">qa-b24-full-review-20261026/issues-and-clarifications.json#/records/16/other_body_component_version_questions/0</t>
  </si>
  <si>
    <t xml:space="preserve">independent-qa.json#/documents/issues-and-clarifications.json/records/16/other_body_component_version_questions/0</t>
  </si>
  <si>
    <t xml:space="preserve">5445d8cb313f2e68f8c223087a3a4a886ae1473b0ea927edfe072fd9f2309d49</t>
  </si>
  <si>
    <t xml:space="preserve">"No ATM robbery benefit is listed or present; do not import Ladies/Executive ATM questions into Senior."</t>
  </si>
  <si>
    <t xml:space="preserve">qa-b24-full-review-20261026/issues-and-clarifications.json#/records/16/other_body_component_version_questions/1</t>
  </si>
  <si>
    <t xml:space="preserve">independent-qa.json#/documents/issues-and-clarifications.json/records/16/other_body_component_version_questions/1</t>
  </si>
  <si>
    <t xml:space="preserve">40b4ece0b618c0dbc81900c173a849a1fa9a70cb27888be50d3f7ee122b2d295</t>
  </si>
  <si>
    <t xml:space="preserve">"PA009 1.3(d) EN upper arm/forearm versus BM lengan/tangan is anatomical translation context, not independent demonstrated benefit exclusion; retain narrow 1.3(e) question without extending it to a claims outcome."</t>
  </si>
  <si>
    <t xml:space="preserve">qa-b24-full-review-20261026/issues-and-clarifications.json#/records/16/other_body_component_version_questions/2</t>
  </si>
  <si>
    <t xml:space="preserve">independent-qa.json#/documents/issues-and-clarifications.json/records/16/other_body_component_version_questions/2</t>
  </si>
  <si>
    <t xml:space="preserve">93170a57453bb04ce98e4d7b72087b684f39055ecde9c37ef72b695b62a18cb6</t>
  </si>
  <si>
    <t xml:space="preserve">"Undated OFS and historical statute/contact/age75 terms do not establish current adoption, current law or complete issued contract package; multiple bank reference codes do not create independent products."</t>
  </si>
  <si>
    <t xml:space="preserve">qa-b24-full-review-20261026/issues-and-clarifications.json#/records/16/other_body_component_version_questions/3</t>
  </si>
  <si>
    <t xml:space="preserve">independent-qa.json#/documents/issues-and-clarifications.json/records/16/other_body_component_version_questions/3</t>
  </si>
  <si>
    <t xml:space="preserve">2b05d8adf1a9f4ff165162423d65ba5c7347a85625adbc1091f8406876565ddc</t>
  </si>
  <si>
    <t xml:space="preserve">"2019 expressly replaces old fund/surplus wording and &lt;=RM10 return-to-fund; 55%/40% contribution wakalah differs from 50% surplus share, no double-deduction demonstrated."</t>
  </si>
  <si>
    <t xml:space="preserve">qa-b24-full-review-20261026/issues-and-clarifications.json#/records/16/correction_basis/0</t>
  </si>
  <si>
    <t xml:space="preserve">independent-qa.json#/documents/issues-and-clarifications.json/records/16/correction_basis/0</t>
  </si>
  <si>
    <t xml:space="preserve">3a57c7c0eca42aae25a89992bf66060f8da7c8b460f07188791d1e6675e5f5d4</t>
  </si>
  <si>
    <t xml:space="preserve">"2018 notwithstanding clauses add specified diseases despite older disease/mosquito/infection exclusions; partial infectious-TPD residual-death provision qualifies generic termination."</t>
  </si>
  <si>
    <t xml:space="preserve">qa-b24-full-review-20261026/issues-and-clarifications.json#/records/16/correction_basis/1</t>
  </si>
  <si>
    <t xml:space="preserve">independent-qa.json#/documents/issues-and-clarifications.json/records/16/correction_basis/1</t>
  </si>
  <si>
    <t xml:space="preserve">d43a4016b5b874816f473b83c12c7fa0517ddfe751e2d2649c8d3efa3688e02a</t>
  </si>
  <si>
    <t xml:space="preserve">"OFS amendment targets PA013, the actual important-notice annexure in both languages; old FMB contact is superseded. This is not Ladies PA014 numbering."</t>
  </si>
  <si>
    <t xml:space="preserve">qa-b24-full-review-20261026/issues-and-clarifications.json#/records/16/correction_basis/2</t>
  </si>
  <si>
    <t xml:space="preserve">independent-qa.json#/documents/issues-and-clarifications.json/records/16/correction_basis/2</t>
  </si>
  <si>
    <t xml:space="preserve">b5984f2b79b512bfd7a24ea58623e042cc4cb9913fd42c0eb2a7b38a1960f97e</t>
  </si>
  <si>
    <t xml:space="preserve">"BM pre-existing definition includes prior/current treatment in introduction plus three bullets, preserving EN four limbs; no missing treatment criterion."</t>
  </si>
  <si>
    <t xml:space="preserve">qa-b24-full-review-20261026/issues-and-clarifications.json#/records/16/correction_basis/3</t>
  </si>
  <si>
    <t xml:space="preserve">independent-qa.json#/documents/issues-and-clarifications.json/records/16/correction_basis/3</t>
  </si>
  <si>
    <t xml:space="preserve">719631dc131979dde5b55533c4d899f6e5b17905ed4d8445ed6eb0907d372fb0</t>
  </si>
  <si>
    <t xml:space="preserve">"Medical and ambulance reimburse only unpaid balance after third-party reimbursement in both languages, not opposite deduction directions."</t>
  </si>
  <si>
    <t xml:space="preserve">qa-b24-full-review-20261026/issues-and-clarifications.json#/records/16/correction_basis/4</t>
  </si>
  <si>
    <t xml:space="preserve">independent-qa.json#/documents/issues-and-clarifications.json/records/16/correction_basis/4</t>
  </si>
  <si>
    <t xml:space="preserve">3ea2fcfbd7bdb6682885473f4e41d26dcdcc14a127f152d13bbc1ad87a377a1c</t>
  </si>
  <si>
    <t xml:space="preserve">"Both accidental TPD riders require age six inclusive and 180 days; generic benefit age is not proof of Senior entry eligibility."</t>
  </si>
  <si>
    <t xml:space="preserve">qa-b24-full-review-20261026/issues-and-clarifications.json#/records/16/correction_basis/5</t>
  </si>
  <si>
    <t xml:space="preserve">independent-qa.json#/documents/issues-and-clarifications.json/records/16/correction_basis/5</t>
  </si>
  <si>
    <t xml:space="preserve">67bf4a88ed7cf799d6aaef91a0e6c3417ba6991e85fe739986af0253aa491a72</t>
  </si>
  <si>
    <t xml:space="preserve">"Both legal-proceeding additions say before-expiry two-year wording; do not reinterpret as opposite after-event limitation."</t>
  </si>
  <si>
    <t xml:space="preserve">qa-b24-full-review-20261026/issues-and-clarifications.json#/records/16/correction_basis/6</t>
  </si>
  <si>
    <t xml:space="preserve">independent-qa.json#/documents/issues-and-clarifications.json/records/16/correction_basis/6</t>
  </si>
  <si>
    <t xml:space="preserve">3ac54934757cad63322b4d00ba12e9b22329b33bedcacf5e55e886ca6314b730</t>
  </si>
  <si>
    <t xml:space="preserve">"BM pergelangan tangan atau kaki uses shared pergelangan across wrist/ankle phrase. An isolated kaki reading does not establish feet-only instead of ankle, so anatomical TPD divergence is withdrawn; separate PA009 kneecaps/lutut question remains."</t>
  </si>
  <si>
    <t xml:space="preserve">qa-b24-full-review-20261026/issues-and-clarifications.json#/records/16/correction_basis/7</t>
  </si>
  <si>
    <t xml:space="preserve">independent-qa.json#/documents/issues-and-clarifications.json/records/16/correction_basis/7</t>
  </si>
  <si>
    <t xml:space="preserve">8134dfe213ed1e3f46fa3b115a0cdb5335191f899c3a7b09a136bfdba0c511b3</t>
  </si>
  <si>
    <t xml:space="preserve">qa-b24-full-review-20261026/accepted-rows.json#/16/version_boundary</t>
  </si>
  <si>
    <t xml:space="preserve">independent-qa.json#/documents/accepted-rows.json/16/version_boundary</t>
  </si>
  <si>
    <t xml:space="preserve">{"correction_basis":{"method":"Own present-file semantic visual review, with targeted high-resolution rechecks","page_proof":"independent-qa.json#/documents/page-review-proof.json/by_task/B24-MY-018","physical_pages":[1,2,3,4,28,35,36,56,63,64]},"original_clarification":{"finding":"2019 replaces original fund/surplus clauses including&lt;=RM10return-to-fund.70%/55%contribution wakalah and50%surplus share have different bases; repeated Qard references do not establish double deduction.","physical_pages":[1,2,3,4,28,35,36,56,63,64]},"qa_disposition":"independently_confirmed_after_full_visual_review"}</t>
  </si>
  <si>
    <t xml:space="preserve">qa-b24-full-review-20261026/issues-and-clarifications.json#/records/17/independent_clarification_dispositions/0</t>
  </si>
  <si>
    <t xml:space="preserve">independent-qa.json#/documents/issues-and-clarifications.json/records/17/independent_clarification_dispositions/0</t>
  </si>
  <si>
    <t xml:space="preserve">176dc3527b59314992e39efce0372f9e7cfc58acf33ef968904f02bcdaf1bd71</t>
  </si>
  <si>
    <t xml:space="preserve">{"correction_basis":{"method":"Own present-file semantic visual review, with targeted high-resolution rechecks","page_proof":"independent-qa.json#/documents/page-review-proof.json/by_task/B24-MY-018","physical_pages":[5,8,9,10,11,14,15,16,39,40,67,68]},"original_clarification":{"finding":"2018 notwithstanding wording adds specified-disease benefits despite older disease/mosquito/infection exclusions; proportional residual-death provision qualifies genericTPDtermination.","physical_pages":[5,8,9,10,11,14,15,16,39,40,67,68]},"qa_disposition":"independently_confirmed_after_full_visual_review"}</t>
  </si>
  <si>
    <t xml:space="preserve">qa-b24-full-review-20261026/issues-and-clarifications.json#/records/17/independent_clarification_dispositions/1</t>
  </si>
  <si>
    <t xml:space="preserve">independent-qa.json#/documents/issues-and-clarifications.json/records/17/independent_clarification_dispositions/1</t>
  </si>
  <si>
    <t xml:space="preserve">719948a59da6d16a5b2325fd75e288e9f6722ed740f4c411472ba24a7aec7e5c</t>
  </si>
  <si>
    <t xml:space="preserve">{"correction_basis":{"method":"Own present-file semantic visual review, with targeted high-resolution rechecks","page_proof":"independent-qa.json#/documents/page-review-proof.json/by_task/B24-MY-018","physical_pages":[17,18,50,78]},"original_clarification":{"finding":"Ombudsman amendment namesPA013,the actual important-notice annexure in both versions; old Bureau route is superseded,not a live competing route.","physical_pages":[17,18,50,78]},"qa_disposition":"independently_confirmed_after_full_visual_review"}</t>
  </si>
  <si>
    <t xml:space="preserve">qa-b24-full-review-20261026/issues-and-clarifications.json#/records/17/independent_clarification_dispositions/2</t>
  </si>
  <si>
    <t xml:space="preserve">independent-qa.json#/documents/issues-and-clarifications.json/records/17/independent_clarification_dispositions/2</t>
  </si>
  <si>
    <t xml:space="preserve">81dc94797e8f6a3ad307a0fc805c375c4dffc3ee1a5afa2a39fc00153962e3e0</t>
  </si>
  <si>
    <t xml:space="preserve">{"correction_basis":{"method":"Own present-file semantic visual review, with targeted high-resolution rechecks","page_proof":"independent-qa.json#/documents/page-review-proof.json/by_task/B24-MY-018","physical_pages":[19,20,21,22,32,34,60,62]},"original_clarification":{"finding":"2015 expressly replaces entire clause2,sets the IFSA2013 disclosure/remedy framework,deletes10.3 and adds tax clause28. Old clause2 and10.3 are not simultaneous live alternatives; no present-law or tax-rate opinion is made.","physical_pages":[19,20,21,22,32,34,60,62]},"qa_disposition":"independently_confirmed_after_full_visual_review"}</t>
  </si>
  <si>
    <t xml:space="preserve">qa-b24-full-review-20261026/issues-and-clarifications.json#/records/17/independent_clarification_dispositions/3</t>
  </si>
  <si>
    <t xml:space="preserve">independent-qa.json#/documents/issues-and-clarifications.json/records/17/independent_clarification_dispositions/3</t>
  </si>
  <si>
    <t xml:space="preserve">9eedb1ffe1a710fdd8c78fe23417ded8357798ec3e7e79b59ae2e230a3249b15</t>
  </si>
  <si>
    <t xml:space="preserve">{"correction_basis":{"method":"Own present-file semantic visual review, with targeted high-resolution rechecks","page_proof":"independent-qa.json#/documents/page-review-proof.json/by_task/B24-MY-018","physical_pages":[30,59]},"original_clarification":{"finding":"Malay pre-existing definition places prior/current treatment in the introductory sentence plus three bullets,preserving the English four-limb substance; no missing treatment criterion.","physical_pages":[30,59]},"qa_disposition":"independently_confirmed_after_full_visual_review"}</t>
  </si>
  <si>
    <t xml:space="preserve">qa-b24-full-review-20261026/issues-and-clarifications.json#/records/17/independent_clarification_dispositions/4</t>
  </si>
  <si>
    <t xml:space="preserve">independent-qa.json#/documents/issues-and-clarifications.json/records/17/independent_clarification_dispositions/4</t>
  </si>
  <si>
    <t xml:space="preserve">ed01009e0d31ef5c2f1e0675d26886965493c317501bf1ead6b5b9b747a609eb</t>
  </si>
  <si>
    <t xml:space="preserve">{"correction_basis":{"method":"Own present-file semantic visual review, with targeted high-resolution rechecks","page_proof":"independent-qa.json#/documents/page-review-proof.json/by_task/B24-MY-018","physical_pages":[47,75]},"original_clarification":{"finding":"English medical conditions use labels(a),(d)–(h),but all six operative conditions match Malay(a)–(f). Numbering-label anomaly does not establish missing coverage text.","physical_pages":[47,75]},"qa_disposition":"independently_confirmed_after_full_visual_review"}</t>
  </si>
  <si>
    <t xml:space="preserve">qa-b24-full-review-20261026/issues-and-clarifications.json#/records/17/independent_clarification_dispositions/5</t>
  </si>
  <si>
    <t xml:space="preserve">independent-qa.json#/documents/issues-and-clarifications.json/records/17/independent_clarification_dispositions/5</t>
  </si>
  <si>
    <t xml:space="preserve">095213e5d1a724dbb900b5ffaeb2a0efcf2157d130b8e0916f82e64688c354e3</t>
  </si>
  <si>
    <t xml:space="preserve">{"correction_basis":{"method":"Own present-file semantic visual review, with targeted high-resolution rechecks","page_proof":"independent-qa.json#/documents/page-review-proof.json/by_task/B24-MY-018","physical_pages":[47,48,75,76]},"original_clarification":{"finding":"Both medical/ambulance versions reimburse only expense balance beyond third-party reimbursement,not opposite deduction directions.","physical_pages":[47,48,75,76]},"qa_disposition":"independently_confirmed_after_full_visual_review"}</t>
  </si>
  <si>
    <t xml:space="preserve">qa-b24-full-review-20261026/issues-and-clarifications.json#/records/17/independent_clarification_dispositions/6</t>
  </si>
  <si>
    <t xml:space="preserve">independent-qa.json#/documents/issues-and-clarifications.json/records/17/independent_clarification_dispositions/6</t>
  </si>
  <si>
    <t xml:space="preserve">36295e4e3db822ec7240f4b67851674dfa2cb2a578e3cd64c4a5eb23ba7df560</t>
  </si>
  <si>
    <t xml:space="preserve">{"correction_basis":{"method":"Own present-file semantic visual review, with targeted high-resolution rechecks","page_proof":"independent-qa.json#/documents/page-review-proof.json/by_task/B24-MY-018","physical_pages":[39,67]},"original_clarification":{"finding":"English hazardous-sport examples explicitly include boxing; Malay retains hazardous-sport scope and restricted recreational-sport coverage. Omission of that illustrative word alone does not establish a coverage exception.","physical_pages":[39,67]},"qa_disposition":"independently_confirmed_after_full_visual_review"}</t>
  </si>
  <si>
    <t xml:space="preserve">qa-b24-full-review-20261026/issues-and-clarifications.json#/records/17/independent_clarification_dispositions/7</t>
  </si>
  <si>
    <t xml:space="preserve">independent-qa.json#/documents/issues-and-clarifications.json/records/17/independent_clarification_dispositions/7</t>
  </si>
  <si>
    <t xml:space="preserve">6f530e006278ebd76acabf355d655056098757e78b3d80f6a7a28d412c532628</t>
  </si>
  <si>
    <t xml:space="preserve">{"correction_basis":{"method":"Own present-file semantic visual review, with targeted high-resolution rechecks","page_proof":"independent-qa.json#/documents/page-review-proof.json/by_task/B24-MY-018","physical_pages":[43,71]},"original_clarification":{"finding":"Both accidentalTPD riders state age6inclusive and180days; generic wording is not independent proof of senior-product entry eligibility.","physical_pages":[43,71]},"qa_disposition":"independently_confirmed_after_full_visual_review"}</t>
  </si>
  <si>
    <t xml:space="preserve">qa-b24-full-review-20261026/issues-and-clarifications.json#/records/17/independent_clarification_dispositions/8</t>
  </si>
  <si>
    <t xml:space="preserve">independent-qa.json#/documents/issues-and-clarifications.json/records/17/independent_clarification_dispositions/8</t>
  </si>
  <si>
    <t xml:space="preserve">4073b3879ad425dd858eb734016cdda0e8039a18c8c7f34c4efdad00a3bd0345</t>
  </si>
  <si>
    <t xml:space="preserve">{"correction_basis":{"method":"Own present-file semantic visual review, with targeted high-resolution rechecks","page_proof":"independent-qa.json#/documents/page-review-proof.json/by_task/B24-MY-018","physical_pages":[8,14]},"original_clarification":{"finding":"Both2018 legal-proceeding clauses use before-expiry two-year waiting wording; no after-event limitation reversal inferred.","physical_pages":[8,14]},"qa_disposition":"independently_confirmed_after_full_visual_review"}</t>
  </si>
  <si>
    <t xml:space="preserve">qa-b24-full-review-20261026/issues-and-clarifications.json#/records/17/independent_clarification_dispositions/9</t>
  </si>
  <si>
    <t xml:space="preserve">independent-qa.json#/documents/issues-and-clarifications.json/records/17/independent_clarification_dispositions/9</t>
  </si>
  <si>
    <t xml:space="preserve">fc2c129e522064cd7dbbd2246f5a66abba4f1b56f3eda22f90842cd30d447432</t>
  </si>
  <si>
    <t xml:space="preserve">{"correction_basis":"Both separately cover knee luxation; fracture exclusion EN kneecaps versus BM lutut is undefined. High-resolution reading establishes words only, not medical equivalence or claim outcome.","disposition":"overbroad_inferences_disallowed_narrow_wording_question_retained","evidence":"independent-qa.json#/documents/page-review-proof.json/by_task/B24-MY-018","physical_pages":[45,73],"prior_candidate":"Kneecaps/lutut difference proves all knee injuries excluded or actual rejection"}</t>
  </si>
  <si>
    <t xml:space="preserve">qa-b24-full-review-20261026/issues-and-clarifications.json#/records/17/independent_corrections_and_dispositions/0</t>
  </si>
  <si>
    <t xml:space="preserve">independent-qa.json#/documents/issues-and-clarifications.json/records/17/independent_corrections_and_dispositions/0</t>
  </si>
  <si>
    <t xml:space="preserve">d6bcae41c8f6801adb466913b33b0f5ee65e46f118a540f0efd48c0e7edf73b0</t>
  </si>
  <si>
    <t xml:space="preserve">"Independent78pages+4HDconfirm PA0091.3(e) kneecaps vs lutut narrow anatomical-scope uncertainty p45/73; both separately cover knee dislocation. Not proven broader denial,medical equivalence,invalidity or actualclaim. All10executioncleareditems independentlyaffirmed:2019wholereplacement/differentfeeandsurplusbases,2018specificdisease/residualdeath,OFSactualPA013,2015whole2/10.3/tax,preexistingtreatmentinprose,medicalletteringonly,thirdpartyexcess,boxingcatchall,TPD6/180notentryeligibility,andbothlegalclausesbefore2years. Nouniversalcomponentmissing;personal package/current adoption not established."</t>
  </si>
  <si>
    <t xml:space="preserve">qa-b24-full-review-20261026/issues-and-clarifications.json#/records/17/independent_qa_conclusion</t>
  </si>
  <si>
    <t xml:space="preserve">independent-qa.json#/documents/issues-and-clarifications.json/records/17/independent_qa_conclusion</t>
  </si>
  <si>
    <t xml:space="preserve">e439e6633e4e202c473ce9ddf9187f57e084a545958abcc4f896bc7dd07b518f</t>
  </si>
  <si>
    <t xml:space="preserve">{"effect_boundary":"Narrow bilingual anatomical-scope uncertainty,not a finding that all knee injuries are excluded,that Malay necessarily excludes more,or that any claim would be denied. Both versions separately include knee dislocation.","issue":"PA0091.3(e) English names kneecaps in the other-fracture exclusions; Malay uses lutut. Exact anatomical reach is not defined or reconciled by an in-file amendment. Paired216dpi reading establishes the wording,not medical or legal equivalence.","physical_pages":[45,73]}</t>
  </si>
  <si>
    <t xml:space="preserve">qa-b24-full-review-20261026/issues-and-clarifications.json#/records/17/execution_findings_and_clarifications_preserved/substantive_open_issues/0</t>
  </si>
  <si>
    <t xml:space="preserve">independent-qa.json#/documents/issues-and-clarifications.json/records/17/execution_findings_and_clarifications_preserved/substantive_open_issues/0</t>
  </si>
  <si>
    <t xml:space="preserve">95f6701af893e83d7ec0be6e874ca03f29b86f1766bd4b20032ab3ccc3ca5505</t>
  </si>
  <si>
    <t xml:space="preserve">{"base_edition_date":null,"holder":"Full named master holder remains schedule-based; bank-code prefixes alone do not establish full holder identity.","master_codes":["CIMB-LLS002-06012014","CIMBI-LLS002-06012014"],"operator":"Sun Life Malaysia Takaful Berhad","owner_mutation":false,"product":"LiveLife Senior+ (Takaful LifeStyle PA series)","version_boundary":"Digits in reference code are not independent evidence of base edition; attached2015/2018/2019amendments and undatedOFS are observed file chronology only."}</t>
  </si>
  <si>
    <t xml:space="preserve">qa-b24-full-review-20261026/accepted-rows.json#/17/identity_observations</t>
  </si>
  <si>
    <t xml:space="preserve">independent-qa.json#/documents/accepted-rows.json/17/identity_observations</t>
  </si>
  <si>
    <t xml:space="preserve">d2a420a8c85ae352646a874a54b8c576ac1917fc91fa06c5bf0b9a09c7c0b757</t>
  </si>
  <si>
    <t xml:space="preserve">[5,6,8,9,10,11,12,14,15,16,27,35,53,62,63]</t>
  </si>
  <si>
    <t xml:space="preserve">{"finding":"Express 1 July 2018 notwithstanding incorporation adds six specified-infection death/TPD benefits and SID001/002 conditions. This specifically qualifies older accidental causation and illness/mosquito/infection exclusions within extension scope; not a cancellation of added benefits. Diagnostic proof and 30 days after last reinstatement remain literal.","physical_pages":[5,6,8,9,10,11,12,14,15,16,27,35,53,62,63]}</t>
  </si>
  <si>
    <t xml:space="preserve">qa-b24-full-review-20261026/issues-and-clarifications.json#/records/18/clarifications/0</t>
  </si>
  <si>
    <t xml:space="preserve">independent-qa.json#/documents/issues-and-clarifications.json/records/18/clarifications/0</t>
  </si>
  <si>
    <t xml:space="preserve">3369bac7dd88a9435684754f6bb8efcf9062ac2c20d475cefcef8014ca1c200a</t>
  </si>
  <si>
    <t xml:space="preserve">[9,10,15,16,33,34,60,61]</t>
  </si>
  <si>
    <t xml:space="preserve">{"finding":"SID002 specific partial-TPD residual death continuation qualifies general termination only within its scope. RM2 million aggregate, reduced future death sum and NCD removal do not imply all benefits universally continue.","physical_pages":[9,10,15,16,33,34,60,61]}</t>
  </si>
  <si>
    <t xml:space="preserve">qa-b24-full-review-20261026/issues-and-clarifications.json#/records/18/clarifications/1</t>
  </si>
  <si>
    <t xml:space="preserve">independent-qa.json#/documents/issues-and-clarifications.json/records/18/clarifications/1</t>
  </si>
  <si>
    <t xml:space="preserve">3ee15540d6988f2e8219e5493085c9e3effd32db15fa718bfe7381458b6398b9</t>
  </si>
  <si>
    <t xml:space="preserve">{"finding":"2019 expressly replaces Qard definition, tabarru15.1, whole fund16 and surplus17; linked references do not establish actual double deduction. Old ≤RM10 return-to-fund rule replaced with bank credit or charity absent details.","physical_pages":[1,2,3,4,31,32,58]}</t>
  </si>
  <si>
    <t xml:space="preserve">qa-b24-full-review-20261026/issues-and-clarifications.json#/records/18/clarifications/2</t>
  </si>
  <si>
    <t xml:space="preserve">independent-qa.json#/documents/issues-and-clarifications.json/records/18/clarifications/2</t>
  </si>
  <si>
    <t xml:space="preserve">e3d25ca12ed7f041dcf918f85b960368e5059aef5d46775d5f98b01810f14fbb</t>
  </si>
  <si>
    <t xml:space="preserve">{"finding":"Legal-proceedings wording literally prohibits action prior to expiration of two years in both languages; preserved, not silently inverted or externally validated.","physical_pages":[8,14]}</t>
  </si>
  <si>
    <t xml:space="preserve">qa-b24-full-review-20261026/issues-and-clarifications.json#/records/18/clarifications/3</t>
  </si>
  <si>
    <t xml:space="preserve">independent-qa.json#/documents/issues-and-clarifications.json/records/18/clarifications/3</t>
  </si>
  <si>
    <t xml:space="preserve">d40d11423ed5d4cebb310ca847c71e69f01f81cae54c388a8fdcab4671cbca65</t>
  </si>
  <si>
    <t xml:space="preserve">[23,24,40,49,50,67]</t>
  </si>
  <si>
    <t xml:space="preserve">{"finding":"Generic PA002 benefit and wakalah tables physically present. NCD20% following-year summary qualified by specific first entitlement second anniversary. Fees55% years1-2 and40% thereafter; no personal selection proved.","physical_pages":[23,24,40,49,50,67]}</t>
  </si>
  <si>
    <t xml:space="preserve">qa-b24-full-review-20261026/issues-and-clarifications.json#/records/18/clarifications/4</t>
  </si>
  <si>
    <t xml:space="preserve">independent-qa.json#/documents/issues-and-clarifications.json/records/18/clarifications/4</t>
  </si>
  <si>
    <t xml:space="preserve">ff999a7930d6f03c6701bcd1c838f666971e7c1e66a97a2cb60f6830a55e5fda</t>
  </si>
  <si>
    <t xml:space="preserve">[17,18,19,45,47,72]</t>
  </si>
  <si>
    <t xml:space="preserve">{"finding":"Undated OFS endorsement clearly replaces complaint-body target; absence of calendar date does not create competing benefit rule. Legacy issuer bridged by dated name-change notice. BM contents1/27 versus actual26/26 is denominator-only: all PA001-013 present.","physical_pages":[17,18,19,45,47,72]}</t>
  </si>
  <si>
    <t xml:space="preserve">qa-b24-full-review-20261026/issues-and-clarifications.json#/records/18/clarifications/5</t>
  </si>
  <si>
    <t xml:space="preserve">independent-qa.json#/documents/issues-and-clarifications.json/records/18/clarifications/5</t>
  </si>
  <si>
    <t xml:space="preserve">a992705420d2b00016a9556ee26dce136e90733bb96853bdda40bf4edaaee7ef</t>
  </si>
  <si>
    <t xml:space="preserve">[41,42,43,44,68,69,70,71]</t>
  </si>
  <si>
    <t xml:space="preserve">{"finding":"Snatch benefit has no ATM modifier. Rider combo only if schedules include it; medical48h/180days, ambulance180days, corrective above-neck age18/180days; other-payer excess, original bills, annual caps and NCD consequences retained.","physical_pages":[41,42,43,44,68,69,70,71]}</t>
  </si>
  <si>
    <t xml:space="preserve">qa-b24-full-review-20261026/issues-and-clarifications.json#/records/18/clarifications/6</t>
  </si>
  <si>
    <t xml:space="preserve">independent-qa.json#/documents/issues-and-clarifications.json/records/18/clarifications/6</t>
  </si>
  <si>
    <t xml:space="preserve">ebd9036352de78027c068761573aea320bc9f5ba089852e5cc00fe88d832f3c4</t>
  </si>
  <si>
    <t xml:space="preserve">"Full and strict are file-level review credit, not claim entitlement, current sale/adoption or complete personal issued package."</t>
  </si>
  <si>
    <t xml:space="preserve">qa-b24-full-review-20261026/issues-and-clarifications.json#/records/18/scope_caveats/0</t>
  </si>
  <si>
    <t xml:space="preserve">independent-qa.json#/documents/issues-and-clarifications.json/records/18/scope_caveats/0</t>
  </si>
  <si>
    <t xml:space="preserve">f930569e6c625e898eebcb68571d9edf1fab1be8453899965d69e1806d2590f9</t>
  </si>
  <si>
    <t xml:space="preserve">"Named holder, base edition, personal certificate and optional rider selection unestablished; source label preserved without registry verification."</t>
  </si>
  <si>
    <t xml:space="preserve">qa-b24-full-review-20261026/issues-and-clarifications.json#/records/18/scope_caveats/1</t>
  </si>
  <si>
    <t xml:space="preserve">independent-qa.json#/documents/issues-and-clarifications.json/records/18/scope_caveats/1</t>
  </si>
  <si>
    <t xml:space="preserve">b4a4142bd40a4c54fec13d0b9c35ab45b44f73c391f9ba0f3b636640901d2dc4</t>
  </si>
  <si>
    <t xml:space="preserve">"Comparison after independent020 review confirms different body name/code and wakalah tables; distinct SHA/body differences do not automatically establish an independent product. New independent-product credit remains zero."</t>
  </si>
  <si>
    <t xml:space="preserve">qa-b24-full-review-20261026/issues-and-clarifications.json#/records/18/scope_caveats/2</t>
  </si>
  <si>
    <t xml:space="preserve">independent-qa.json#/documents/issues-and-clarifications.json/records/18/scope_caveats/2</t>
  </si>
  <si>
    <t xml:space="preserve">e955bbd1f8086db30722662ee2bb55a6799af7fbbd35b06c8d3a4723f6ea8a1b</t>
  </si>
  <si>
    <t xml:space="preserve">{"finding":"2019 replacesQard,15.1,whole16/17;postQard50/50andno-claim/eligibilityconditions retained. RepeatedQardreference not actualdoubledebitproof;≤RM10oldreturnfund expressreplacementbankorcharity.","physical_pages":[1,2,3,4,34,35,61]}</t>
  </si>
  <si>
    <t xml:space="preserve">qa-b24-full-review-20261026/issues-and-clarifications.json#/records/19/clarifications/0</t>
  </si>
  <si>
    <t xml:space="preserve">independent-qa.json#/documents/issues-and-clarifications.json/records/19/clarifications/0</t>
  </si>
  <si>
    <t xml:space="preserve">2280fd697b5bcf0bd56f0268b6e541f000ba9757c0e08e25ce99c5ede74ac381</t>
  </si>
  <si>
    <t xml:space="preserve">[5,6,9,10,11,12,15,16,30,38,56,65,66]</t>
  </si>
  <si>
    <t xml:space="preserve">{"finding":"2018 express notwithstandingadds sixspecifiedinfectiondeath/TPD anddiagnosticrequirements,qualifiesoldaccidentcausation/infectionexclusions. SpecificlowerTPDresidualdeathcontinuation qualifiesgeneralterminationwithinextensiononly.","physical_pages":[5,6,9,10,11,12,15,16,30,38,56,65,66]}</t>
  </si>
  <si>
    <t xml:space="preserve">qa-b24-full-review-20261026/issues-and-clarifications.json#/records/19/clarifications/1</t>
  </si>
  <si>
    <t xml:space="preserve">independent-qa.json#/documents/issues-and-clarifications.json/records/19/clarifications/1</t>
  </si>
  <si>
    <t xml:space="preserve">c306c6e94f79523718b2d67c33d933f5ab1b8cb8768a1cc8b7080e66fb44d23e</t>
  </si>
  <si>
    <t xml:space="preserve">[19,20,21,22,31,33,57,60]</t>
  </si>
  <si>
    <t xml:space="preserve">{"finding":"2015-01-01expresswholeclause2 replacementwithdisclosures/IFSA2013Schedule9,10.3deletionandtaxaddition. Oldtextnotconcurrentliveconflict;survivingreinstatementclausesretainedand2018incontestabilitypreservesthem.","physical_pages":[19,20,21,22,31,33,57,60]}</t>
  </si>
  <si>
    <t xml:space="preserve">qa-b24-full-review-20261026/issues-and-clarifications.json#/records/19/clarifications/2</t>
  </si>
  <si>
    <t xml:space="preserve">independent-qa.json#/documents/issues-and-clarifications.json/records/19/clarifications/2</t>
  </si>
  <si>
    <t xml:space="preserve">9b4a313dd3a5ee641eea4a3e0ad4e27242222e494ee63c24947df3eab6e949b0</t>
  </si>
  <si>
    <t xml:space="preserve">[8,14,17,18,48,75]</t>
  </si>
  <si>
    <t xml:space="preserve">{"finding":"Literalbefore-two-yearslegalactionwordingpreservedbothlanguageswithoutenforceabilityconclusion. UndatedOFScomplaintreplacementclearlytargetsPA013,notbenefitversionuncertainty.","physical_pages":[8,14,17,18,48,75]}</t>
  </si>
  <si>
    <t xml:space="preserve">qa-b24-full-review-20261026/issues-and-clarifications.json#/records/19/clarifications/3</t>
  </si>
  <si>
    <t xml:space="preserve">independent-qa.json#/documents/issues-and-clarifications.json/records/19/clarifications/3</t>
  </si>
  <si>
    <t xml:space="preserve">42ef113ccad64285ff5976d788d92b7de1baa99bbad67e9662bb65d3aa9dc6eb</t>
  </si>
  <si>
    <t xml:space="preserve">[23,26,27,49,52,53]</t>
  </si>
  <si>
    <t xml:space="preserve">{"finding":"BothcoversandendorsementsLiveShield+despitefilenameomittingplus. CodeSLM-LS002-06012014notbaseeditiondate. ActualgenericPA002schedulepresent,wakalah70%years1-2/55%thereafter,not01955/40; nonewproductcredit.","physical_pages":[23,26,27,49,52,53]}</t>
  </si>
  <si>
    <t xml:space="preserve">qa-b24-full-review-20261026/issues-and-clarifications.json#/records/19/clarifications/4</t>
  </si>
  <si>
    <t xml:space="preserve">independent-qa.json#/documents/issues-and-clarifications.json/records/19/clarifications/4</t>
  </si>
  <si>
    <t xml:space="preserve">49bc748cc4393740e081ebba81bbc7295f00b7d862bffc476376bd932435d5be</t>
  </si>
  <si>
    <t xml:space="preserve">[36,38,63,65]</t>
  </si>
  <si>
    <t xml:space="preserve">{"finding":"ENboxingexampleomittedinBMhazardousavocationslist,butbothunlistedsportsexclusionandbroadhazardouscatchallpersist,andboxingabsentbothcoveredrecreationlists. Exampleomissiondoesnotestablishactivecoverageopposition.","physical_pages":[36,38,63,65]}</t>
  </si>
  <si>
    <t xml:space="preserve">qa-b24-full-review-20261026/issues-and-clarifications.json#/records/19/clarifications/5</t>
  </si>
  <si>
    <t xml:space="preserve">independent-qa.json#/documents/issues-and-clarifications.json/records/19/clarifications/5</t>
  </si>
  <si>
    <t xml:space="preserve">44d67c2fbf510cc4aa5a5e4fd075f074374003021b6b017e18cdd867a3bb14e0</t>
  </si>
  <si>
    <t xml:space="preserve">[28,37,43,47,54,64,70,74]</t>
  </si>
  <si>
    <t xml:space="preserve">{"finding":"NCD20%firstentitlementsecondanniversaryqualifiesgenericfollowing-yearrule. Child21/student23readwithexplicitattainmenttermination,noextrayear. Correctiveabove-neck age18inclusive/180daysallconditionspresentbothlanguages.","physical_pages":[28,37,43,47,54,64,70,74]}</t>
  </si>
  <si>
    <t xml:space="preserve">qa-b24-full-review-20261026/issues-and-clarifications.json#/records/19/clarifications/6</t>
  </si>
  <si>
    <t xml:space="preserve">independent-qa.json#/documents/issues-and-clarifications.json/records/19/clarifications/6</t>
  </si>
  <si>
    <t xml:space="preserve">c320f87f1dfaecc436b2a3ffd83e9360da35088b38daaff4f88c23803517f0e7</t>
  </si>
  <si>
    <t xml:space="preserve">[44,45,46,47,71,72,73,74]</t>
  </si>
  <si>
    <t xml:space="preserve">{"finding":"NoATMcomponent/weeklyincomeimport. Snatchonceyearpolicereport;optionalcomborequiresschedule/certificateselection;medical48hfirst/180dayslater,ambulance180days,corrective18+/180days;excessotherpayer,receiptsannualresetNCDretained.","physical_pages":[44,45,46,47,71,72,73,74]}</t>
  </si>
  <si>
    <t xml:space="preserve">qa-b24-full-review-20261026/issues-and-clarifications.json#/records/19/clarifications/7</t>
  </si>
  <si>
    <t xml:space="preserve">independent-qa.json#/documents/issues-and-clarifications.json/records/19/clarifications/7</t>
  </si>
  <si>
    <t xml:space="preserve">f989026a53576682fbfe93f711fbd962b82f0e12a87de7748eedb6d5b707eef9</t>
  </si>
  <si>
    <t xml:space="preserve">[24,48,50,75]</t>
  </si>
  <si>
    <t xml:space="preserve">{"finding":"ENconsecutive1-25andBM1-26allPA001-013actualpresent;layoutlengthdifferenceisnotmissingcomponent.","physical_pages":[24,48,50,75]}</t>
  </si>
  <si>
    <t xml:space="preserve">qa-b24-full-review-20261026/issues-and-clarifications.json#/records/19/clarifications/8</t>
  </si>
  <si>
    <t xml:space="preserve">independent-qa.json#/documents/issues-and-clarifications.json/records/19/clarifications/8</t>
  </si>
  <si>
    <t xml:space="preserve">a63d90c17baa90c94d55cd9adb6e1681bda044c6dd2608773d85067fce9e266e</t>
  </si>
  <si>
    <t xml:space="preserve">"Namedholder,personalcertificate/plan/riderselectionandbaseeditionunestablished;genericfileverifiednotpersonalpackagecomplete."</t>
  </si>
  <si>
    <t xml:space="preserve">qa-b24-full-review-20261026/issues-and-clarifications.json#/records/19/scope_caveats/0</t>
  </si>
  <si>
    <t xml:space="preserve">independent-qa.json#/documents/issues-and-clarifications.json/records/19/scope_caveats/0</t>
  </si>
  <si>
    <t xml:space="preserve">cdcff221e48c09190375c622858f994615031e75c5d530793939116584bc7a69</t>
  </si>
  <si>
    <t xml:space="preserve">"Currentadoption/current sale/claim entitlement/legal enforceabilitynotestablished;allneworiginalprimaryproductadoptionpackagegapcreditszero."</t>
  </si>
  <si>
    <t xml:space="preserve">qa-b24-full-review-20261026/issues-and-clarifications.json#/records/19/scope_caveats/1</t>
  </si>
  <si>
    <t xml:space="preserve">independent-qa.json#/documents/issues-and-clarifications.json/records/19/scope_caveats/1</t>
  </si>
  <si>
    <t xml:space="preserve">1112d1cdc571f5b9a600c371254ab8f8460270c693213359b7178dd65397b6ab</t>
  </si>
  <si>
    <t xml:space="preserve">"Distinctfrom019inbodynamecodeandfeetablesbutnotautomaticallynewindependentproduct."</t>
  </si>
  <si>
    <t xml:space="preserve">qa-b24-full-review-20261026/issues-and-clarifications.json#/records/19/scope_caveats/2</t>
  </si>
  <si>
    <t xml:space="preserve">independent-qa.json#/documents/issues-and-clarifications.json/records/19/scope_caveats/2</t>
  </si>
  <si>
    <t xml:space="preserve">3be87ab18a482349b326f3ce67b37f653f9076161c84ad17d4663fa0bebac65f</t>
  </si>
  <si>
    <t xml:space="preserve">记录ID</t>
  </si>
  <si>
    <t xml:space="preserve">本行性质</t>
  </si>
  <si>
    <t xml:space="preserve">既存工单</t>
  </si>
  <si>
    <t xml:space="preserve">窄核物理页</t>
  </si>
  <si>
    <t xml:space="preserve">纠正前／比较前状态</t>
  </si>
  <si>
    <t xml:space="preserve">当前状态</t>
  </si>
  <si>
    <t xml:space="preserve">原全审事实</t>
  </si>
  <si>
    <t xml:space="preserve">本次接受范围</t>
  </si>
  <si>
    <t xml:space="preserve">严格纠正增量</t>
  </si>
  <si>
    <t xml:space="preserve">本行计量条件</t>
  </si>
  <si>
    <t xml:space="preserve">新增纠正工单</t>
  </si>
  <si>
    <t xml:space="preserve">本行新增严格</t>
  </si>
  <si>
    <t xml:space="preserve">本行新增全文</t>
  </si>
  <si>
    <t xml:space="preserve">本行新增全审页数</t>
  </si>
  <si>
    <t xml:space="preserve">源复核定位</t>
  </si>
  <si>
    <t xml:space="preserve">归档复核定位</t>
  </si>
  <si>
    <t xml:space="preserve">本次判断依据</t>
  </si>
  <si>
    <t xml:space="preserve">保留边界</t>
  </si>
  <si>
    <t xml:space="preserve">历史QA定位</t>
  </si>
  <si>
    <t xml:space="preserve">私有纠正元数据包</t>
  </si>
  <si>
    <t xml:space="preserve">窄复核完成UTC</t>
  </si>
  <si>
    <t xml:space="preserve">既存原件成员</t>
  </si>
  <si>
    <t xml:space="preserve">原权限与方法</t>
  </si>
  <si>
    <t xml:space="preserve">B28-状态纠正-001</t>
  </si>
  <si>
    <t xml:space="preserve">状态纠正</t>
  </si>
  <si>
    <t xml:space="preserve">1、2、3、4、9、10、13、14、19、20、23、27、28、30、31、33、51</t>
  </si>
  <si>
    <t xml:space="preserve">已全审</t>
  </si>
  <si>
    <t xml:space="preserve">formula-review-consistency-20261026/review-result.json#/files/0</t>
  </si>
  <si>
    <t xml:space="preserve">review-report.json#/files/0</t>
  </si>
  <si>
    <t xml:space="preserve">正率与零率分支互斥，差值和不连续并非同一情形的竞争数值；未找到该命题的独立阻断。</t>
  </si>
  <si>
    <t xml:space="preserve">保留设计或应用解释；不证明精算合理、实际可赔、当前采用或个人合同包完整。</t>
  </si>
  <si>
    <t xml:space="preserve">historical-qa.json#/B24~1accepted-rows</t>
  </si>
  <si>
    <t xml:space="preserve">复制／打印均不允许；普通只读显示，无提取、OCR、打印、解锁或权限更改。</t>
  </si>
  <si>
    <t xml:space="preserve">B28-比较校验-001</t>
  </si>
  <si>
    <t xml:space="preserve">1、2、6、8、10、11、12、16、17、22、25、27、28、30、31、44</t>
  </si>
  <si>
    <t xml:space="preserve">比较限定</t>
  </si>
  <si>
    <t xml:space="preserve">formula-review-consistency-20261026/review-result.json#/files/1</t>
  </si>
  <si>
    <t xml:space="preserve">review-report.json#/files/1</t>
  </si>
  <si>
    <t xml:space="preserve">historical-qa.json#/B23~1accepted-rows</t>
  </si>
  <si>
    <t xml:space="preserve">B28-比较校验-002</t>
  </si>
  <si>
    <t xml:space="preserve">B25-MY-006</t>
  </si>
  <si>
    <t xml:space="preserve">23、28、31、32、33、48</t>
  </si>
  <si>
    <t xml:space="preserve">整批QA未终态</t>
  </si>
  <si>
    <t xml:space="preserve">不计已完成</t>
  </si>
  <si>
    <t xml:space="preserve">formula-review-consistency-20261026/review-result.json#/files/2</t>
  </si>
  <si>
    <t xml:space="preserve">review-report.json#/files/2</t>
  </si>
  <si>
    <t xml:space="preserve">只比较公式命题，整批QA及发布成果未计入；本行不增加工单、全文、严格或页数。</t>
  </si>
  <si>
    <t xml:space="preserve">acquisition-regional-my-id-th/originals/MY-SUN-072_Mortgage_Reducing_Term_Takaful_Contract_-_CIMB_Bank_Berhad_f5859e236a.pdf</t>
  </si>
  <si>
    <t xml:space="preserve">B28-比较校验-003</t>
  </si>
  <si>
    <t xml:space="preserve">B25-MY-007</t>
  </si>
  <si>
    <t xml:space="preserve">23、28、31、32、34、48</t>
  </si>
  <si>
    <t xml:space="preserve">formula-review-consistency-20261026/review-result.json#/files/3</t>
  </si>
  <si>
    <t xml:space="preserve">review-report.json#/files/3</t>
  </si>
  <si>
    <t xml:space="preserve">acquisition-regional-my-id-th/originals/MY-SUN-073_Mortgage_Reducing_Term_Takaful_Contract_-_CIMB_Islamic_Bank_Berhad_87e734910c.pdf</t>
  </si>
  <si>
    <t xml:space="preserve">判断与计量说明</t>
  </si>
  <si>
    <t xml:space="preserve">数值／状态</t>
  </si>
  <si>
    <t xml:space="preserve">事实与证据</t>
  </si>
  <si>
    <t xml:space="preserve">唯一纠正</t>
  </si>
  <si>
    <t xml:space="preserve">文件级</t>
  </si>
  <si>
    <t xml:space="preserve">原唯一阻断判定过严；当前verified，strict_eligible=true。原51页全文已审读事实不重复计量。</t>
  </si>
  <si>
    <t xml:space="preserve">历史链条</t>
  </si>
  <si>
    <t xml:space="preserve">全部保留</t>
  </si>
  <si>
    <t xml:space="preserve">B24历史</t>
  </si>
  <si>
    <t xml:space="preserve">执行verified、初步QA verified、最终QA needs_review、B28恢复verified依次保留。原B24表及逐项事实是发布时快照。</t>
  </si>
  <si>
    <t xml:space="preserve">历史与当前</t>
  </si>
  <si>
    <t xml:space="preserve">历史2／18；当前3／17</t>
  </si>
  <si>
    <t xml:space="preserve">B24</t>
  </si>
  <si>
    <t xml:space="preserve">历史verified2、needs_review18不改。当前追加更正后verified3、needs_review17。</t>
  </si>
  <si>
    <t xml:space="preserve">窄核页数</t>
  </si>
  <si>
    <t xml:space="preserve">17＋16＋6＋6＝45</t>
  </si>
  <si>
    <t xml:space="preserve">不是新全审</t>
  </si>
  <si>
    <t xml:space="preserve">B24-012 17页；B23-003 16页；B25-006及007各6页。比较行不是额外工单，不将45或原51页加到累计4250页。</t>
  </si>
  <si>
    <t xml:space="preserve">分段适用</t>
  </si>
  <si>
    <t xml:space="preserve">正率与零率互斥</t>
  </si>
  <si>
    <t xml:space="preserve">共同公式命题</t>
  </si>
  <si>
    <t xml:space="preserve">递延期与后续整数月区间不重叠；正率r&gt;0与零率r=0互斥。同一适用(r,t)和固定有效参数只有一个规定表达式。</t>
  </si>
  <si>
    <t xml:space="preserve">原公式保留</t>
  </si>
  <si>
    <t xml:space="preserve">不修补公式</t>
  </si>
  <si>
    <t xml:space="preserve">指数与分子</t>
  </si>
  <si>
    <t xml:space="preserve">正率指数12n−(t−1)，零率分子12n−t。
正率趋零极限与零率分支相差S/(12pp)。
该差值真实，但比较的是不同利率情形。</t>
  </si>
  <si>
    <t xml:space="preserve">月界解释</t>
  </si>
  <si>
    <t xml:space="preserve">非阻断</t>
  </si>
  <si>
    <t xml:space="preserve">设计或应用澄清</t>
  </si>
  <si>
    <t xml:space="preserve">未发现适用条款要求连续、共同摊还设计或正率终月归零。不以未解释设计选择本身推定同情形条文冲突。</t>
  </si>
  <si>
    <t xml:space="preserve">离散时间范围</t>
  </si>
  <si>
    <t xml:space="preserve">不外推日期</t>
  </si>
  <si>
    <t xml:space="preserve">个人应用未核</t>
  </si>
  <si>
    <t xml:space="preserve">不插值、不将真实理赔日擅自取整或假定月初月末，不把t=12n直接解释成期满后可赔事件。实际应用仍依赖个人签发资料及在保／事故条件。</t>
  </si>
  <si>
    <t xml:space="preserve">不是普遍豁免</t>
  </si>
  <si>
    <t xml:space="preserve">同情形证据仍可阻断</t>
  </si>
  <si>
    <t xml:space="preserve">其他问题不撤销</t>
  </si>
  <si>
    <t xml:space="preserve">若存在重叠触发、强制附表、冲突定义或其他适用条款给出不同结果，仍可阻断。仅本次公式命题未识别此类证据。</t>
  </si>
  <si>
    <t xml:space="preserve">B23比较</t>
  </si>
  <si>
    <t xml:space="preserve">不改变verified</t>
  </si>
  <si>
    <t xml:space="preserve">增量0</t>
  </si>
  <si>
    <t xml:space="preserve">B23-MY-003原独立QA已有分支解释，本命题未发现遗漏阻断。不是新一轮全文审读。</t>
  </si>
  <si>
    <t xml:space="preserve">B25比较</t>
  </si>
  <si>
    <t xml:space="preserve">未计整批成果</t>
  </si>
  <si>
    <t xml:space="preserve">006／007仅比较公式命题；英文Commencement Date与马来文Effective Date差别受明示英文优先约束。未见冲突个人金额表，不因此预认B25整批QA或发布。</t>
  </si>
  <si>
    <t xml:space="preserve">012保留边界</t>
  </si>
  <si>
    <t xml:space="preserve">来源及基础版次未证</t>
  </si>
  <si>
    <t xml:space="preserve">prior-to-2015来源标签、基础版次与当前采用未建立。主合同持有人、个人附表、金额、利率、日期未认证。</t>
  </si>
  <si>
    <t xml:space="preserve">012已澄清事项</t>
  </si>
  <si>
    <t xml:space="preserve">原事实保留</t>
  </si>
  <si>
    <t xml:space="preserve">马来文2020 GTFT003标题异常已由上下文解决；页脚跳号不抹除实际金融及公式附录。不导入其他文件的未注明日期退保费或RM350000区间问题。</t>
  </si>
  <si>
    <t xml:space="preserve">不扩大结论</t>
  </si>
  <si>
    <t xml:space="preserve">不证明精算设计合理、法律效力、实际可赔、现售、当前采用。
也不证明个人已签发、合同包完整、独立产品或产品缺口闭合。</t>
  </si>
  <si>
    <t xml:space="preserve">原件及权限</t>
  </si>
  <si>
    <t xml:space="preserve">未改变</t>
  </si>
  <si>
    <t xml:space="preserve">无新原件</t>
  </si>
  <si>
    <t xml:space="preserve">原SHA、成员、owner及权限保持。普通只读视觉窄复核，不提取、OCR、打印、解锁或授予复制转载许可。</t>
  </si>
  <si>
    <t xml:space="preserve">私有证据包</t>
  </si>
  <si>
    <t xml:space="preserve">原生v0，9成员</t>
  </si>
  <si>
    <t xml:space="preserve">精确回验</t>
  </si>
  <si>
    <t xml:space="preserve">纠正规格、审读报告、45页窄核证据、51页历史全审证据、历史QA及指纹均保留。下载入口仅在私有台账。</t>
  </si>
  <si>
    <t xml:space="preserve">当前发布</t>
  </si>
  <si>
    <t xml:space="preserve">三个固定索引远端字节及双私有指针已确认。</t>
  </si>
  <si>
    <t xml:space="preserve">恢复范围</t>
  </si>
  <si>
    <t xml:space="preserve">1334文件完整逻辑验证</t>
  </si>
  <si>
    <t xml:space="preserve">物理恢复0</t>
  </si>
  <si>
    <t xml:space="preserve">本次没有新物理恢复；不复用历史实际恢复作为本批证明。</t>
  </si>
  <si>
    <t xml:space="preserve">历史角色／内容工单</t>
  </si>
  <si>
    <t xml:space="preserve">执行逐页语义覆盖</t>
  </si>
  <si>
    <t xml:space="preserve">QA逐页语义覆盖</t>
  </si>
  <si>
    <t xml:space="preserve">此前主文标记</t>
  </si>
  <si>
    <t xml:space="preserve">严格问题及物理页</t>
  </si>
  <si>
    <t xml:space="preserve">本次实际发布</t>
  </si>
  <si>
    <t xml:space="preserve">QA接受严格状态</t>
  </si>
  <si>
    <t xml:space="preserve">范围边界与其他正文问题</t>
  </si>
  <si>
    <t xml:space="preserve">归档问题定位</t>
  </si>
  <si>
    <t xml:space="preserve">归档QA逐页证据</t>
  </si>
  <si>
    <t xml:space="preserve">此前已全审</t>
  </si>
  <si>
    <t xml:space="preserve">此前部分审读</t>
  </si>
  <si>
    <t xml:space="preserve">此前主角色</t>
  </si>
  <si>
    <t xml:space="preserve">本次接受主角色</t>
  </si>
  <si>
    <t xml:space="preserve">本次接受身份held</t>
  </si>
  <si>
    <t xml:space="preserve">身份held增量</t>
  </si>
  <si>
    <t xml:space="preserve">属于原角色90</t>
  </si>
  <si>
    <t xml:space="preserve">属于原138</t>
  </si>
  <si>
    <t xml:space="preserve">QA全文增量</t>
  </si>
  <si>
    <t xml:space="preserve">QA严格增量</t>
  </si>
  <si>
    <t xml:space="preserve">QA部分增量</t>
  </si>
  <si>
    <t xml:space="preserve">QA主角色增量</t>
  </si>
  <si>
    <t xml:space="preserve">此前身份held</t>
  </si>
  <si>
    <t xml:space="preserve">身份held适用</t>
  </si>
  <si>
    <t xml:space="preserve">B25-MY-001</t>
  </si>
  <si>
    <t xml:space="preserve">independent-qa.json#/batches/B25/documents/accepted-rows.json/0</t>
  </si>
  <si>
    <t xml:space="preserve">最终状态：needs_review；准确问题、页码及已撤回项目见B25-27复核事项!A2:I18</t>
  </si>
  <si>
    <t xml:space="preserve">来源标签保留；参考码、holder、基础版次及附加条款分别核对。完整身份观察与最终处置见B25-27复核事项!A2:I18</t>
  </si>
  <si>
    <t xml:space="preserve">完整现存组成、语言及物理页映射见B25-27复核事项!A2:I18</t>
  </si>
  <si>
    <t xml:space="preserve">执行与独立QA均对准确原件逐页普通只读显示及可靠语义复核；放大核对不另计物理页。最终接受时间按冻结接受记录，单件历史时间留在归档。</t>
  </si>
  <si>
    <t xml:space="preserve">qa-b25-full-review-20261026/accepted-rows.json#/0</t>
  </si>
  <si>
    <t xml:space="preserve">acquisition-regional-my-id-th/originals/MY-SUN-065_LiveSmart_Master_Contract_598ec941d8.pdf</t>
  </si>
  <si>
    <t xml:space="preserve">27d68cf950f95db964fe5d3a446ccf7d04052c2eb378c47b422be9295a81b628</t>
  </si>
  <si>
    <t xml:space="preserve">001-QA-F1；001-QA-F2；001-QA-C1；001-QA-C2；001-QA-C3；001-QA-C4；001-QA-C5；001-QA-C6</t>
  </si>
  <si>
    <t xml:space="preserve">不证明现售／当前采用、个人已签发或合同包完整。具体正文与范围问题见B25-27复核事项!A2:I18</t>
  </si>
  <si>
    <t xml:space="preserve">全部澄清、误报撤回、更正依据及非阻断边界见B25-27复核事项!A2:I18；批次补充历史在本表末段：A663:I1125。</t>
  </si>
  <si>
    <t xml:space="preserve">最终独立QA=needs_review；严格判定及全部纠正链见B25-27复核事项!A2:I18</t>
  </si>
  <si>
    <t xml:space="preserve">independent-qa.json#/batches/B25/documents/issues-and-clarifications.json/files/0</t>
  </si>
  <si>
    <t xml:space="preserve">execution-evidence.json#/batches/B25/documents/group3~1001-result.json</t>
  </si>
  <si>
    <t xml:space="preserve">BONUS-LS001-01062012</t>
  </si>
  <si>
    <t xml:space="preserve">未建立特定持有人；不由来源标签或参考码推定</t>
  </si>
  <si>
    <t xml:space="preserve">基础版次日期未建立；不把参考码、PDF元数据或批注日期当作基础版次</t>
  </si>
  <si>
    <t xml:space="preserve">LiveSmart, a plan under Takaful LifeStyle PA series</t>
  </si>
  <si>
    <t xml:space="preserve">qa-b25-full-review-20261026/issues-and-clarifications.json#/files/0</t>
  </si>
  <si>
    <t xml:space="preserve">fa89c85e6ac97ab75b6457a3706377ee41a591c515a9cf89dba4840baaed0c26</t>
  </si>
  <si>
    <t xml:space="preserve">execution-evidence.json#/batches/B25/documents/group3~1001-page-proof.jsonl</t>
  </si>
  <si>
    <t xml:space="preserve">accepted-summary.json#/rows/0/accepted_full_page_proof</t>
  </si>
  <si>
    <t xml:space="preserve">复制允许=false；打印允许=true。普通只读显示；未提取、OCR、打印、解锁或改变原件权限。</t>
  </si>
  <si>
    <t xml:space="preserve">B25</t>
  </si>
  <si>
    <t xml:space="preserve">B25-MY-002</t>
  </si>
  <si>
    <t xml:space="preserve">independent-qa.json#/batches/B25/documents/accepted-rows.json/1</t>
  </si>
  <si>
    <t xml:space="preserve">最终状态：needs_review；准确问题、页码及已撤回项目见B25-27复核事项!A19:I28</t>
  </si>
  <si>
    <t xml:space="preserve">来源标签保留；参考码、holder、基础版次及附加条款分别核对。完整身份观察与最终处置见B25-27复核事项!A19:I28</t>
  </si>
  <si>
    <t xml:space="preserve">完整现存组成、语言及物理页映射见B25-27复核事项!A19:I28</t>
  </si>
  <si>
    <t xml:space="preserve">qa-b25-full-review-20261026/accepted-rows.json#/1</t>
  </si>
  <si>
    <t xml:space="preserve">acquisition-regional-my-id-th/originals/MY-SUN-066_LiveSmart_Senior_Master_Contract_2acd14d908.pdf</t>
  </si>
  <si>
    <t xml:space="preserve">QA-002-F1；QA-002-F2；QA-002-C1；QA-002-C2</t>
  </si>
  <si>
    <t xml:space="preserve">不证明现售／当前采用、个人已签发或合同包完整。具体正文与范围问题见B25-27复核事项!A19:I28</t>
  </si>
  <si>
    <t xml:space="preserve">全部澄清、误报撤回、更正依据及非阻断边界见B25-27复核事项!A19:I28；批次补充历史在本表末段：A663:I1125。</t>
  </si>
  <si>
    <t xml:space="preserve">最终独立QA=needs_review；严格判定及全部纠正链见B25-27复核事项!A19:I28</t>
  </si>
  <si>
    <t xml:space="preserve">independent-qa.json#/batches/B25/documents/issues-and-clarifications.json/files/1</t>
  </si>
  <si>
    <t xml:space="preserve">execution-evidence.json#/batches/B25/documents/group1~1002-result.json</t>
  </si>
  <si>
    <t xml:space="preserve">BONUS-LSS001-01062012</t>
  </si>
  <si>
    <t xml:space="preserve">{"base_issuer":"CIMB Aviva Takaful Berhad","endorsement_issuer":"Sun Life Malaysia Takaful Berhad"}</t>
  </si>
  <si>
    <t xml:space="preserve">LiveSmart Senior</t>
  </si>
  <si>
    <t xml:space="preserve">qa-b25-full-review-20261026/issues-and-clarifications.json#/files/1</t>
  </si>
  <si>
    <t xml:space="preserve">d692e312f3acbdbb9951334c9e7d30f088f0475a0f50540f96e0c474df334fc4</t>
  </si>
  <si>
    <t xml:space="preserve">execution-evidence.json#/batches/B25/documents/group1~1002-page-proof.jsonl</t>
  </si>
  <si>
    <t xml:space="preserve">accepted-summary.json#/rows/1/accepted_full_page_proof</t>
  </si>
  <si>
    <t xml:space="preserve">B25-MY-003</t>
  </si>
  <si>
    <t xml:space="preserve">independent-qa.json#/batches/B25/documents/accepted-rows.json/2</t>
  </si>
  <si>
    <t xml:space="preserve">最终状态：needs_review；准确问题、页码及已撤回项目见B25-27复核事项!A29:I38</t>
  </si>
  <si>
    <t xml:space="preserve">来源标签保留；参考码、holder、基础版次及附加条款分别核对。完整身份观察与最终处置见B25-27复核事项!A29:I38</t>
  </si>
  <si>
    <t xml:space="preserve">完整现存组成、语言及物理页映射见B25-27复核事项!A29:I38</t>
  </si>
  <si>
    <t xml:space="preserve">qa-b25-full-review-20261026/accepted-rows.json#/2</t>
  </si>
  <si>
    <t xml:space="preserve">acquisition-regional-my-id-th/originals/MY-SUN-067_LiveSure_Ladies_Master_Contract_0067649d5e.pdf</t>
  </si>
  <si>
    <t xml:space="preserve">完整问题标识与事实见事项区</t>
  </si>
  <si>
    <t xml:space="preserve">不证明现售／当前采用、个人已签发或合同包完整。具体正文与范围问题见B25-27复核事项!A29:I38</t>
  </si>
  <si>
    <t xml:space="preserve">全部澄清、误报撤回、更正依据及非阻断边界见B25-27复核事项!A29:I38；批次补充历史在本表末段：A663:I1125。</t>
  </si>
  <si>
    <t xml:space="preserve">最终独立QA=needs_review；严格判定及全部纠正链见B25-27复核事项!A29:I38</t>
  </si>
  <si>
    <t xml:space="preserve">independent-qa.json#/batches/B25/documents/issues-and-clarifications.json/files/2</t>
  </si>
  <si>
    <t xml:space="preserve">execution-evidence.json#/batches/B25/documents/group2~1003-result.json</t>
  </si>
  <si>
    <t xml:space="preserve">BR-LSL001-19012015</t>
  </si>
  <si>
    <t xml:space="preserve">{"base_issuer":"Sun Life Malaysia Takaful Berhad","endorsement_issuer":"Sun Life Malaysia Takaful Berhad"}</t>
  </si>
  <si>
    <t xml:space="preserve">LiveSure Ladies (Takaful LifeStyle PA series)</t>
  </si>
  <si>
    <t xml:space="preserve">qa-b25-full-review-20261026/issues-and-clarifications.json#/files/2</t>
  </si>
  <si>
    <t xml:space="preserve">61a5f9e935d3a5dba1ca051dd2ddf61aeb7d66204dd74d75a7020bbe41b26bdb</t>
  </si>
  <si>
    <t xml:space="preserve">execution-evidence.json#/batches/B25/documents/group2~1003-page-proof.jsonl</t>
  </si>
  <si>
    <t xml:space="preserve">accepted-summary.json#/rows/2/accepted_full_page_proof</t>
  </si>
  <si>
    <t xml:space="preserve">B25-MY-004</t>
  </si>
  <si>
    <t xml:space="preserve">independent-qa.json#/batches/B25/documents/accepted-rows.json/3</t>
  </si>
  <si>
    <t xml:space="preserve">最终状态：verified；准确问题、页码及已撤回项目见B25-27复核事项!A39:I49</t>
  </si>
  <si>
    <t xml:space="preserve">来源标签保留；参考码、holder、基础版次及附加条款分别核对。完整身份观察与最终处置见B25-27复核事项!A39:I49</t>
  </si>
  <si>
    <t xml:space="preserve">完整现存组成、语言及物理页映射见B25-27复核事项!A39:I49</t>
  </si>
  <si>
    <t xml:space="preserve">qa-b25-full-review-20261026/accepted-rows.json#/3</t>
  </si>
  <si>
    <t xml:space="preserve">acquisition-regional-my-id-th/originals/MY-SUN-069_Long_Term_House_Owner_Takaful_Contract_-_Permodalan_RISDA_Berhad_1f9483e1be.pdf</t>
  </si>
  <si>
    <t xml:space="preserve">不证明现售／当前采用、个人已签发或合同包完整。具体正文与范围问题见B25-27复核事项!A39:I49</t>
  </si>
  <si>
    <t xml:space="preserve">全部澄清、误报撤回、更正依据及非阻断边界见B25-27复核事项!A39:I49；批次补充历史在本表末段：A663:I1125。</t>
  </si>
  <si>
    <t xml:space="preserve">最终独立QA=verified；严格判定及全部纠正链见B25-27复核事项!A39:I49</t>
  </si>
  <si>
    <t xml:space="preserve">independent-qa.json#/batches/B25/documents/issues-and-clarifications.json/files/3</t>
  </si>
  <si>
    <t xml:space="preserve">execution-evidence.json#/batches/B25/documents/group2~1004-result.json</t>
  </si>
  <si>
    <t xml:space="preserve">LTHORI32</t>
  </si>
  <si>
    <t xml:space="preserve">Long Term Homeowner Takaful (LTHO)</t>
  </si>
  <si>
    <t xml:space="preserve">qa-b25-full-review-20261026/issues-and-clarifications.json#/files/3</t>
  </si>
  <si>
    <t xml:space="preserve">53ef271409f46c48acd172501bf351131e34531c672f6b856935b3e80afa89ee</t>
  </si>
  <si>
    <t xml:space="preserve">execution-evidence.json#/batches/B25/documents/group2~1004-page-proof.jsonl</t>
  </si>
  <si>
    <t xml:space="preserve">accepted-summary.json#/rows/3/accepted_full_page_proof</t>
  </si>
  <si>
    <t xml:space="preserve">B25-MY-005</t>
  </si>
  <si>
    <t xml:space="preserve">independent-qa.json#/batches/B25/documents/accepted-rows.json/4</t>
  </si>
  <si>
    <t xml:space="preserve">最终状态：needs_review；准确问题、页码及已撤回项目见B25-27复核事项!A50:I59</t>
  </si>
  <si>
    <t xml:space="preserve">来源标签保留；参考码、holder、基础版次及附加条款分别核对。完整身份观察与最终处置见B25-27复核事项!A50:I59</t>
  </si>
  <si>
    <t xml:space="preserve">完整现存组成、语言及物理页映射见B25-27复核事项!A50:I59</t>
  </si>
  <si>
    <t xml:space="preserve">qa-b25-full-review-20261026/accepted-rows.json#/4</t>
  </si>
  <si>
    <t xml:space="preserve">acquisition-regional-my-id-th/originals/MY-SUN-071_Mortgage_Reducing_Term_Takaful_with_Funeral_Benefit_Contract_MRTT33_-_Bahagian_Pinjaman_Perumahan_e7cd29c495.pdf</t>
  </si>
  <si>
    <t xml:space="preserve">不证明现售／当前采用、个人已签发或合同包完整。具体正文与范围问题见B25-27复核事项!A50:I59</t>
  </si>
  <si>
    <t xml:space="preserve">全部澄清、误报撤回、更正依据及非阻断边界见B25-27复核事项!A50:I59；批次补充历史在本表末段：A663:I1125。</t>
  </si>
  <si>
    <t xml:space="preserve">最终独立QA=needs_review；严格判定及全部纠正链见B25-27复核事项!A50:I59</t>
  </si>
  <si>
    <t xml:space="preserve">independent-qa.json#/batches/B25/documents/issues-and-clarifications.json/files/4</t>
  </si>
  <si>
    <t xml:space="preserve">execution-evidence.json#/batches/B25/documents/group2~1005-result.json</t>
  </si>
  <si>
    <t xml:space="preserve">MRTT33</t>
  </si>
  <si>
    <t xml:space="preserve">Mortgage Reducing Term Takaful with Funeral Benefit</t>
  </si>
  <si>
    <t xml:space="preserve">qa-b25-full-review-20261026/issues-and-clarifications.json#/files/4</t>
  </si>
  <si>
    <t xml:space="preserve">6fb551ab9fe388d5a6e62b6acd654a7c9f97b4d9b4992e30e0a8f6252fe9bc03</t>
  </si>
  <si>
    <t xml:space="preserve">execution-evidence.json#/batches/B25/documents/group2~1005-page-proof.jsonl</t>
  </si>
  <si>
    <t xml:space="preserve">accepted-summary.json#/rows/4/accepted_full_page_proof</t>
  </si>
  <si>
    <t xml:space="preserve">复制允许=false；打印允许=false。普通只读显示；未提取、OCR、打印、解锁或改变原件权限。</t>
  </si>
  <si>
    <t xml:space="preserve">independent-qa.json#/batches/B25/documents/accepted-rows.json/5</t>
  </si>
  <si>
    <t xml:space="preserve">最终状态：verified；准确问题、页码及已撤回项目见B25-27复核事项!A60:I84</t>
  </si>
  <si>
    <t xml:space="preserve">来源标签保留；参考码、holder、基础版次及附加条款分别核对。完整身份观察与最终处置见B25-27复核事项!A60:I84</t>
  </si>
  <si>
    <t xml:space="preserve">完整现存组成、语言及物理页映射见B25-27复核事项!A60:I84</t>
  </si>
  <si>
    <t xml:space="preserve">qa-b25-full-review-20261026/accepted-rows.json#/5</t>
  </si>
  <si>
    <t xml:space="preserve">QA-006-C1；QA-006-C2；QA-006-C3；QA-006-C4；QA-006-C5；QA-006-C6；QA-006-C7；QA-006-F1；QA-006-M1；QA-006-M2</t>
  </si>
  <si>
    <t xml:space="preserve">不证明现售／当前采用、个人已签发或合同包完整。具体正文与范围问题见B25-27复核事项!A60:I84</t>
  </si>
  <si>
    <t xml:space="preserve">全部澄清、误报撤回、更正依据及非阻断边界见B25-27复核事项!A60:I84；批次补充历史在本表末段：A663:I1125。</t>
  </si>
  <si>
    <t xml:space="preserve">最终独立QA=verified；严格判定及全部纠正链见B25-27复核事项!A60:I84</t>
  </si>
  <si>
    <t xml:space="preserve">independent-qa.json#/batches/B25/documents/issues-and-clarifications.json/files/5</t>
  </si>
  <si>
    <t xml:space="preserve">execution-evidence.json#/batches/B25/documents/group1~1006-result.json</t>
  </si>
  <si>
    <t xml:space="preserve">GCT00001</t>
  </si>
  <si>
    <t xml:space="preserve">Mortgage Reducing Term Takaful (MRTT)</t>
  </si>
  <si>
    <t xml:space="preserve">qa-b25-full-review-20261026/issues-and-clarifications.json#/files/5</t>
  </si>
  <si>
    <t xml:space="preserve">8c3c57fdde5594d0253493526adba602b4e5b8e592fc3e1609a2872f7c296c9a</t>
  </si>
  <si>
    <t xml:space="preserve">execution-evidence.json#/batches/B25/documents/group1~1006-page-proof.jsonl</t>
  </si>
  <si>
    <t xml:space="preserve">accepted-summary.json#/rows/5/accepted_full_page_proof</t>
  </si>
  <si>
    <t xml:space="preserve">independent-qa.json#/batches/B25/documents/accepted-rows.json/6</t>
  </si>
  <si>
    <t xml:space="preserve">最终状态：verified；准确问题、页码及已撤回项目见B25-27复核事项!A85:I109</t>
  </si>
  <si>
    <t xml:space="preserve">来源标签保留；参考码、holder、基础版次及附加条款分别核对。完整身份观察与最终处置见B25-27复核事项!A85:I109</t>
  </si>
  <si>
    <t xml:space="preserve">完整现存组成、语言及物理页映射见B25-27复核事项!A85:I109</t>
  </si>
  <si>
    <t xml:space="preserve">qa-b25-full-review-20261026/accepted-rows.json#/6</t>
  </si>
  <si>
    <t xml:space="preserve">QA-007-F1</t>
  </si>
  <si>
    <t xml:space="preserve">不证明现售／当前采用、个人已签发或合同包完整。具体正文与范围问题见B25-27复核事项!A85:I109</t>
  </si>
  <si>
    <t xml:space="preserve">全部澄清、误报撤回、更正依据及非阻断边界见B25-27复核事项!A85:I109；批次补充历史在本表末段：A663:I1125。</t>
  </si>
  <si>
    <t xml:space="preserve">最终独立QA=verified；严格判定及全部纠正链见B25-27复核事项!A85:I109</t>
  </si>
  <si>
    <t xml:space="preserve">independent-qa.json#/batches/B25/documents/issues-and-clarifications.json/files/6</t>
  </si>
  <si>
    <t xml:space="preserve">execution-evidence.json#/batches/B25/documents/group3~1007-result.json</t>
  </si>
  <si>
    <t xml:space="preserve">GCT00002</t>
  </si>
  <si>
    <t xml:space="preserve">CIMB Islamic Bank Berhad</t>
  </si>
  <si>
    <t xml:space="preserve">{"endorsement_operator":"Sun Life Malaysia Takaful Berhad","historical_operator":"CIMB Aviva Takaful Berhad"}</t>
  </si>
  <si>
    <t xml:space="preserve">qa-b25-full-review-20261026/issues-and-clarifications.json#/files/6</t>
  </si>
  <si>
    <t xml:space="preserve">5986054f1dfd01afbe516e680af892f4a5955e5d39ddae79b3e12380edc26342</t>
  </si>
  <si>
    <t xml:space="preserve">execution-evidence.json#/batches/B25/documents/group3~1007-page-proof.jsonl</t>
  </si>
  <si>
    <t xml:space="preserve">accepted-summary.json#/rows/6/accepted_full_page_proof</t>
  </si>
  <si>
    <t xml:space="preserve">B25-MY-008</t>
  </si>
  <si>
    <t xml:space="preserve">independent-qa.json#/batches/B25/documents/accepted-rows.json/7</t>
  </si>
  <si>
    <t xml:space="preserve">最终状态：needs_review；准确问题、页码及已撤回项目见B25-27复核事项!A110:I126</t>
  </si>
  <si>
    <t xml:space="preserve">来源标签保留；参考码、holder、基础版次及附加条款分别核对。完整身份观察与最终处置见B25-27复核事项!A110:I126</t>
  </si>
  <si>
    <t xml:space="preserve">完整现存组成、语言及物理页映射见B25-27复核事项!A110:I126</t>
  </si>
  <si>
    <t xml:space="preserve">qa-b25-full-review-20261026/accepted-rows.json#/7</t>
  </si>
  <si>
    <t xml:space="preserve">acquisition-regional-my-id-th/originals/MY-SUN-074_Mortgage_Reducing_Term_Takaful_Contract_-_Permodalan_RISDA_Berhad_a1244aa453.pdf</t>
  </si>
  <si>
    <t xml:space="preserve">QA-008-F1；QA-008-F2</t>
  </si>
  <si>
    <t xml:space="preserve">不证明现售／当前采用、个人已签发或合同包完整。具体正文与范围问题见B25-27复核事项!A110:I126</t>
  </si>
  <si>
    <t xml:space="preserve">全部澄清、误报撤回、更正依据及非阻断边界见B25-27复核事项!A110:I126；批次补充历史在本表末段：A663:I1125。</t>
  </si>
  <si>
    <t xml:space="preserve">最终独立QA=needs_review；严格判定及全部纠正链见B25-27复核事项!A110:I126</t>
  </si>
  <si>
    <t xml:space="preserve">independent-qa.json#/batches/B25/documents/issues-and-clarifications.json/files/7</t>
  </si>
  <si>
    <t xml:space="preserve">execution-evidence.json#/batches/B25/documents/group3~1008-result.json</t>
  </si>
  <si>
    <t xml:space="preserve">MRTTRI32</t>
  </si>
  <si>
    <t xml:space="preserve">{"operator":"Sun Life Malaysia Takaful Berhad"}</t>
  </si>
  <si>
    <t xml:space="preserve">qa-b25-full-review-20261026/issues-and-clarifications.json#/files/7</t>
  </si>
  <si>
    <t xml:space="preserve">429f31cc17df0521f1c46cbdb0fc8f21f2e0073ea80528b80bf9b584852eeea9</t>
  </si>
  <si>
    <t xml:space="preserve">execution-evidence.json#/batches/B25/documents/group3~1008-page-proof.jsonl</t>
  </si>
  <si>
    <t xml:space="preserve">accepted-summary.json#/rows/7/accepted_full_page_proof</t>
  </si>
  <si>
    <t xml:space="preserve">B25-MY-009</t>
  </si>
  <si>
    <t xml:space="preserve">independent-qa.json#/batches/B25/documents/accepted-rows.json/8</t>
  </si>
  <si>
    <t xml:space="preserve">最终状态：needs_review；准确问题、页码及已撤回项目见B25-27复核事项!A127:I143</t>
  </si>
  <si>
    <t xml:space="preserve">来源标签保留；参考码、holder、基础版次及附加条款分别核对。完整身份观察与最终处置见B25-27复核事项!A127:I143</t>
  </si>
  <si>
    <t xml:space="preserve">完整现存组成、语言及物理页映射见B25-27复核事项!A127:I143</t>
  </si>
  <si>
    <t xml:space="preserve">qa-b25-full-review-20261026/accepted-rows.json#/8</t>
  </si>
  <si>
    <t xml:space="preserve">acquisition-regional-my-id-th/originals/MY-SUN-075_Mortgage_Reducing_Term_Takaful_with_Funeral_Benefit_Contract_MRTTRI33_-_Permodalan_RISDA_Berhad_e31cf3f466.pdf</t>
  </si>
  <si>
    <t xml:space="preserve">QA-009-F1；QA-009-F2；QA-009-F3；QA-009-F4；QA-009-F5</t>
  </si>
  <si>
    <t xml:space="preserve">不证明现售／当前采用、个人已签发或合同包完整。具体正文与范围问题见B25-27复核事项!A127:I143</t>
  </si>
  <si>
    <t xml:space="preserve">全部澄清、误报撤回、更正依据及非阻断边界见B25-27复核事项!A127:I143；批次补充历史在本表末段：A663:I1125。</t>
  </si>
  <si>
    <t xml:space="preserve">最终独立QA=needs_review；严格判定及全部纠正链见B25-27复核事项!A127:I143</t>
  </si>
  <si>
    <t xml:space="preserve">independent-qa.json#/batches/B25/documents/issues-and-clarifications.json/files/8</t>
  </si>
  <si>
    <t xml:space="preserve">execution-evidence.json#/batches/B25/documents/group3~1009-result.json</t>
  </si>
  <si>
    <t xml:space="preserve">MRTTRI33</t>
  </si>
  <si>
    <t xml:space="preserve">qa-b25-full-review-20261026/issues-and-clarifications.json#/files/8</t>
  </si>
  <si>
    <t xml:space="preserve">a73439916db01811a64253407344b14c873255ee1bba8120eb55365b2b6b7031</t>
  </si>
  <si>
    <t xml:space="preserve">execution-evidence.json#/batches/B25/documents/group3~1009-page-proof.jsonl</t>
  </si>
  <si>
    <t xml:space="preserve">accepted-summary.json#/rows/8/accepted_full_page_proof</t>
  </si>
  <si>
    <t xml:space="preserve">B25-MY-010</t>
  </si>
  <si>
    <t xml:space="preserve">independent-qa.json#/batches/B25/documents/accepted-rows.json/9</t>
  </si>
  <si>
    <t xml:space="preserve">最终状态：needs_review；准确问题、页码及已撤回项目见B25-27复核事项!A144:I168</t>
  </si>
  <si>
    <t xml:space="preserve">来源标签保留；参考码、holder、基础版次及附加条款分别核对。完整身份观察与最终处置见B25-27复核事项!A144:I168</t>
  </si>
  <si>
    <t xml:space="preserve">完整现存组成、语言及物理页映射见B25-27复核事项!A144:I168</t>
  </si>
  <si>
    <t xml:space="preserve">qa-b25-full-review-20261026/accepted-rows.json#/9</t>
  </si>
  <si>
    <t xml:space="preserve">acquisition-regional-my-id-th/originals/MY-SUN-079_Reducing_Term_Takaful_2015_RTT_2015_Master_Contract_3749e14228.pdf</t>
  </si>
  <si>
    <t xml:space="preserve">QA-010-F1；QA-010-F2；QA-010-F3；QA-010-F4；QA-010-F5；QA-010-C1；QA-010-C2；QA-010-C3；QA-010-C4；QA-010-C5</t>
  </si>
  <si>
    <t xml:space="preserve">不证明现售／当前采用、个人已签发或合同包完整。具体正文与范围问题见B25-27复核事项!A144:I168</t>
  </si>
  <si>
    <t xml:space="preserve">全部澄清、误报撤回、更正依据及非阻断边界见B25-27复核事项!A144:I168；批次补充历史在本表末段：A663:I1125。</t>
  </si>
  <si>
    <t xml:space="preserve">最终独立QA=needs_review；严格判定及全部纠正链见B25-27复核事项!A144:I168</t>
  </si>
  <si>
    <t xml:space="preserve">independent-qa.json#/batches/B25/documents/issues-and-clarifications.json/files/9</t>
  </si>
  <si>
    <t xml:space="preserve">execution-evidence.json#/batches/B25/documents/group1~1010-result.json</t>
  </si>
  <si>
    <t xml:space="preserve">RTT0815</t>
  </si>
  <si>
    <t xml:space="preserve">{"issuer":"Sun Life Malaysia Takaful Berhad"}</t>
  </si>
  <si>
    <t xml:space="preserve">Reducing Term Takaful 2015 (RTT2015)</t>
  </si>
  <si>
    <t xml:space="preserve">qa-b25-full-review-20261026/issues-and-clarifications.json#/files/9</t>
  </si>
  <si>
    <t xml:space="preserve">a2b9596f68119174a11c67362f38fc8b8118a28a3a6384775ad9de63c8101c25</t>
  </si>
  <si>
    <t xml:space="preserve">execution-evidence.json#/batches/B25/documents/group1~1010-page-proof.jsonl</t>
  </si>
  <si>
    <t xml:space="preserve">accepted-summary.json#/rows/9/accepted_full_page_proof</t>
  </si>
  <si>
    <t xml:space="preserve">B25-MY-011</t>
  </si>
  <si>
    <t xml:space="preserve">independent-qa.json#/batches/B25/documents/accepted-rows.json/10</t>
  </si>
  <si>
    <t xml:space="preserve">最终状态：needs_review；准确问题、页码及已撤回项目见B25-27复核事项!A169:I185</t>
  </si>
  <si>
    <t xml:space="preserve">来源标签保留；参考码、holder、基础版次及附加条款分别核对。完整身份观察与最终处置见B25-27复核事项!A169:I185</t>
  </si>
  <si>
    <t xml:space="preserve">完整现存组成、语言及物理页映射见B25-27复核事项!A169:I185</t>
  </si>
  <si>
    <t xml:space="preserve">qa-b25-full-review-20261026/accepted-rows.json#/10</t>
  </si>
  <si>
    <t xml:space="preserve">acquisition-regional-my-id-th/originals/MY-SUN-081_Sinar_Ri_ayah_Enhanced_Master_Contract_b186c42360.pdf</t>
  </si>
  <si>
    <t xml:space="preserve">QA-011-F1；QA-011-F2；QA-011-F3；QA-011-C1；QA-011-C2；QA-011-C3；QA-011-C4；QA-011-C5；QA-011-C6；QA-011-C7</t>
  </si>
  <si>
    <t xml:space="preserve">不证明现售／当前采用、个人已签发或合同包完整。具体正文与范围问题见B25-27复核事项!A169:I185</t>
  </si>
  <si>
    <t xml:space="preserve">全部澄清、误报撤回、更正依据及非阻断边界见B25-27复核事项!A169:I185；批次补充历史在本表末段：A663:I1125。</t>
  </si>
  <si>
    <t xml:space="preserve">最终独立QA=needs_review；严格判定及全部纠正链见B25-27复核事项!A169:I185</t>
  </si>
  <si>
    <t xml:space="preserve">independent-qa.json#/batches/B25/documents/issues-and-clarifications.json/files/10</t>
  </si>
  <si>
    <t xml:space="preserve">execution-evidence.json#/batches/B25/documents/group1~1011-result.json</t>
  </si>
  <si>
    <t xml:space="preserve">SRE0423</t>
  </si>
  <si>
    <t xml:space="preserve">Sinar Ri’ayah Enhanced</t>
  </si>
  <si>
    <t xml:space="preserve">qa-b25-full-review-20261026/issues-and-clarifications.json#/files/10</t>
  </si>
  <si>
    <t xml:space="preserve">45e6399ca3dba9c1ee2085b37fad2a62030b58ae84530e20d780f0135fc800b5</t>
  </si>
  <si>
    <t xml:space="preserve">execution-evidence.json#/batches/B25/documents/group1~1011-page-proof.jsonl</t>
  </si>
  <si>
    <t xml:space="preserve">accepted-summary.json#/rows/10/accepted_full_page_proof</t>
  </si>
  <si>
    <t xml:space="preserve">B25-MY-012</t>
  </si>
  <si>
    <t xml:space="preserve">independent-qa.json#/batches/B25/documents/accepted-rows.json/11</t>
  </si>
  <si>
    <t xml:space="preserve">最终状态：needs_review；准确问题、页码及已撤回项目见B25-27复核事项!A186:I201</t>
  </si>
  <si>
    <t xml:space="preserve">来源标签保留；参考码、holder、基础版次及附加条款分别核对。完整身份观察与最终处置见B25-27复核事项!A186:I201</t>
  </si>
  <si>
    <t xml:space="preserve">完整现存组成、语言及物理页映射见B25-27复核事项!A186:I201</t>
  </si>
  <si>
    <t xml:space="preserve">qa-b25-full-review-20261026/accepted-rows.json#/11</t>
  </si>
  <si>
    <t xml:space="preserve">acquisition-regional-my-id-th/originals/MY-SUN-082_Sinar_Ri_ayah_Master_Contract_119af78332.pdf</t>
  </si>
  <si>
    <t xml:space="preserve">不证明现售／当前采用、个人已签发或合同包完整。具体正文与范围问题见B25-27复核事项!A186:I201</t>
  </si>
  <si>
    <t xml:space="preserve">全部澄清、误报撤回、更正依据及非阻断边界见B25-27复核事项!A186:I201；批次补充历史在本表末段：A663:I1125。</t>
  </si>
  <si>
    <t xml:space="preserve">最终独立QA=needs_review；严格判定及全部纠正链见B25-27复核事项!A186:I201</t>
  </si>
  <si>
    <t xml:space="preserve">independent-qa.json#/batches/B25/documents/issues-and-clarifications.json/files/11</t>
  </si>
  <si>
    <t xml:space="preserve">execution-evidence.json#/batches/B25/documents/group2~1012-result.json</t>
  </si>
  <si>
    <t xml:space="preserve">SR0118</t>
  </si>
  <si>
    <t xml:space="preserve">Sinar Ri’ayah</t>
  </si>
  <si>
    <t xml:space="preserve">qa-b25-full-review-20261026/issues-and-clarifications.json#/files/11</t>
  </si>
  <si>
    <t xml:space="preserve">7012b39dfca6f5926e9835fd7273c56587ffb733396e8a8040a1eaf08198a37a</t>
  </si>
  <si>
    <t xml:space="preserve">execution-evidence.json#/batches/B25/documents/group2~1012-page-proof.jsonl</t>
  </si>
  <si>
    <t xml:space="preserve">accepted-summary.json#/rows/11/accepted_full_page_proof</t>
  </si>
  <si>
    <t xml:space="preserve">B25-MY-013</t>
  </si>
  <si>
    <t xml:space="preserve">independent-qa.json#/batches/B25/documents/accepted-rows.json/12</t>
  </si>
  <si>
    <t xml:space="preserve">最终状态：needs_review；准确问题、页码及已撤回项目见B25-27复核事项!A202:I220</t>
  </si>
  <si>
    <t xml:space="preserve">来源标签保留；参考码、holder、基础版次及附加条款分别核对。完整身份观察与最终处置见B25-27复核事项!A202:I220</t>
  </si>
  <si>
    <t xml:space="preserve">完整现存组成、语言及物理页映射见B25-27复核事项!A202:I220</t>
  </si>
  <si>
    <t xml:space="preserve">qa-b25-full-review-20261026/accepted-rows.json#/12</t>
  </si>
  <si>
    <t xml:space="preserve">acquisition-regional-my-id-th/originals/MY-SUN-087_Sun_PowerLife-i_Master_Contract_8f5671eac8.pdf</t>
  </si>
  <si>
    <t xml:space="preserve">不证明现售／当前采用、个人已签发或合同包完整。具体正文与范围问题见B25-27复核事项!A202:I220</t>
  </si>
  <si>
    <t xml:space="preserve">全部澄清、误报撤回、更正依据及非阻断边界见B25-27复核事项!A202:I220；批次补充历史在本表末段：A663:I1125。</t>
  </si>
  <si>
    <t xml:space="preserve">最终独立QA=needs_review；严格判定及全部纠正链见B25-27复核事项!A202:I220</t>
  </si>
  <si>
    <t xml:space="preserve">independent-qa.json#/batches/B25/documents/issues-and-clarifications.json/files/12</t>
  </si>
  <si>
    <t xml:space="preserve">execution-evidence.json#/batches/B25/documents/group2~1013-result.json</t>
  </si>
  <si>
    <t xml:space="preserve">["CIMB-SPL001-16032016","CIMBI-SPL001-16032016"]</t>
  </si>
  <si>
    <t xml:space="preserve">{"insurer":"Sun Life Malaysia Takaful Berhad"}</t>
  </si>
  <si>
    <t xml:space="preserve">Sun PowerLife-i (a plan under Takaful Lifestyle PA Series)</t>
  </si>
  <si>
    <t xml:space="preserve">qa-b25-full-review-20261026/issues-and-clarifications.json#/files/12</t>
  </si>
  <si>
    <t xml:space="preserve">4e0f9ea2fbefc4def3c04fc9b9be17fa07c925ffff2b557824de41a83f8bed9b</t>
  </si>
  <si>
    <t xml:space="preserve">execution-evidence.json#/batches/B25/documents/group2~1013-page-proof.jsonl</t>
  </si>
  <si>
    <t xml:space="preserve">accepted-summary.json#/rows/12/accepted_full_page_proof</t>
  </si>
  <si>
    <t xml:space="preserve">B25-MY-014</t>
  </si>
  <si>
    <t xml:space="preserve">independent-qa.json#/batches/B25/documents/accepted-rows.json/13</t>
  </si>
  <si>
    <t xml:space="preserve">最终状态：needs_review；准确问题、页码及已撤回项目见B25-27复核事项!A221:I247</t>
  </si>
  <si>
    <t xml:space="preserve">来源标签保留；参考码、holder、基础版次及附加条款分别核对。完整身份观察与最终处置见B25-27复核事项!A221:I247</t>
  </si>
  <si>
    <t xml:space="preserve">完整现存组成、语言及物理页映射见B25-27复核事项!A221:I247</t>
  </si>
  <si>
    <t xml:space="preserve">qa-b25-full-review-20261026/accepted-rows.json#/13</t>
  </si>
  <si>
    <t xml:space="preserve">acquisition-regional-my-id-th/originals/MY-SUN-088_Sun_PowerLife_Senior-i_Master_Contract_07e92428d4.pdf</t>
  </si>
  <si>
    <t xml:space="preserve">QA-014-F1；QA-014-F2；QA-014-F3；QA-014-C1；QA-014-C2；QA-014-C3；QA-014-C4；QA-014-C5；QA-014-C6；QA-014-C7；QA-014-M1；QA-014-M2</t>
  </si>
  <si>
    <t xml:space="preserve">不证明现售／当前采用、个人已签发或合同包完整。具体正文与范围问题见B25-27复核事项!A221:I247</t>
  </si>
  <si>
    <t xml:space="preserve">全部澄清、误报撤回、更正依据及非阻断边界见B25-27复核事项!A221:I247；批次补充历史在本表末段：A663:I1125。</t>
  </si>
  <si>
    <t xml:space="preserve">最终独立QA=needs_review；严格判定及全部纠正链见B25-27复核事项!A221:I247</t>
  </si>
  <si>
    <t xml:space="preserve">independent-qa.json#/batches/B25/documents/issues-and-clarifications.json/files/13</t>
  </si>
  <si>
    <t xml:space="preserve">execution-evidence.json#/batches/B25/documents/group1~1014-result.json</t>
  </si>
  <si>
    <t xml:space="preserve">["CIMB-SPLS001-16032016","CIMBI-SPLS001-16032016"]</t>
  </si>
  <si>
    <t xml:space="preserve">Sun PowerLife Senior-i (a plan under Takaful LifeStyle PA series)</t>
  </si>
  <si>
    <t xml:space="preserve">qa-b25-full-review-20261026/issues-and-clarifications.json#/files/13</t>
  </si>
  <si>
    <t xml:space="preserve">2c9cd3ebefeadc0a6c12cab7396e358fed83d5b24fccb9a2cb8fca6c917f1b81</t>
  </si>
  <si>
    <t xml:space="preserve">execution-evidence.json#/batches/B25/documents/group1~1014-page-proof.jsonl</t>
  </si>
  <si>
    <t xml:space="preserve">accepted-summary.json#/rows/13/accepted_full_page_proof</t>
  </si>
  <si>
    <t xml:space="preserve">B25-MY-015</t>
  </si>
  <si>
    <t xml:space="preserve">independent-qa.json#/batches/B25/documents/accepted-rows.json/14</t>
  </si>
  <si>
    <t xml:space="preserve">最终状态：needs_review；准确问题、页码及已撤回项目见B25-27复核事项!A248:I274</t>
  </si>
  <si>
    <t xml:space="preserve">来源标签保留；参考码、holder、基础版次及附加条款分别核对。完整身份观察与最终处置见B25-27复核事项!A248:I274</t>
  </si>
  <si>
    <t xml:space="preserve">完整现存组成、语言及物理页映射见B25-27复核事项!A248:I274</t>
  </si>
  <si>
    <t xml:space="preserve">qa-b25-full-review-20261026/accepted-rows.json#/14</t>
  </si>
  <si>
    <t xml:space="preserve">acquisition-regional-my-id-th/originals/MY-SUN-089_Sun_Power_Secure_Master_Contract_5c9d9aea70.pdf</t>
  </si>
  <si>
    <t xml:space="preserve">015-QA-F1；015-QA-F2；015-QA-F3；015-QA-C1；015-QA-C2；015-QA-C3；015-QA-C4；015-QA-C5；015-QA-C6</t>
  </si>
  <si>
    <t xml:space="preserve">不证明现售／当前采用、个人已签发或合同包完整。具体正文与范围问题见B25-27复核事项!A248:I274</t>
  </si>
  <si>
    <t xml:space="preserve">全部澄清、误报撤回、更正依据及非阻断边界见B25-27复核事项!A248:I274；批次补充历史在本表末段：A663:I1125。</t>
  </si>
  <si>
    <t xml:space="preserve">最终独立QA=needs_review；严格判定及全部纠正链见B25-27复核事项!A248:I274</t>
  </si>
  <si>
    <t xml:space="preserve">independent-qa.json#/batches/B25/documents/issues-and-clarifications.json/files/14</t>
  </si>
  <si>
    <t xml:space="preserve">execution-evidence.json#/batches/B25/documents/group3~1015-result.json</t>
  </si>
  <si>
    <t xml:space="preserve">TUNE-SPS001-11042016</t>
  </si>
  <si>
    <t xml:space="preserve">Sun Power Secure (A plan under Takaful LifeStyle PA series)</t>
  </si>
  <si>
    <t xml:space="preserve">qa-b25-full-review-20261026/issues-and-clarifications.json#/files/14</t>
  </si>
  <si>
    <t xml:space="preserve">44c005c08478740eb2e86a5c0626f58f49abf4c437fa1cea4cf12ee45a1f8505</t>
  </si>
  <si>
    <t xml:space="preserve">execution-evidence.json#/batches/B25/documents/group3~1015-page-proof.jsonl</t>
  </si>
  <si>
    <t xml:space="preserve">accepted-summary.json#/rows/14/accepted_full_page_proof</t>
  </si>
  <si>
    <t xml:space="preserve">B25-MY-016</t>
  </si>
  <si>
    <t xml:space="preserve">independent-qa.json#/batches/B25/documents/accepted-rows.json/15</t>
  </si>
  <si>
    <t xml:space="preserve">最终状态：needs_review；准确问题、页码及已撤回项目见B25-27复核事项!A275:I293</t>
  </si>
  <si>
    <t xml:space="preserve">来源标签保留；参考码、holder、基础版次及附加条款分别核对。完整身份观察与最终处置见B25-27复核事项!A275:I293</t>
  </si>
  <si>
    <t xml:space="preserve">完整现存组成、语言及物理页映射见B25-27复核事项!A275:I293</t>
  </si>
  <si>
    <t xml:space="preserve">qa-b25-full-review-20261026/accepted-rows.json#/15</t>
  </si>
  <si>
    <t xml:space="preserve">acquisition-regional-my-id-th/originals/MY-SUN-090_Sun_Power_Shield-i_Master_Contract_111bfab404.pdf</t>
  </si>
  <si>
    <t xml:space="preserve">不证明现售／当前采用、个人已签发或合同包完整。具体正文与范围问题见B25-27复核事项!A275:I293</t>
  </si>
  <si>
    <t xml:space="preserve">全部澄清、误报撤回、更正依据及非阻断边界见B25-27复核事项!A275:I293；批次补充历史在本表末段：A663:I1125。</t>
  </si>
  <si>
    <t xml:space="preserve">最终独立QA=needs_review；严格判定及全部纠正链见B25-27复核事项!A275:I293</t>
  </si>
  <si>
    <t xml:space="preserve">independent-qa.json#/batches/B25/documents/issues-and-clarifications.json/files/15</t>
  </si>
  <si>
    <t xml:space="preserve">execution-evidence.json#/batches/B25/documents/group2~1016-result.json</t>
  </si>
  <si>
    <t xml:space="preserve">["SLM-SPS001-16032016"]</t>
  </si>
  <si>
    <t xml:space="preserve">Sun PowerShield-i (a plan under Takaful Lifestyle PA Series)</t>
  </si>
  <si>
    <t xml:space="preserve">qa-b25-full-review-20261026/issues-and-clarifications.json#/files/15</t>
  </si>
  <si>
    <t xml:space="preserve">8c408c49c0e1dfdb0b283cfed372ced09e05dc72d4f298b94900a19eed11067a</t>
  </si>
  <si>
    <t xml:space="preserve">execution-evidence.json#/batches/B25/documents/group2~1016-page-proof.jsonl</t>
  </si>
  <si>
    <t xml:space="preserve">accepted-summary.json#/rows/15/accepted_full_page_proof</t>
  </si>
  <si>
    <t xml:space="preserve">B25-MY-017</t>
  </si>
  <si>
    <t xml:space="preserve">independent-qa.json#/batches/B25/documents/accepted-rows.json/16</t>
  </si>
  <si>
    <t xml:space="preserve">最终状态：needs_review；准确问题、页码及已撤回项目见B25-27复核事项!A294:I329</t>
  </si>
  <si>
    <t xml:space="preserve">来源标签保留；参考码、holder、基础版次及附加条款分别核对。完整身份观察与最终处置见B25-27复核事项!A294:I329</t>
  </si>
  <si>
    <t xml:space="preserve">完整现存组成、语言及物理页映射见B25-27复核事项!A294:I329</t>
  </si>
  <si>
    <t xml:space="preserve">qa-b25-full-review-20261026/accepted-rows.json#/16</t>
  </si>
  <si>
    <t xml:space="preserve">acquisition-regional-my-id-th/originals/MY-SUN-091_Sun_Raudhah_Master_Contract_d1ff89cba0.pdf</t>
  </si>
  <si>
    <t xml:space="preserve">017-QA-F1；017-QA-F2；017-QA-F3；017-QA-F4；017-QA-F5；017-QA-F6；017-QA-C1；017-QA-C2；017-QA-C3；017-QA-C4；017-QA-C5；017-QA-C6</t>
  </si>
  <si>
    <t xml:space="preserve">不证明现售／当前采用、个人已签发或合同包完整。具体正文与范围问题见B25-27复核事项!A294:I329</t>
  </si>
  <si>
    <t xml:space="preserve">全部澄清、误报撤回、更正依据及非阻断边界见B25-27复核事项!A294:I329；批次补充历史在本表末段：A663:I1125。</t>
  </si>
  <si>
    <t xml:space="preserve">最终独立QA=needs_review；严格判定及全部纠正链见B25-27复核事项!A294:I329</t>
  </si>
  <si>
    <t xml:space="preserve">independent-qa.json#/batches/B25/documents/issues-and-clarifications.json/files/16</t>
  </si>
  <si>
    <t xml:space="preserve">execution-evidence.json#/batches/B25/documents/group3~1017-result.json</t>
  </si>
  <si>
    <t xml:space="preserve">SSI1117 (code, not inferred issue/effective date)</t>
  </si>
  <si>
    <t xml:space="preserve">CIMB Bank Berhad explicitly in endorsements</t>
  </si>
  <si>
    <t xml:space="preserve">Sun Raudhah</t>
  </si>
  <si>
    <t xml:space="preserve">qa-b25-full-review-20261026/issues-and-clarifications.json#/files/16</t>
  </si>
  <si>
    <t xml:space="preserve">ded31496839efbeb1169ad68001dc7c80463128c925ba2a724d7e4ab1391586d</t>
  </si>
  <si>
    <t xml:space="preserve">execution-evidence.json#/batches/B25/documents/group3~1017-page-proof.jsonl</t>
  </si>
  <si>
    <t xml:space="preserve">accepted-summary.json#/rows/16/accepted_full_page_proof</t>
  </si>
  <si>
    <t xml:space="preserve">B25-MY-018</t>
  </si>
  <si>
    <t xml:space="preserve">independent-qa.json#/batches/B25/documents/accepted-rows.json/17</t>
  </si>
  <si>
    <t xml:space="preserve">最终状态：needs_review；准确问题、页码及已撤回项目见B25-27复核事项!A330:I352</t>
  </si>
  <si>
    <t xml:space="preserve">来源标签保留；参考码、holder、基础版次及附加条款分别核对。完整身份观察与最终处置见B25-27复核事项!A330:I352</t>
  </si>
  <si>
    <t xml:space="preserve">完整现存组成、语言及物理页映射见B25-27复核事项!A330:I352</t>
  </si>
  <si>
    <t xml:space="preserve">qa-b25-full-review-20261026/accepted-rows.json#/17</t>
  </si>
  <si>
    <t xml:space="preserve">acquisition-regional-my-id-th/originals/MY-SUN-092_Takaful_Al_Hakeem_Master_Contract_8098fa1d3e.pdf</t>
  </si>
  <si>
    <t xml:space="preserve">QA018F1；QA018F2；QA018F3；QA018F4；QA018C1；QA018C2；QA018C3；QA018M1；QA018M2；QA018M3；QA018M4</t>
  </si>
  <si>
    <t xml:space="preserve">不证明现售／当前采用、个人已签发或合同包完整。具体正文与范围问题见B25-27复核事项!A330:I352</t>
  </si>
  <si>
    <t xml:space="preserve">全部澄清、误报撤回、更正依据及非阻断边界见B25-27复核事项!A330:I352；批次补充历史在本表末段：A663:I1125。</t>
  </si>
  <si>
    <t xml:space="preserve">最终独立QA=needs_review；严格判定及全部纠正链见B25-27复核事项!A330:I352</t>
  </si>
  <si>
    <t xml:space="preserve">independent-qa.json#/batches/B25/documents/issues-and-clarifications.json/files/17</t>
  </si>
  <si>
    <t xml:space="preserve">execution-evidence.json#/batches/B25/documents/group1~1018-result.json</t>
  </si>
  <si>
    <t xml:space="preserve">["MBSB-TAH001-05042016"]</t>
  </si>
  <si>
    <t xml:space="preserve">Takaful Al Hakeem (a plan under Takaful LifeStyle PA series)</t>
  </si>
  <si>
    <t xml:space="preserve">qa-b25-full-review-20261026/issues-and-clarifications.json#/files/17</t>
  </si>
  <si>
    <t xml:space="preserve">22535bf22f72eb6712fd8624e3a84985256e6203f6b404b6317a103d7906c4ae</t>
  </si>
  <si>
    <t xml:space="preserve">execution-evidence.json#/batches/B25/documents/group1~1018-page-proof.jsonl</t>
  </si>
  <si>
    <t xml:space="preserve">accepted-summary.json#/rows/17/accepted_full_page_proof</t>
  </si>
  <si>
    <t xml:space="preserve">B25-MY-019</t>
  </si>
  <si>
    <t xml:space="preserve">independent-qa.json#/batches/B25/documents/accepted-rows.json/18</t>
  </si>
  <si>
    <t xml:space="preserve">最终状态：needs_review；准确问题、页码及已撤回项目见B25-27复核事项!A353:I371</t>
  </si>
  <si>
    <t xml:space="preserve">来源标签保留；参考码、holder、基础版次及附加条款分别核对。完整身份观察与最终处置见B25-27复核事项!A353:I371</t>
  </si>
  <si>
    <t xml:space="preserve">完整现存组成、语言及物理页映射见B25-27复核事项!A353:I371</t>
  </si>
  <si>
    <t xml:space="preserve">qa-b25-full-review-20261026/accepted-rows.json#/18</t>
  </si>
  <si>
    <t xml:space="preserve">acquisition-regional-my-id-th/originals/MY-SUN-093_Xpress_Cash_Awam-i_Protector_Plan_Contract_4ffdb311ad.pdf</t>
  </si>
  <si>
    <t xml:space="preserve">不证明现售／当前采用、个人已签发或合同包完整。具体正文与范围问题见B25-27复核事项!A353:I371</t>
  </si>
  <si>
    <t xml:space="preserve">全部澄清、误报撤回、更正依据及非阻断边界见B25-27复核事项!A353:I371；批次补充历史在本表末段：A663:I1125。</t>
  </si>
  <si>
    <t xml:space="preserve">最终独立QA=needs_review；严格判定及全部纠正链见B25-27复核事项!A353:I371</t>
  </si>
  <si>
    <t xml:space="preserve">independent-qa.json#/batches/B25/documents/issues-and-clarifications.json/files/18</t>
  </si>
  <si>
    <t xml:space="preserve">execution-evidence.json#/batches/B25/documents/group2~1019-result.json</t>
  </si>
  <si>
    <t xml:space="preserve">未据来源标签补推；见完整身份事实</t>
  </si>
  <si>
    <t xml:space="preserve">{"insurer":"Sun Life Malaysia Takaful Berhad, historical CIMB Aviva Takaful Berhad source"}</t>
  </si>
  <si>
    <t xml:space="preserve">Xpress Cash Awam-i Protector Plan</t>
  </si>
  <si>
    <t xml:space="preserve">qa-b25-full-review-20261026/issues-and-clarifications.json#/files/18</t>
  </si>
  <si>
    <t xml:space="preserve">046deed86b4f9abb27df398be0905aeba1d3a970c68a112fd69e47e301c645e2</t>
  </si>
  <si>
    <t xml:space="preserve">execution-evidence.json#/batches/B25/documents/group2~1019-page-proof.jsonl</t>
  </si>
  <si>
    <t xml:space="preserve">accepted-summary.json#/rows/18/accepted_full_page_proof</t>
  </si>
  <si>
    <t xml:space="preserve">B25-MY-020</t>
  </si>
  <si>
    <t xml:space="preserve">independent-qa.json#/batches/B25/documents/accepted-rows.json/19</t>
  </si>
  <si>
    <t xml:space="preserve">最终状态：needs_review；准确问题、页码及已撤回项目见B25-27复核事项!A372:I388</t>
  </si>
  <si>
    <t xml:space="preserve">来源标签保留；参考码、holder、基础版次及附加条款分别核对。完整身份观察与最终处置见B25-27复核事项!A372:I388</t>
  </si>
  <si>
    <t xml:space="preserve">完整现存组成、语言及物理页映射见B25-27复核事项!A372:I388</t>
  </si>
  <si>
    <t xml:space="preserve">qa-b25-full-review-20261026/accepted-rows.json#/19</t>
  </si>
  <si>
    <t xml:space="preserve">acquisition-regional-my-id-th/originals/MY-SUN-094_Xpress_Cash_Protector-i_Plan_Contract_1adabb1c8d.pdf</t>
  </si>
  <si>
    <t xml:space="preserve">020-QF1；020-QF2；020-QC1；020-QC2；020-QC3；020-QC4</t>
  </si>
  <si>
    <t xml:space="preserve">不证明现售／当前采用、个人已签发或合同包完整。具体正文与范围问题见B25-27复核事项!A372:I388</t>
  </si>
  <si>
    <t xml:space="preserve">全部澄清、误报撤回、更正依据及非阻断边界见B25-27复核事项!A372:I388；批次补充历史在本表末段：A663:I1125。</t>
  </si>
  <si>
    <t xml:space="preserve">最终独立QA=needs_review；严格判定及全部纠正链见B25-27复核事项!A372:I388</t>
  </si>
  <si>
    <t xml:space="preserve">independent-qa.json#/batches/B25/documents/issues-and-clarifications.json/files/19</t>
  </si>
  <si>
    <t xml:space="preserve">execution-evidence.json#/batches/B25/documents/group3~1020-result.json</t>
  </si>
  <si>
    <t xml:space="preserve">XCPI1114</t>
  </si>
  <si>
    <t xml:space="preserve">Xpress Cash Protector-i</t>
  </si>
  <si>
    <t xml:space="preserve">qa-b25-full-review-20261026/issues-and-clarifications.json#/files/19</t>
  </si>
  <si>
    <t xml:space="preserve">5eb4ef37bb0b8b867a2598deb5d246af168d9125ed1f0519ae4a5034bdcc18ac</t>
  </si>
  <si>
    <t xml:space="preserve">execution-evidence.json#/batches/B25/documents/group3~1020-page-proof.jsonl</t>
  </si>
  <si>
    <t xml:space="preserve">accepted-summary.json#/rows/19/accepted_full_page_proof</t>
  </si>
  <si>
    <t xml:space="preserve">B25-MY-021</t>
  </si>
  <si>
    <t xml:space="preserve">independent-qa.json#/batches/B25/documents/accepted-rows.json/20</t>
  </si>
  <si>
    <t xml:space="preserve">最终状态：needs_review；准确问题、页码及已撤回项目见B25-27复核事项!A389:I441</t>
  </si>
  <si>
    <t xml:space="preserve">来源标签保留；参考码、holder、基础版次及附加条款分别核对。完整身份观察与最终处置见B25-27复核事项!A389:I441</t>
  </si>
  <si>
    <t xml:space="preserve">完整现存组成、语言及物理页映射见B25-27复核事项!A389:I441</t>
  </si>
  <si>
    <t xml:space="preserve">qa-b25-full-review-20261026/accepted-rows.json#/20</t>
  </si>
  <si>
    <t xml:space="preserve">acquisition-regional-my-id-th/originals/MY-SUN-096_Sun_Auto_Takaful_Master_Contract_3a19c9dc51.pdf</t>
  </si>
  <si>
    <t xml:space="preserve">不证明现售／当前采用、个人已签发或合同包完整。具体正文与范围问题见B25-27复核事项!A389:I441</t>
  </si>
  <si>
    <t xml:space="preserve">全部澄清、误报撤回、更正依据及非阻断边界见B25-27复核事项!A389:I441；批次补充历史在本表末段：A663:I1125。</t>
  </si>
  <si>
    <t xml:space="preserve">最终独立QA=needs_review；严格判定及全部纠正链见B25-27复核事项!A389:I441</t>
  </si>
  <si>
    <t xml:space="preserve">independent-qa.json#/batches/B25/documents/issues-and-clarifications.json/files/20</t>
  </si>
  <si>
    <t xml:space="preserve">execution-evidence.json#/batches/B25/documents/group2~1021-result.json</t>
  </si>
  <si>
    <t xml:space="preserve">SAT0816</t>
  </si>
  <si>
    <t xml:space="preserve">Sun Auto Takaful</t>
  </si>
  <si>
    <t xml:space="preserve">qa-b25-full-review-20261026/issues-and-clarifications.json#/files/20</t>
  </si>
  <si>
    <t xml:space="preserve">0975e60766c5a0062230bd9399b5bc1589b8615ecd4661ce2331c028fff96569</t>
  </si>
  <si>
    <t xml:space="preserve">execution-evidence.json#/batches/B25/documents/group2~1021-page-proof.jsonl</t>
  </si>
  <si>
    <t xml:space="preserve">accepted-summary.json#/rows/20/accepted_full_page_proof</t>
  </si>
  <si>
    <t xml:space="preserve">B25-MY-022</t>
  </si>
  <si>
    <t xml:space="preserve">independent-qa.json#/batches/B25/documents/accepted-rows.json/21</t>
  </si>
  <si>
    <t xml:space="preserve">最终状态：needs_review；准确问题、页码及已撤回项目见B25-27复核事项!A442:I466</t>
  </si>
  <si>
    <t xml:space="preserve">来源标签保留；参考码、holder、基础版次及附加条款分别核对。完整身份观察与最终处置见B25-27复核事项!A442:I466</t>
  </si>
  <si>
    <t xml:space="preserve">完整现存组成、语言及物理页映射见B25-27复核事项!A442:I466</t>
  </si>
  <si>
    <t xml:space="preserve">qa-b25-full-review-20261026/accepted-rows.json#/21</t>
  </si>
  <si>
    <t xml:space="preserve">acquisition-regional-my-id-th/originals/MY-SUN-098_Sun_Perlindungan-i_Master_Contract_22d5ebe338.pdf</t>
  </si>
  <si>
    <t xml:space="preserve">QA022F1；QA022F2；QA022F3；QA022C1；QA022C2；QA022M1；QA022M2；QA022M3</t>
  </si>
  <si>
    <t xml:space="preserve">不证明现售／当前采用、个人已签发或合同包完整。具体正文与范围问题见B25-27复核事项!A442:I466</t>
  </si>
  <si>
    <t xml:space="preserve">全部澄清、误报撤回、更正依据及非阻断边界见B25-27复核事项!A442:I466；批次补充历史在本表末段：A663:I1125。</t>
  </si>
  <si>
    <t xml:space="preserve">最终独立QA=needs_review；严格判定及全部纠正链见B25-27复核事项!A442:I466</t>
  </si>
  <si>
    <t xml:space="preserve">independent-qa.json#/batches/B25/documents/issues-and-clarifications.json/files/21</t>
  </si>
  <si>
    <t xml:space="preserve">execution-evidence.json#/batches/B25/documents/group1~1022-result.json</t>
  </si>
  <si>
    <t xml:space="preserve">Pragya Sukha Sdn Bhd</t>
  </si>
  <si>
    <t xml:space="preserve">Sun Perlindungan-i</t>
  </si>
  <si>
    <t xml:space="preserve">qa-b25-full-review-20261026/issues-and-clarifications.json#/files/21</t>
  </si>
  <si>
    <t xml:space="preserve">88413900b789281b696ac396f509d88195939e00c8dbb55d17a0a48a96e17c62</t>
  </si>
  <si>
    <t xml:space="preserve">execution-evidence.json#/batches/B25/documents/group1~1022-page-proof.jsonl</t>
  </si>
  <si>
    <t xml:space="preserve">accepted-summary.json#/rows/21/accepted_full_page_proof</t>
  </si>
  <si>
    <t xml:space="preserve">B25-MY-023</t>
  </si>
  <si>
    <t xml:space="preserve">independent-qa.json#/batches/B25/documents/accepted-rows.json/22</t>
  </si>
  <si>
    <t xml:space="preserve">最终状态：needs_review；准确问题、页码及已撤回项目见B25-27复核事项!A467:I528</t>
  </si>
  <si>
    <t xml:space="preserve">来源标签保留；参考码、holder、基础版次及附加条款分别核对。完整身份观察与最终处置见B25-27复核事项!A467:I528</t>
  </si>
  <si>
    <t xml:space="preserve">完整现存组成、语言及物理页映射见B25-27复核事项!A467:I528</t>
  </si>
  <si>
    <t xml:space="preserve">qa-b25-full-review-20261026/accepted-rows.json#/22</t>
  </si>
  <si>
    <t xml:space="preserve">acquisition-regional-my-id-th/originals/MY-SUN-099_Sun_Wealth_Protect-i_Master_Contract_af447ec910.pdf</t>
  </si>
  <si>
    <t xml:space="preserve">QA023F1；QA023F2；QA023F3；QA023C1；QA023C2；QA023C3；QA023C4；QA023M1；QA023M2；QA023M3；QA023M4；QA023M5；QA023M6；QA023M7</t>
  </si>
  <si>
    <t xml:space="preserve">不证明现售／当前采用、个人已签发或合同包完整。具体正文与范围问题见B25-27复核事项!A467:I528</t>
  </si>
  <si>
    <t xml:space="preserve">全部澄清、误报撤回、更正依据及非阻断边界见B25-27复核事项!A467:I528；批次补充历史在本表末段：A663:I1125。</t>
  </si>
  <si>
    <t xml:space="preserve">最终独立QA=needs_review；严格判定及全部纠正链见B25-27复核事项!A467:I528</t>
  </si>
  <si>
    <t xml:space="preserve">independent-qa.json#/batches/B25/documents/issues-and-clarifications.json/files/22</t>
  </si>
  <si>
    <t xml:space="preserve">execution-evidence.json#/batches/B25/documents/group1~1023-result.json</t>
  </si>
  <si>
    <t xml:space="preserve">["SWP0917"]</t>
  </si>
  <si>
    <t xml:space="preserve">Principal Asset Management Berhad</t>
  </si>
  <si>
    <t xml:space="preserve">SWP0917 is identifier, not independently established issue date</t>
  </si>
  <si>
    <t xml:space="preserve">Sun Wealth Protect-i</t>
  </si>
  <si>
    <t xml:space="preserve">qa-b25-full-review-20261026/issues-and-clarifications.json#/files/22</t>
  </si>
  <si>
    <t xml:space="preserve">46ffc73ba298d94356764258e39cfb20b8f549e3bcbaf814c42f4be299418b59</t>
  </si>
  <si>
    <t xml:space="preserve">execution-evidence.json#/batches/B25/documents/group1~1023-page-proof.jsonl</t>
  </si>
  <si>
    <t xml:space="preserve">accepted-summary.json#/rows/22/accepted_full_page_proof</t>
  </si>
  <si>
    <t xml:space="preserve">B25-MY-024</t>
  </si>
  <si>
    <t xml:space="preserve">independent-qa.json#/batches/B25/documents/accepted-rows.json/23</t>
  </si>
  <si>
    <t xml:space="preserve">最终状态：needs_review；准确问题、页码及已撤回项目见B25-27复核事项!A529:I557</t>
  </si>
  <si>
    <t xml:space="preserve">来源标签保留；参考码、holder、基础版次及附加条款分别核对。完整身份观察与最终处置见B25-27复核事项!A529:I557</t>
  </si>
  <si>
    <t xml:space="preserve">完整现存组成、语言及物理页映射见B25-27复核事项!A529:I557</t>
  </si>
  <si>
    <t xml:space="preserve">qa-b25-full-review-20261026/accepted-rows.json#/23</t>
  </si>
  <si>
    <t xml:space="preserve">acquisition-regional-my-id-th/originals/MY-SUN-100_Sun_Wealth_Protect-i_Master_Contract_SLMT_dddb09da3f.pdf</t>
  </si>
  <si>
    <t xml:space="preserve">QA024F1；QA024F2；QA024F3；QA024C1；QA024C2；QA024C3；QA024C4；QA024M1；QA024M2；QA024M3；QA024M4；QA024M5；QA024M6；QA024M7</t>
  </si>
  <si>
    <t xml:space="preserve">不证明现售／当前采用、个人已签发或合同包完整。具体正文与范围问题见B25-27复核事项!A529:I557</t>
  </si>
  <si>
    <t xml:space="preserve">全部澄清、误报撤回、更正依据及非阻断边界见B25-27复核事项!A529:I557；批次补充历史在本表末段：A663:I1125。</t>
  </si>
  <si>
    <t xml:space="preserve">最终独立QA=needs_review；严格判定及全部纠正链见B25-27复核事项!A529:I557</t>
  </si>
  <si>
    <t xml:space="preserve">independent-qa.json#/batches/B25/documents/issues-and-clarifications.json/files/23</t>
  </si>
  <si>
    <t xml:space="preserve">execution-evidence.json#/batches/B25/documents/group3~1024-result.json</t>
  </si>
  <si>
    <t xml:space="preserve">qa-b25-full-review-20261026/issues-and-clarifications.json#/files/23</t>
  </si>
  <si>
    <t xml:space="preserve">1e2bc85779e4c2c819333137c16822446895ea80074f027390c2e72623998613</t>
  </si>
  <si>
    <t xml:space="preserve">execution-evidence.json#/batches/B25/documents/group3~1024-page-proof.jsonl</t>
  </si>
  <si>
    <t xml:space="preserve">accepted-summary.json#/rows/23/accepted_full_page_proof</t>
  </si>
  <si>
    <t xml:space="preserve">B26-MY-001</t>
  </si>
  <si>
    <t xml:space="preserve">independent-qa.json#/batches/B26/documents/accepted-b26.json/records/0</t>
  </si>
  <si>
    <t xml:space="preserve">最终状态：needs_review；准确问题、页码及已撤回项目见B25-27复核事项!A558:I572</t>
  </si>
  <si>
    <t xml:space="preserve">来源标签保留；参考码、holder、基础版次及附加条款分别核对。完整身份观察与最终处置见B25-27复核事项!A558:I572</t>
  </si>
  <si>
    <t xml:space="preserve">完整现存组成、语言及物理页映射见B25-27复核事项!A558:I572</t>
  </si>
  <si>
    <t xml:space="preserve">qa-b2627-final-review-20261026/accepted-b26.json#/records/0</t>
  </si>
  <si>
    <t xml:space="preserve">acquisition-regional-my-id-th/originals/MY-SUN-010_Group_Amanah_Saham_Assurance_Contract_New_GASA_ff30e8c3cf.pdf</t>
  </si>
  <si>
    <t xml:space="preserve">3eda34bbf72f381e7346d0a2900ef051bdd967fde19dbc107c1abb97439e0e35</t>
  </si>
  <si>
    <t xml:space="preserve">B26-001-source-label；B26-001-2025-target；B26-001-formula；B26-001-NGAS002；B26-001-schedule；B26-001-supersession</t>
  </si>
  <si>
    <t xml:space="preserve">已全文但身份held仍在；不证明现售／当前采用、个人已签发或合同包完整。具体正文与范围问题见B25-27复核事项!A558:I572</t>
  </si>
  <si>
    <t xml:space="preserve">全部澄清、误报撤回、更正依据及非阻断边界见B25-27复核事项!A558:I572；批次补充历史在本表末段：A663:I1125。</t>
  </si>
  <si>
    <t xml:space="preserve">最终独立QA=needs_review；严格判定及全部纠正链见B25-27复核事项!A558:I572</t>
  </si>
  <si>
    <t xml:space="preserve">independent-qa.json#/batches/B26/documents/issues-and-clarifications-b26.json</t>
  </si>
  <si>
    <t xml:space="preserve">execution-evidence.json#/batches/B26/documents/review~1001-result.json</t>
  </si>
  <si>
    <t xml:space="preserve">{"issuer":"Sun Life Malaysia Assurance Berhad"}</t>
  </si>
  <si>
    <t xml:space="preserve">Group Amanah Saham Assurance (GASA2014)</t>
  </si>
  <si>
    <t xml:space="preserve">qa-b2627-final-review-20261026/issues-and-clarifications-b26.json#</t>
  </si>
  <si>
    <t xml:space="preserve">854d2f4e7057e95b3021fa738d64b6d2cbb9b724eb204319d1d602515dfd3f87</t>
  </si>
  <si>
    <t xml:space="preserve">execution-evidence.json#/batches/B26/documents/review~1001-page-proof.jsonl</t>
  </si>
  <si>
    <t xml:space="preserve">accepted-summary.json#/rows/24/accepted_full_page_proof</t>
  </si>
  <si>
    <t xml:space="preserve">本次实际加密=true；此前encrypted=false记录作为历史保留。复制允许=false；打印允许=false。普通只读显示；未提取、OCR、打印、解锁或改变原件权限。</t>
  </si>
  <si>
    <t xml:space="preserve">B26</t>
  </si>
  <si>
    <t xml:space="preserve">B26-MY-002</t>
  </si>
  <si>
    <t xml:space="preserve">independent-qa.json#/batches/B26/documents/accepted-b26.json/records/1</t>
  </si>
  <si>
    <t xml:space="preserve">最终状态：needs_review；准确问题、页码及已撤回项目见B25-27复核事项!A573:I588</t>
  </si>
  <si>
    <t xml:space="preserve">来源标签保留；参考码、holder、基础版次及附加条款分别核对。完整身份观察与最终处置见B25-27复核事项!A573:I588</t>
  </si>
  <si>
    <t xml:space="preserve">完整现存组成、语言及物理页映射见B25-27复核事项!A573:I588</t>
  </si>
  <si>
    <t xml:space="preserve">qa-b2627-final-review-20261026/accepted-b26.json#/records/1</t>
  </si>
  <si>
    <t xml:space="preserve">acquisition-regional-my-id-th/originals/MY-SUN-047_Mortgage_Reducing_Term_Takaful_Master_Contract_-_Bank_Rakyat_Cert_before_2015_d3fb44d1e3.pdf</t>
  </si>
  <si>
    <t xml:space="preserve">B26-002-source-identity；B26-002-death-refund-language；B26-002-pagination；B26-002-TPD-reference；B26-002-supersession；B26-002-numbering；B26-002-formula；B26-002-personal-schedule；B26-002-specific-benefit-controls</t>
  </si>
  <si>
    <t xml:space="preserve">已全文但身份held仍在；不证明现售／当前采用、个人已签发或合同包完整。具体正文与范围问题见B25-27复核事项!A573:I588</t>
  </si>
  <si>
    <t xml:space="preserve">全部澄清、误报撤回、更正依据及非阻断边界见B25-27复核事项!A573:I588；批次补充历史在本表末段：A663:I1125。</t>
  </si>
  <si>
    <t xml:space="preserve">最终独立QA=needs_review；严格判定及全部纠正链见B25-27复核事项!A573:I588</t>
  </si>
  <si>
    <t xml:space="preserve">execution-evidence.json#/batches/B26/documents/review~1002-result.json</t>
  </si>
  <si>
    <t xml:space="preserve">9912bd055e77d3ebc82680c467c2a1f2bc2940d4f17175cc38d4ff4b377842ba</t>
  </si>
  <si>
    <t xml:space="preserve">execution-evidence.json#/batches/B26/documents/review~1002-page-proof.jsonl</t>
  </si>
  <si>
    <t xml:space="preserve">accepted-summary.json#/rows/25/accepted_full_page_proof</t>
  </si>
  <si>
    <t xml:space="preserve">B26-MY-003</t>
  </si>
  <si>
    <t xml:space="preserve">independent-qa.json#/batches/B26/documents/accepted-b26.json/records/2</t>
  </si>
  <si>
    <t xml:space="preserve">最终状态：needs_review；准确问题、页码及已撤回项目见B25-27复核事项!A589:I605</t>
  </si>
  <si>
    <t xml:space="preserve">来源标签保留；参考码、holder、基础版次及附加条款分别核对。完整身份观察与最终处置见B25-27复核事项!A589:I605</t>
  </si>
  <si>
    <t xml:space="preserve">完整现存组成、语言及物理页映射见B25-27复核事项!A589:I605</t>
  </si>
  <si>
    <t xml:space="preserve">qa-b2627-final-review-20261026/accepted-b26.json#/records/2</t>
  </si>
  <si>
    <t xml:space="preserve">acquisition-regional-my-id-th/originals/MY-SUN-041_Decreasing_Term_Takaful_DTT_with_Optional_CI_Waiver_Benefit_Master_Contract_553d1edd0b.pdf</t>
  </si>
  <si>
    <t xml:space="preserve">QA-B26-003-HIV-AND-OR；QA-B26-003-FORMULA-LITERAL-BOUNDARY；QA-B26-003-REPLACEMENT-AND-CHRONOLOGY</t>
  </si>
  <si>
    <t xml:space="preserve">已全文但身份held仍在；不证明现售／当前采用、个人已签发或合同包完整。具体正文与范围问题见B25-27复核事项!A589:I605</t>
  </si>
  <si>
    <t xml:space="preserve">全部澄清、误报撤回、更正依据及非阻断边界见B25-27复核事项!A589:I605；批次补充历史在本表末段：A663:I1125。</t>
  </si>
  <si>
    <t xml:space="preserve">最终独立QA=needs_review；严格判定及全部纠正链见B25-27复核事项!A589:I605</t>
  </si>
  <si>
    <t xml:space="preserve">execution-evidence.json#/batches/B26/documents/remaining~1003-result-v3.json</t>
  </si>
  <si>
    <t xml:space="preserve">2025 EN DTT00001 vs MS DTT00002; earlier common amendments expressly both. No base code or schedule to prove each2025 language is counterpart of same master.</t>
  </si>
  <si>
    <t xml:space="preserve">Not named in supplied pages; defined by missing first schedule. No inferred bank or reassignment.</t>
  </si>
  <si>
    <t xml:space="preserve">Undated/unestablished; PDF creation2019/modification2026 are not base edition.</t>
  </si>
  <si>
    <t xml:space="preserve">{"body_issuer":"CIMB Aviva Takaful Berhad, bridged in-file to Sun Life Malaysia Takaful Berhad effective19August2013"}</t>
  </si>
  <si>
    <t xml:space="preserve">Decreasing Term Takaful (DTT) with Optional CI Waiver Benefit</t>
  </si>
  <si>
    <t xml:space="preserve">9af525b561df5c06c55217a19c5e12725c9c069ca78a4e8fde8292dd65f7ad60</t>
  </si>
  <si>
    <t xml:space="preserve">execution-evidence.json#/batches/B26/documents/remaining~1003-page-proof.jsonl</t>
  </si>
  <si>
    <t xml:space="preserve">accepted-summary.json#/rows/26/accepted_full_page_proof</t>
  </si>
  <si>
    <t xml:space="preserve">B26-MY-004</t>
  </si>
  <si>
    <t xml:space="preserve">independent-qa.json#/batches/B26/documents/accepted-b26.json/records/3</t>
  </si>
  <si>
    <t xml:space="preserve">最终状态：needs_review；准确问题、页码及已撤回项目见B25-27复核事项!A606:I616</t>
  </si>
  <si>
    <t xml:space="preserve">来源标签保留；参考码、holder、基础版次及附加条款分别核对。完整身份观察与最终处置见B25-27复核事项!A606:I616</t>
  </si>
  <si>
    <t xml:space="preserve">完整现存组成、语言及物理页映射见B25-27复核事项!A606:I616</t>
  </si>
  <si>
    <t xml:space="preserve">qa-b2627-final-review-20261026/accepted-b26.json#/records/3</t>
  </si>
  <si>
    <t xml:space="preserve">acquisition-regional-my-id-th/originals/MY-SUN-095_Sun_ShieldEasy-i_Master_Contract_b56d423ae6.pdf</t>
  </si>
  <si>
    <t xml:space="preserve">QA-B26-004-SPECIFIC-BENEFIT-SCOPES</t>
  </si>
  <si>
    <t xml:space="preserve">已全文但身份held仍在；不证明现售／当前采用、个人已签发或合同包完整。具体正文与范围问题见B25-27复核事项!A606:I616</t>
  </si>
  <si>
    <t xml:space="preserve">全部澄清、误报撤回、更正依据及非阻断边界见B25-27复核事项!A606:I616；批次补充历史在本表末段：A663:I1125。</t>
  </si>
  <si>
    <t xml:space="preserve">最终独立QA=needs_review；严格判定及全部纠正链见B25-27复核事项!A606:I616</t>
  </si>
  <si>
    <t xml:space="preserve">execution-evidence.json#/batches/B26/documents/remaining~1004-result.json</t>
  </si>
  <si>
    <t xml:space="preserve">2019endorsementSSE0918;2020endorsementSSE1117. No presentedmaster-schedulecode orholdertransfer/novation/namechange bridge.</t>
  </si>
  <si>
    <t xml:space="preserve">BaseEnglishp18/Malayp44 definesYOU/ANDA as Innovate Ventures Sdn Bhd(IVSB); 2020endorsement names Angkatan Koperasi Kebangsaan Malaysia Berhad. Neither treated as sourceownerreassignment.</t>
  </si>
  <si>
    <t xml:space="preserve">Undated; PDFcreation/modification2July2020 are notbaseeffective date.</t>
  </si>
  <si>
    <t xml:space="preserve">{"issuer":"Sun Life Malaysia Takaful Berhad throughout; no historicalissuerchange present"}</t>
  </si>
  <si>
    <t xml:space="preserve">Sun ShieldEasy-i</t>
  </si>
  <si>
    <t xml:space="preserve">54e4e396947be1b3ae716a568b39fca3bea9fcbbd7dba706c8dc695bd14fb8fe</t>
  </si>
  <si>
    <t xml:space="preserve">execution-evidence.json#/batches/B26/documents/remaining~1004-page-proof.jsonl</t>
  </si>
  <si>
    <t xml:space="preserve">accepted-summary.json#/rows/27/accepted_full_page_proof</t>
  </si>
  <si>
    <t xml:space="preserve">本次实际加密=true；此前encrypted=false记录作为历史保留。复制允许=false；打印允许=true。普通只读显示；未提取、OCR、打印、解锁或改变原件权限。</t>
  </si>
  <si>
    <t xml:space="preserve">B26-MY-005</t>
  </si>
  <si>
    <t xml:space="preserve">independent-qa.json#/batches/B26/documents/accepted-b26.json/records/4</t>
  </si>
  <si>
    <t xml:space="preserve">最终状态：needs_review；准确问题、页码及已撤回项目见B25-27复核事项!A617:I636</t>
  </si>
  <si>
    <t xml:space="preserve">来源标签保留；参考码、holder、基础版次及附加条款分别核对。完整身份观察与最终处置见B25-27复核事项!A617:I636</t>
  </si>
  <si>
    <t xml:space="preserve">完整现存组成、语言及物理页映射见B25-27复核事项!A617:I636</t>
  </si>
  <si>
    <t xml:space="preserve">qa-b2627-final-review-20261026/accepted-b26.json#/records/4</t>
  </si>
  <si>
    <t xml:space="preserve">acquisition-regional-my-id-th/originals/MY-SUP-004_Mortgage_Reducing_Term_Takaful_with_Refund_of_Contribution_MRTT_ROC_2c7725270f.pdf</t>
  </si>
  <si>
    <t xml:space="preserve">identity-qualification；integrated-ROC；explicit-replacement；conditional-TPD；schedule-not-veto；RSC-product-specific；numbering-layout；surrender-charge-crossreference；Facility-bilingual-scope；QA-B26-005-BOUNDED-PRIMARY；QA-B26-005-FORMULA-DOMAIN；QA-B26-005-INCONTESTABILITY-DATE-WORDING；QA-B26-005-SELF-INJURY-QUALIFIER；QA-B26-005-CONDITIONAL-TPD-AND-FEES</t>
  </si>
  <si>
    <t xml:space="preserve">不证明现售／当前采用、个人已签发或合同包完整。具体正文与范围问题见B25-27复核事项!A617:I636</t>
  </si>
  <si>
    <t xml:space="preserve">全部澄清、误报撤回、更正依据及非阻断边界见B25-27复核事项!A617:I636；批次补充历史在本表末段：A663:I1125。</t>
  </si>
  <si>
    <t xml:space="preserve">最终独立QA=needs_review；严格判定及全部纠正链见B25-27复核事项!A617:I636</t>
  </si>
  <si>
    <t xml:space="preserve">execution-evidence.json#/batches/B26/documents/remaining~1005-result-v2.json</t>
  </si>
  <si>
    <t xml:space="preserve">MROC0220 inbothdatedendorsementsets;MROC001–010baseannexfamily</t>
  </si>
  <si>
    <t xml:space="preserve">Schedule-definedYOU/ANDA(ENp10,MS32);noactualnamedholderestablished</t>
  </si>
  <si>
    <t xml:space="preserve">Business Financing MRTT master contract with integrated ROC only; not unqualified all variants or standalone ROC</t>
  </si>
  <si>
    <t xml:space="preserve">29dc2bfef362ec4b5ec032ae46d9ceb308769e10e57ad74649deca7b1bc28231</t>
  </si>
  <si>
    <t xml:space="preserve">execution-evidence.json#/batches/B26/documents/remaining~1005-page-proof.jsonl</t>
  </si>
  <si>
    <t xml:space="preserve">accepted-summary.json#/rows/28/accepted_full_page_proof</t>
  </si>
  <si>
    <t xml:space="preserve">B27-ID-001</t>
  </si>
  <si>
    <t xml:space="preserve">regional-20261025-590309d959b7ae50</t>
  </si>
  <si>
    <t xml:space="preserve">590309d959b7ae50b98eae81041181a8c12d16d124fd9092106b428f7666a5aa</t>
  </si>
  <si>
    <t xml:space="preserve">independent-qa.json#/batches/B27/documents/accepted-b27.json</t>
  </si>
  <si>
    <t xml:space="preserve">https://www.mag.co.id/wp-content/uploads/2021/09/PSATSI-Asuransi-TerorismeSabotase.pdf</t>
  </si>
  <si>
    <t xml:space="preserve">最终状态：needs_review；准确问题、页码及已撤回项目见B25-27复核事项!A637:I662</t>
  </si>
  <si>
    <t xml:space="preserve">来源标签保留；参考码、holder、基础版次及附加条款分别核对。完整身份观察与最终处置见B25-27复核事项!A637:I662</t>
  </si>
  <si>
    <t xml:space="preserve">完整现存组成、语言及物理页映射见B25-27复核事项!A637:I662</t>
  </si>
  <si>
    <t xml:space="preserve">qa-b2627-final-review-20261026/accepted-b27.json#</t>
  </si>
  <si>
    <t xml:space="preserve">acquisition-regional-my-id-th/originals/ID-DOC-007_PSATSI-Asuransi-TerorismeSabotase_590309d959.pdf</t>
  </si>
  <si>
    <t xml:space="preserve">1da95c65c9c2023176ee8dfd30310905e21991bcd6d00bbca6d64f61090dd755</t>
  </si>
  <si>
    <t xml:space="preserve">CL-01；CL-02；CL-03；CL-04；CL-05；CL-06；CL-07；ISS-01；ISS-02；ISS-03；ISS-04；ISS-05；ISS-06；ISS-07；ISS-08</t>
  </si>
  <si>
    <t xml:space="preserve">不证明现售／当前采用、个人已签发或合同包完整。具体正文与范围问题见B25-27复核事项!A637:I662</t>
  </si>
  <si>
    <t xml:space="preserve">全部澄清、误报撤回、更正依据及非阻断边界见B25-27复核事项!A637:I662；批次补充历史在本表末段：A663:I1125。</t>
  </si>
  <si>
    <t xml:space="preserve">最终独立QA=needs_review；严格判定及全部纠正链见B25-27复核事项!A637:I662</t>
  </si>
  <si>
    <t xml:space="preserve">independent-qa.json#/batches/B27/documents/issues-and-clarifications-b27.json</t>
  </si>
  <si>
    <t xml:space="preserve">execution-evidence.json#/batches/B27/documents/B27-ID-001~1result.json</t>
  </si>
  <si>
    <t xml:space="preserve">Asuransi MAG / A Fairfax Company（品牌）；正文未核完整法定实体名。</t>
  </si>
  <si>
    <t xml:space="preserve">Polis Standar Asuransi Terorisme dan Sabotase Indonesia / Indonesian Terrorism and Sabotage Insurance Standard Policy</t>
  </si>
  <si>
    <t xml:space="preserve">qa-b2627-final-review-20261026/issues-and-clarifications-b27.json#</t>
  </si>
  <si>
    <t xml:space="preserve">3958e66c745816b14913fcbebc84aafb6fd0e01271a4810d709bd359b8681c1e</t>
  </si>
  <si>
    <t xml:space="preserve">execution-evidence.json#/batches/B27/documents/B27-ID-001~1page-proof.json</t>
  </si>
  <si>
    <t xml:space="preserve">accepted-summary.json#/rows/29/accepted_full_page_proof</t>
  </si>
  <si>
    <t xml:space="preserve">复制允许=true；打印允许=true。普通只读显示；未提取、OCR、打印、解锁或改变原件权限。</t>
  </si>
  <si>
    <t xml:space="preserve">B27</t>
  </si>
  <si>
    <t xml:space="preserve">完整事项事实（规范JSON）</t>
  </si>
  <si>
    <t xml:space="preserve">最终QA接受与身份维度</t>
  </si>
  <si>
    <t xml:space="preserve">未单列；见事实</t>
  </si>
  <si>
    <t xml:space="preserve">{"actual_present_physical_pages":69,"all_pages_reviewed":true,"cleanup_reference":{"bytes":17502,"path":"independent-qa.json#/batches/B25/documents/group3~1001-cleanup.json","sha256":"e466de8486648af5ecc76f4dac0b4bd26d8d0edb4dcd305750b626d91c56e92e"},"current_adoption_credit":0,"execution_result_reference":{"bytes":8086,"path":"execution-evidence.json#/batches/B25/documents/group3~1001-result.json","sha256":"09e46ee3eb79b824e1369d9c15ba111e377053515cd2e152ddc3ffddd943c6b1"},"file_level_primary_role_previously_accepted":true,"formal_mutations":false,"full_content_review_complete":true,"full_review_accepted":true,"gap_closure_credit":0,"independent_QA":true,"new_original":0,"new_primary":0,"new_product":0,"original_id":"regional-20261025-598ec941d85e0b31","package_complete_credit":0,"page_proof_reference":{"bytes":32579,"path":"independent-qa.json#/batches/B25/documents/group3~1001-page-proof.jsonl","sha256":"223aeb9ed67674ebf7d3fa045433c7e472fa15b2b1516728254ccdfdaa5d6b60"},"prior_task_id":"B17-MY-015","qa_result_reference":{"bytes":13279,"path":"independent-qa.json#/batches/B25/documents/group3~1001-result.json","sha256":"cf8972a5c3ecf9fdbcf23d08731365a50762f6ebb347c62f9ad2c9c2ef6d2a4a"},"queue_id":"PENDING-598ec941d85e0b31","region_code":"MY","review_status":"full","sha256":"598ec941d85e0b31676b3a03d654e496981178e93ab4755b0ea71477d6da112d","source_archive_sha256":"d8dd60e6ef6061e4984143b9d891b5dd848b86f8833f800902ad758355a66515","source_insurer_preserved":"Sun Life Malaysia Takaful Berhad","strict_eligible":false,"strict_status":"needs_review","strict_verified":false,"target":"LiveSmart Master Contract","task_id":"B25-MY-001","verification_status":"needs_review"}</t>
  </si>
  <si>
    <t xml:space="preserve">事实／边界，不另计工单、全文、严格或页数。</t>
  </si>
  <si>
    <t xml:space="preserve">最终QA问题、澄清及撤回</t>
  </si>
  <si>
    <t xml:space="preserve">{"bytes":13279,"path":"independent-qa.json#/batches/B25/documents/group3~1001-result.json","sha256":"cf8972a5c3ecf9fdbcf23d08731365a50762f6ebb347c62f9ad2c9c2ef6d2a4a"}</t>
  </si>
  <si>
    <t xml:space="preserve">qa-b25-full-review-20261026/issues-and-clarifications.json#/files/0/current_QA_result</t>
  </si>
  <si>
    <t xml:space="preserve">independent-qa.json#/batches/B25/documents/issues-and-clarifications.json/files/0/current_QA_result</t>
  </si>
  <si>
    <t xml:space="preserve">3badf04d9eefc590e40b518c416ba6d647724b9101809c1c4969218249823a7a</t>
  </si>
  <si>
    <t xml:space="preserve">"needs_review"</t>
  </si>
  <si>
    <t xml:space="preserve">qa-b25-full-review-20261026/issues-and-clarifications.json#/files/0/final_status</t>
  </si>
  <si>
    <t xml:space="preserve">independent-qa.json#/batches/B25/documents/issues-and-clarifications.json/files/0/final_status</t>
  </si>
  <si>
    <t xml:space="preserve">ab7a92c04994549ac1f9060b44f27262eaf3e5952186e824ed711c9a099ff951</t>
  </si>
  <si>
    <t xml:space="preserve">[{"blocking":true,"finding":"2019 PA00316.3 EN other DIRECT CLAIMS-related expenses versus MS other expenses related to the participants fund, without direct-claims qualifier. Both replace same operative clause; no language precedence seen in69pages. Expense scope unresolved; no assumed actual improper or duplicate charge.","id":"001-QA-F1","pages":[1,3]},{"blocking":true,"finding":"PA0091.3 other-party offset after whole/partial reimbursement: EN excess over amount PAYABLE by thirdparty; MS amount TELAH DIBAYAR (already paid). In a partially paid claim where more remains payable, offset bases can differ; no in-file priority. Not an assertion of actual claim outcome.","id":"001-QA-F2","pages":[40,66]},{"blocking":false,"finding":"Independent216dpi confirms NOT MORE THAN104weeks English and corresponding Malay notexceed. Execution initial SHALL BE MORE THAN104WEEKS misread and purported bilingual contradiction remain preserved but withdrawn. Weekly1.7 EN paid reduces basic, MS yang akan dibayar (will be paid) reduces basic: preserve tense nuance, not equated to a separately defined unpaid entitlement offset. Both prospectively accelerate basic, cap total100%, and2.1 refer benefit paid; no demonstrated conflicting same-case value beyond wording alone.","id":"001-QA-C1","pages":[42,68]},{"blocking":false,"finding":"Undated OFS replacement labels PA013, actual importantnotice PA012; subject FMB replacement uniquely identifiable. Malaycontents1of24 versus actual complete1–25 is denominator error not absentpage. These do not establish wrongproduct or missingcomponent.","id":"001-QA-C2","pages":[17,18,21,43,45,69]},{"blocking":false,"finding":"2019 fund16 allocation afterQard plus17 surplus lessQard read together; no justified doubleQard inference. 50/50 and yearendnonlapsed/nonsurrendered/no claimorbenefit plus&lt;=RM10bankelsecharity retained.","id":"001-QA-C3","pages":[1,2,3,4]},{"blocking":false,"finding":"SID EN acute versus MS teruk preserved as nonidentical disease-description wording without inventing an extra quantified severity threshold. EN death directly asresult vs MS due is nuance, other-causes exclusion remains. SID2018 notwithstanding grant expressly coversinfectionTPD despite historic accident-based definition; specific grant overrides cause restriction, no assertion infectioncover impossible. SID only excludes covered event within30days LAST REINSTATEMENT, not an express initial-effective-date window. Sixmonths proof plus180daydefinition retained, not silently identical durations. SID002 explicitly retains proportionally reduced death whereTPDsumlower; do not generalize to otherbenefits/products.","id":"001-QA-C4","pages":[6,12,8,14,9,10,15,16,26,27,52,53]},{"blocking":false,"finding":"EN hazardouslist boxing omittedMS, but both exclude unlisted sports and other hazardous pursuits. No inference boxing covered or standalone strict veto.","id":"001-QA-C5","pages":[34,60]},{"blocking":false,"finding":"NCD firstsecondanniversary explicit inboth; generalnextanniv wording subjectfirsteligibility. Snatch once EVERY certificateyear matchesMalay; nofrequencyconflict. Generic benefitandwakalahschedules present,60daygrace confirmed. Personalselection/adoptionabsence not standaloneblock.","id":"001-QA-C6","pages":[39,65,41,67,23,47,48,29,55]}]</t>
  </si>
  <si>
    <t xml:space="preserve">qa-b25-full-review-20261026/issues-and-clarifications.json#/files/0/independent_findings</t>
  </si>
  <si>
    <t xml:space="preserve">independent-qa.json#/batches/B25/documents/issues-and-clarifications.json/files/0/independent_findings</t>
  </si>
  <si>
    <t xml:space="preserve">e9a86c90139caaa881bd766219a27823ceabe515bed24ff92faa7316b6cb6499</t>
  </si>
  <si>
    <t xml:space="preserve">[{"basis":"Own216dpi allfourpages","correction":"Actual SID0013.1(a)/SID0022.1(a) p9/10/15/16 only last reinstatement. Remove unsupported initial effective-date limb. Execution pageproof correctly limited reinstatement, resultsummary didnot.","field":"content_summary[2]","original":"30day exclusion since effective/reinstatement"},{"basis":"Own216dpi p8/10/15/16","correction":"SID002 p16 hasnotice30days andsixmonths/minimumproof/exam, NO express reasonable-lateness exception there. That exception isSID001 death p8/15, notTPD.","field":"001-zoom-confirmation.json p16","original":"SID002 proof6months, reasonablelatenotice,preexisting exclusion."},{"basis":"Own216dpi p19 vs1/5/17","correction":"Name/dateconfirmed; masterreference not onnamechange notice itself, appears2018/2019/OFS endorsements.","field":"001-zoom-confirmation.json p19","original":"Namechange19August2013;masterreference."},{"basis":"Own216dpi p5/6","correction":"Tiers onp5; sixdisease definitions onp6, within sameamendment, notliteralp5list.","field":"001-zoom-confirmation.json p5","original":"2018 infectionbenefit100000/200000 tiers and sixdisease amendment."},{"basis":"Own216dpi p42/68","correction":"Malay1.7 literally yang akan dibayar (will be paid), not explicit telah dibayar there. Retain bounded tense nuance perC1; do not silentlytranslate already-paid.","field":"001-page-proof.jsonl p68/current and prior descriptions","original":"Paidamount reduces basic sum"},{"basis":"Own216dpi p32/58","correction":"Fullclause allows retakaful ORreinsurance; approval sentence specificallyretakaful inTHISdocument. Unlikeotherproducts do not overwrite withreinsurance-only.","field":"001-page-proof.jsonl p32/58","original":"RetakafulShariahapproval"},{"basis":"Own216dpi p29","correction":"9.6 saysapprovedclaim/event, not limiteddeath; debtsetoff applies statedapprovedclaim scope.","field":"own001-page-proof p29","original":"offsetduecontribondeathclaim"},{"basis":"69ownphysicalpageproofs and45own216dpi confirmations","correction":"Independentlychecked afteroriginalvisualreview; F1/F2 accepted; all5executionclarifications retained withown confirmations, exceptions above. No propagation of withdrawnNOTerror; sourcefrozenunchanged.","field":"execution fullfield audit","original":"Allresultfields,69proofrows inclnon-note initial/correctionfields,27zoomfacts and001correction-register entry"}]</t>
  </si>
  <si>
    <t xml:space="preserve">qa-b25-full-review-20261026/issues-and-clarifications.json#/files/0/metadata_corrections</t>
  </si>
  <si>
    <t xml:space="preserve">independent-qa.json#/batches/B25/documents/issues-and-clarifications.json/files/0/metadata_corrections</t>
  </si>
  <si>
    <t xml:space="preserve">7faf35c916c83b4da5429d975ff7c5a85a31a4dcd2133a3e9c92d358dafefc79</t>
  </si>
  <si>
    <t xml:space="preserve">qa-b25-full-review-20261026/issues-and-clarifications.json#/files/0/qa_notes</t>
  </si>
  <si>
    <t xml:space="preserve">independent-qa.json#/batches/B25/documents/issues-and-clarifications.json/files/0/qa_notes</t>
  </si>
  <si>
    <t xml:space="preserve">4f53cda18c2baa0c0354bb5f9a3ecbe5ed12ab4d8e11ba873c2f11161202b945</t>
  </si>
  <si>
    <t xml:space="preserve">"69actualpages independentlyread;identity/genericbenefitfees/endorsements traced. Unresolved operative bilingual expense scope and thirdpartyoffset warrantreview; no soleblockfrompersonalschedule/currentadoption. Execution errors separately corrected withoutsourcechanges."</t>
  </si>
  <si>
    <t xml:space="preserve">qa-b25-full-review-20261026/issues-and-clarifications.json#/files/0/strict_basis</t>
  </si>
  <si>
    <t xml:space="preserve">independent-qa.json#/batches/B25/documents/issues-and-clarifications.json/files/0/strict_basis</t>
  </si>
  <si>
    <t xml:space="preserve">25071072087ef093d95e8fcff3c2fc28a80f5a6182eb15ed6b06f25da1dc7cef</t>
  </si>
  <si>
    <t xml:space="preserve">"B25-MY-001"</t>
  </si>
  <si>
    <t xml:space="preserve">qa-b25-full-review-20261026/issues-and-clarifications.json#/files/0/task_id</t>
  </si>
  <si>
    <t xml:space="preserve">independent-qa.json#/batches/B25/documents/issues-and-clarifications.json/files/0/task_id</t>
  </si>
  <si>
    <t xml:space="preserve">a2feb6332234fc03bff3709269f325442e75a6e5ef6337a1ddc54be24b6b02a3</t>
  </si>
  <si>
    <t xml:space="preserve">执行事实（最终QA处置并列保留）</t>
  </si>
  <si>
    <t xml:space="preserve">{"base_operator":"CIMB Aviva Takaful Berhad","endorsement_operator":"Sun Life Malaysia Takaful Berhad","identity_bridge":"p19 expressly records name change effective19August2013; documentary bridge, not registry/current adoption verification","master_reference":"BONUS-LS001-01062012","product":"LiveSmart, a plan under Takaful LifeStyle PA series","reference_not_edition":true}</t>
  </si>
  <si>
    <t xml:space="preserve">delivery-batch25-20261026/group3/001-result.json#/observed_identity</t>
  </si>
  <si>
    <t xml:space="preserve">execution-evidence.json#/batches/B25/documents/group3~1001-result.json/observed_identity</t>
  </si>
  <si>
    <t xml:space="preserve">d9bcaaaa491c574b38d92dd8bc762bffa7b5fb6517d1fdf094a8f8b105048f60</t>
  </si>
  <si>
    <t xml:space="preserve">["p1-4 bilingual02/2019 endorsement effective1July2019 replacing PA0031.1,15.1,16,17","p5-16 bilingual01/2018 endorsement effective1July2018 adding six specified infectious diseases,SID001,SID002 and general clauses","p17-18 undated bilingual OFS replacement notice headedPA013","p19 bilingual company-name endorsement effective19August2013","p20-43 English base cover and complete printed1-23,PA001-PA012","p44-69 Malay base cover and complete printed1-25,PA001-PA012"]</t>
  </si>
  <si>
    <t xml:space="preserve">delivery-batch25-20261026/group3/001-result.json#/components</t>
  </si>
  <si>
    <t xml:space="preserve">execution-evidence.json#/batches/B25/documents/group3~1001-result.json/components</t>
  </si>
  <si>
    <t xml:space="preserve">931c65f3ee1d64c4ffca908f7c7917afc8607334a186edb6c9098bdec9d99817</t>
  </si>
  <si>
    <t xml:space="preserve">["Accidental death/TPD tiersRM100000/200000, public-conveyance additional sameamount; medical annualRM2000/4000; optional snatchRM250/500 and weekly80%earnings capRM350/700; no-claim discount20%, first secondanniversary; wakalah50%years1-2 then40%.","Accidental death within180days; disappearance365days subjectproof/refund if alive; TPD permanent180days and applicable work/ADL tests, accident onsetwithin180days and age6 inclusive. Medical firsttreatment48h/subsequent180days. WeeklyTTDwithin20days,durationnotmore104weeks,total&lt;=100%basic reducing future cover.","2018 notwithstanding endorsement adds six named infections, doctor plus specified or equivalent test, 30day exclusion since effective/reinstatement, defineddeath/TPD; TPD aggregateRM2m and smallerTPD preserves reduced death residual. General clauses include legal action not PRIOR to2years, not an after2year limitation.","2019 netcontribution afterwakalah enters collectivefund; interestfreeQard; afterQard surplus50%operator/50%certificateowner subject no claim/inforce eligibility; &lt;=RM10 usesbankelseShariahcharity. Earlier base &lt;=RM10 returntofund replaced.","15dayfreelook,60daygrace,discretionary2yearreinstatement; 60daynotices for rate/fee/tabarru/productwithdrawal; annualrenewalconditions; historicalcomplaintcontacts replaced byOFS endorsement only to stated extent."]</t>
  </si>
  <si>
    <t xml:space="preserve">delivery-batch25-20261026/group3/001-result.json#/content_summary</t>
  </si>
  <si>
    <t xml:space="preserve">execution-evidence.json#/batches/B25/documents/group3~1001-result.json/content_summary</t>
  </si>
  <si>
    <t xml:space="preserve">ccf34089b1f0da7f93218f7bc61609064ab36bb606d2363550f1d03b13688a94</t>
  </si>
  <si>
    <t xml:space="preserve">[{"component":"02/2019 PA00316.3","effect":"Unresolved operativeexpense-scope ambiguity; do not infer actual duplicate deductions.","finding":"English charges other direct claims-related expenses; Malay permits other expenses related to the fund without the direct-claims qualifier. Current in-file bilingual expense scope differs; no language priority found.","id":"001-F1","pages":[1,3]},{"component":"PA0091.3","effect":"Unresolved operative reimbursement basis.","finding":"Third-party reimbursement offset: English excess over amount payable by third party; Malay excess over amount already paid (telah dibayar). This can differ for partialpayment belowamountowed; no language priority found.","id":"001-F2","pages":[40,66]}]</t>
  </si>
  <si>
    <t xml:space="preserve">delivery-batch25-20261026/group3/001-result.json#/substantive_findings</t>
  </si>
  <si>
    <t xml:space="preserve">execution-evidence.json#/batches/B25/documents/group3~1001-result.json/substantive_findings</t>
  </si>
  <si>
    <t xml:space="preserve">5d574ec286b6da25b0005ce6659afa9bbaeb7ba4cca655adfbf6510017091dc4</t>
  </si>
  <si>
    <t xml:space="preserve">[{"clarification":"Initial English104week reading omitted NOT.216dpi confirms notmore104weeks, matchingMalay; alleged contradiction withdrawn.","correction_basis":"Direct enlarged visualread p42PA0111.6 andp68; initial notes retained inpageproof.","pages":[42,68]},{"clarification":"OFS endorsement headingPA013 while actual base importantnoticePA012; targeted FMB replacement identifiable bysubject, bounded code error not blanket invalidity.","correction_basis":"Compared endorsement language and both complete base contents/notices.","pages":[17,18,21,43,45,69]},{"clarification":"Fund post-Qard allocation and surplus less-Qard wording read together; no double-Qard assertion.","correction_basis":"Explicit2019 replacements and joint reading.","pages":[1,2,3,4]},{"clarification":"English hazardous-avocation list expressly includes boxing; Malay does not, but open-ended hazardous/unlisted-activity exclusion remains. Do not infer boxing coverage.","correction_basis":"216dpi bilingual exclusion comparison.","pages":[34,60]},{"clarification":"Malay contents footer says1of24 but actual complete printed1-25; bounded denominator mismatch, no inferred absentpage.","correction_basis":"Allpresent69physicalpagesreviewed.","pages":[45,69]}]</t>
  </si>
  <si>
    <t xml:space="preserve">delivery-batch25-20261026/group3/001-result.json#/clarifications</t>
  </si>
  <si>
    <t xml:space="preserve">execution-evidence.json#/batches/B25/documents/group3~1001-result.json/clarifications</t>
  </si>
  <si>
    <t xml:space="preserve">25e696b80495610e3a712eb73be6e47f26e84fbcb45241dd8243b02ee4fccfb9</t>
  </si>
  <si>
    <t xml:space="preserve">"Initial semantic mistake retained and corrected in p42/p68 pageproof; no silently overwritten contradiction. Result fields above reflect216dpi confirmation."</t>
  </si>
  <si>
    <t xml:space="preserve">delivery-batch25-20261026/group3/001-result.json#/correction_basis</t>
  </si>
  <si>
    <t xml:space="preserve">execution-evidence.json#/batches/B25/documents/group3~1001-result.json/correction_basis</t>
  </si>
  <si>
    <t xml:space="preserve">94cc805211f90a7a486ecf9bb57463cc68095f0a1446ef81ba56bcbce57897ec</t>
  </si>
  <si>
    <t xml:space="preserve">["Current insurer adoption, source version currency, external statutes and complaint contacts not verified.","Generic benefit/fee schedule present; personal certificate/master particulars and optionalriderselection absent, not by themselves file-level blockers.","No assumption of complete individual contract package, claim outcome, current law, product count or gap closure."]</t>
  </si>
  <si>
    <t xml:space="preserve">delivery-batch25-20261026/group3/001-result.json#/preserved_uncertainties</t>
  </si>
  <si>
    <t xml:space="preserve">execution-evidence.json#/batches/B25/documents/group3~1001-result.json/preserved_uncertainties</t>
  </si>
  <si>
    <t xml:space="preserve">f27891ab081b56d6e0e0c4750b0a9785b0b50d7c4793204423ae14f471c1b036</t>
  </si>
  <si>
    <t xml:space="preserve">["Unresolved bilingual operative expense scope PA00316.3.","Unresolved bilingual third-party reimbursement basis PA0091.3."]</t>
  </si>
  <si>
    <t xml:space="preserve">delivery-batch25-20261026/group3/001-result.json#/strict_blocker_basis</t>
  </si>
  <si>
    <t xml:space="preserve">execution-evidence.json#/batches/B25/documents/group3~1001-result.json/strict_blocker_basis</t>
  </si>
  <si>
    <t xml:space="preserve">c79d64451ffbe2260efa25e90e500533c4451ef1be473fd08fc64f60ff187fdd</t>
  </si>
  <si>
    <t xml:space="preserve">准确原件权限与实际方法</t>
  </si>
  <si>
    <t xml:space="preserve">{"actual_present_pages":69,"all_present_pages_semantically_reviewed":true,"checked_at_utc":"2026-10-26T18:51:59.891974+00:00","copy_allowed":false,"display_denials":0,"member_bytes":1928432,"member_sha256":"598ec941d85e0b31676b3a03d654e496981178e93ab4755b0ea71477d6da112d","metadata_matches":true,"needs_password":0,"ordinary_visual_display_pending":false,"ordinary_visual_display_succeeded":true,"pdfinfo_metadata":"Creator:         PDF-XChange Editor 6.0.322.7\nProducer:        PDF-XChange Core API SDK (6.0.322.7)\nCreationDate:    Wed Dec  4 12:12:40 2019 JST\nModDate:         Wed Dec  4 12:13:12 2019 JST\nCustom Metadata: no\nMetadata Stream: yes\nTagged:          no\nUserProperties:  no\nSuspects:        no\nForm:            none\nJavaScript:      no\nPages:           69\nEncrypted:       yes (print:yes copy:no change:no addNotes:no algorithm:RC4)\nPage size:       595.32 x 841.92 pts (A4)\nPage rot:        0\nFile size:       1928432 bytes\nOptimized:       no\nPDF version:     1.7\n","pdfinfo_returncode":0,"permissions":-3388,"permissions_unchanged":true,"print_allowed":true,"source_archive_sha256":"d8dd60e6ef6061e4984143b9d891b5dd848b86f8833f800902ad758355a66515","task_id":"B25-MY-001","text_extraction_OCR_printing_unlocking_permission_changes":false}</t>
  </si>
  <si>
    <t xml:space="preserve">delivery-batch25-20261026/group3/001-preflight.json#</t>
  </si>
  <si>
    <t xml:space="preserve">execution-evidence.json#/batches/B25/documents/group3~1001-preflight.json</t>
  </si>
  <si>
    <t xml:space="preserve">c30b10bc98c762cb26051f69a23972f0c3e2da8351e8ae18d0ee0a3a30814721</t>
  </si>
  <si>
    <t xml:space="preserve">{"actual_present_physical_pages":69,"all_pages_reviewed":true,"cleanup_reference":{"bytes":14650,"path":"independent-qa.json#/batches/B25/documents/group1~1002-cleanup.json","sha256":"e2b7c5c45da4d24bc62b7120372081cda0acc7a2925b5e4a44a4fd6c3227d44c"},"current_adoption_credit":0,"execution_result_reference":{"bytes":8536,"path":"execution-evidence.json#/batches/B25/documents/group1~1002-result.json","sha256":"08d68ec442d9b676a058853b0e81f5521468e92dd7edcb036cba4445d3fb16be"},"file_level_primary_role_previously_accepted":true,"formal_mutations":false,"full_content_review_complete":true,"full_review_accepted":true,"gap_closure_credit":0,"independent_QA":true,"new_original":0,"new_primary":0,"new_product":0,"original_id":"regional-20261025-2acd14d90841d540","package_complete_credit":0,"page_proof_reference":{"bytes":30881,"path":"independent-qa.json#/batches/B25/documents/group1~1002-page-proof.jsonl","sha256":"e3cc85c308d61e780b57a83ca81f211b15dcb71dddd897e7cd83403670682d33"},"prior_task_id":"B17-MY-016","qa_result_reference":{"bytes":8455,"path":"independent-qa.json#/batches/B25/documents/group1~1002-result.json","sha256":"b5e73e8d4b0c1bc8ce0413ea6a6ee491bc1866e67fbe94d9c407cf4e580b7de3"},"queue_id":"PENDING-2acd14d90841d540","region_code":"MY","review_status":"full","sha256":"2acd14d90841d540723b4b28c8b35a75907456dba059f7f0000edce291ebc943","source_archive_sha256":"d8dd60e6ef6061e4984143b9d891b5dd848b86f8833f800902ad758355a66515","source_insurer_preserved":"Sun Life Malaysia Takaful Berhad","strict_eligible":false,"strict_status":"needs_review","strict_verified":false,"target":"LiveSmart Senior Master Contract","task_id":"B25-MY-002","verification_status":"needs_review"}</t>
  </si>
  <si>
    <t xml:space="preserve">{"current_QA_result":{"bytes":8455,"path":"independent-qa.json#/batches/B25/documents/group1~1002-result.json","sha256":"b5e73e8d4b0c1bc8ce0413ea6a6ee491bc1866e67fbe94d9c407cf4e580b7de3"},"final_status":"needs_review","independent_findings":[{"finding":"PA010/PA011 third-party reduction EN amount payable versus MS amount already paid; material textual measure difference, no actual payout inferred.","id":"QA-002-F1","pages":[41,42,67,68]},{"finding":"2019 PA00316.3 EN other direct claims related expenses; MS other related expenses lacks direct-claims qualifier; preserve expense-scope difference, no actual extra debit inferred.","id":"QA-002-F2","pages":[1,3]},{"finding":"OFS PA013 reference mismatch with present PA012 important notice; bounded numeric defect, not missing benefit annexure.","id":"QA-002-C1","pages":[17,18,21,43,45,69]},{"finding":"EN names boxing; MS omits named item while broad hazardous/unlisted exclusion remains; no covered-boxing inference.","id":"QA-002-C2","pages":[33,59]}],"metadata_corrections":[{"corrected":"Both EN PA0091.4 p39 and MS p65 expressly say once each certificate year and no more than one claim per accidental event. No frequency language difference exists.","field":"clarifications[3].observation; correction-register repeated field; page39 note omission","independent_confirmation":"216dpi ordinary read-only visual p39 and65; English once every certificate year visible.","original":"Malay brokenbones1.4 explicitly once/year,English says payable everyyear &lt;=1claim/event. Both schedule a fixed annual benefit and annual reinstatement;no unsupported assertion of different total payout.","source_unchanged":true,"withdrawn_inference":"Any suggestion that only Malay expressly states once per year."}],"qa_notes":[],"strict_basis":"69/69 independently semantically read. Existing rider payable versus already-paid deduction remains unresolved; additional2019 fund-expense qualifier difference. No language-priority clause found. Personal certificate/current adoption not independent veto.","task_id":"B25-MY-002"}</t>
  </si>
  <si>
    <t xml:space="preserve">3fd874e493b410b4bb6af9303cf0baa23ac346d0b709d5a0a1de665581b8ff97</t>
  </si>
  <si>
    <t xml:space="preserve">{"base_edition":null,"base_issuer":"CIMB Aviva Takaful Berhad","endorsement_issuer":"Sun Life Malaysia Takaful Berhad","master_reference_code":"BONUS-LSS001-01062012","name_bridge":"In-file bilingual p19 name notice;not registry-verified","named_master_holder":null,"product":"LiveSmart Senior"}</t>
  </si>
  <si>
    <t xml:space="preserve">delivery-batch25-20261026/group1/002-result.json#/observed_identity</t>
  </si>
  <si>
    <t xml:space="preserve">execution-evidence.json#/batches/B25/documents/group1~1002-result.json/observed_identity</t>
  </si>
  <si>
    <t xml:space="preserve">679c4dc7f6ececd4d0e9ee852a38672c344fdb2049f8215939af0430538e07f1</t>
  </si>
  <si>
    <t xml:space="preserve">[{"component":"02/2019 fund/qard/surplus replacement effective2019-07-01","pages":[1,2,3,4]},{"component":"01/2018 specified-infection/general additions effective2018-07-01","pages":[5,6,7,8,9,10,11,12,13,14,15,16]},{"component":"Undated FMB-to-OFS contact replacement","pages":[17,18]},{"component":"Bilingual name change effective2013-08-19","pages":[19]},{"component":"CIMB Aviva English base cover+numbered1–23","pages":[20,21,22,23,24,25,26,27,28,29,30,31,32,33,34,35,36,37,38,39,40,41,42,43]},{"component":"CIMB Aviva Malay base cover+numbered1–25","pages":[44,45,46,47,48,49,50,51,52,53,54,55,56,57,58,59,60,61,62,63,64,65,66,67,68,69]}]</t>
  </si>
  <si>
    <t xml:space="preserve">delivery-batch25-20261026/group1/002-result.json#/components</t>
  </si>
  <si>
    <t xml:space="preserve">execution-evidence.json#/batches/B25/documents/group1~1002-result.json/components</t>
  </si>
  <si>
    <t xml:space="preserve">415c96c4b56acf3e54e7393e0bcf5d55b079f2bc616dfa6520481814f1cdc947</t>
  </si>
  <si>
    <t xml:space="preserve">["Reviewed all definitions,contract constitution,eligibility/scheme options,rights,free look,contributions/grace/reinstatement,nomination,fees/funds,surplus,renewal/withdrawal,claims,sports,cancellation/termination/exclusions.","Reviewed both schedules,all accidental-death/public-conveyance/TPD/NCD/broken-bones/optional-medical/ambulance clauses and both2018specified-infection death/TPD annexures.","2019 explicitly replaces fund/qard/surplus clauses;2018notwithstanding adds six specified-infection benefits overriding contrary base disease exclusions for the added coverage;do not erase historical base or treat it as still unamended."]</t>
  </si>
  <si>
    <t xml:space="preserve">delivery-batch25-20261026/group1/002-result.json#/content_summary</t>
  </si>
  <si>
    <t xml:space="preserve">execution-evidence.json#/batches/B25/documents/group1~1002-result.json/content_summary</t>
  </si>
  <si>
    <t xml:space="preserve">086f59177602043c6d91992ff9e74b2faa321c0be34a90b7ad0fff7253e2d85f</t>
  </si>
  <si>
    <t xml:space="preserve">[{"disposition":"needs_review; retain both measures,do not choose one or infer actual claim outcome.","finding_id":"B25-002-F1","observation":"PA010/PA011 clause1.4 English deducts third-party amount payable after describing prior reimbursement;Malay deducts amount already paid(telah dibayar). No language-priority or express reconciliation found.","pages":[41,42,67,68],"severity":"material_bilingual_claim_calculation_difference"},{"disposition":"Retain exact labels;no source correction applied.","finding_id":"B25-002-F2","observation":"OFS endorsements label important notice PA013,but contents and actual bilingual notice are PA012. Explicit FMB replacement/title identifies intended subject;numeric mismatch remains source defect,not missing benefit annexure or automatic invalidity.","pages":[17,18,21,43,45,69],"severity":"bounded_cross_reference_defect"},{"disposition":"Preserve bounded language clarification;not sole reason for needs_review.","finding_id":"B25-002-F3","observation":"English hazardous avocation expressly lists boxing;Malay equivalent list omits that named item. Both retain broad hazardous/unlisted-sport exclusions,so no inference that boxing becomes covered.","pages":[33,59],"severity":"bilingual_enumeration_difference"}]</t>
  </si>
  <si>
    <t xml:space="preserve">delivery-batch25-20261026/group1/002-result.json#/substantive_findings</t>
  </si>
  <si>
    <t xml:space="preserve">execution-evidence.json#/batches/B25/documents/group1~1002-result.json/substantive_findings</t>
  </si>
  <si>
    <t xml:space="preserve">8add85e155f79aeaf63eb42cf3a26762a35d683fbc294af9705b3f685a9ccef4</t>
  </si>
  <si>
    <t xml:space="preserve">[{"observation":"English17.1 less-qard read with16.4 expressly after qard repayment;Malay16.4/17.1 explicitly after repayment. No factual double deduction established.","pages":[1,2,3,4]},{"observation":"Both languages literally bar legal proceedings before expiry of2years;not mistranscribed as after2years;no current enforceability opinion.","pages":[8,14]},{"observation":"2018specific reduced continuing death balance inSID0021.3 read with generalTPD termination subject contract;not automatically a contradiction or unconditional forfeiture.","pages":[9,10,16,32,58]},{"observation":"Malay brokenbones1.4 explicitly once/year,English says payable everyyear &lt;=1claim/event. Both schedule a fixed annual benefit and annual reinstatement;no unsupported assertion of different total payout.","pages":[23,39,47,65]}]</t>
  </si>
  <si>
    <t xml:space="preserve">delivery-batch25-20261026/group1/002-result.json#/clarifications</t>
  </si>
  <si>
    <t xml:space="preserve">execution-evidence.json#/batches/B25/documents/group1~1002-result.json/clarifications</t>
  </si>
  <si>
    <t xml:space="preserve">4caeaa9d4fe0e922d3e17adc09608285d05cbc5c565913f48d97934f91277ea7</t>
  </si>
  <si>
    <t xml:space="preserve">["Personal certificate,holder,selected benefit tier/rider combo and eligibility schedule particulars not established;generic PA002 benefit+fee schedules are present.","Base edition/current adoption and external legal validity not established;reference-code suffix is not an edition certification.","Name bridge documentary only;source insurer and historical body issuer retained without reassignment."]</t>
  </si>
  <si>
    <t xml:space="preserve">delivery-batch25-20261026/group1/002-result.json#/preserved_uncertainties</t>
  </si>
  <si>
    <t xml:space="preserve">execution-evidence.json#/batches/B25/documents/group1~1002-result.json/preserved_uncertainties</t>
  </si>
  <si>
    <t xml:space="preserve">3418cf441c1e06235f5abc0f593d3277c8d05b446f13e544d7fa12f8c60b1547</t>
  </si>
  <si>
    <t xml:space="preserve">"Unresolved material bilingual third-party deduction measure in existing rider wording,not merely absent current adoption or individual schedule."</t>
  </si>
  <si>
    <t xml:space="preserve">delivery-batch25-20261026/group1/002-result.json#/strict_blocker_basis</t>
  </si>
  <si>
    <t xml:space="preserve">execution-evidence.json#/batches/B25/documents/group1~1002-result.json/strict_blocker_basis</t>
  </si>
  <si>
    <t xml:space="preserve">1a926e7146be5d2ae5b668e4ae781618cb7bb5cceda082aafeb09f9704956659</t>
  </si>
  <si>
    <t xml:space="preserve">{"actual_present_pages":69,"all_present_pages_semantically_reviewed":true,"checked_at_utc":"2026-10-26T18:17:02.058283+00:00","copy_allowed":false,"display_denials":0,"member_bytes":1915023,"member_sha256":"2acd14d90841d540723b4b28c8b35a75907456dba059f7f0000edce291ebc943","metadata_matches":true,"needs_password":0,"ordinary_visual_display_pending":false,"ordinary_visual_display_succeeded":true,"pdfinfo_metadata":"Creator:         PDF-XChange Editor 6.0.322.7\nProducer:        PDF-XChange Core API SDK (6.0.322.7)\nCreationDate:    Wed Dec  4 18:25:49 2019 JST\nModDate:         Wed Dec  4 18:27:09 2019 JST\nCustom Metadata: no\nMetadata Stream: yes\nTagged:          no\nUserProperties:  no\nSuspects:        no\nForm:            none\nJavaScript:      no\nPages:           69\nEncrypted:       yes (print:yes copy:no change:no addNotes:no algorithm:RC4)\nPage size:       595.32 x 841.92 pts (A4)\nPage rot:        0\nFile size:       1915023 bytes\nOptimized:       no\nPDF version:     1.7\n","pdfinfo_returncode":0,"permissions":-3388,"permissions_unchanged":true,"print_allowed":true,"source_archive_sha256":"d8dd60e6ef6061e4984143b9d891b5dd848b86f8833f800902ad758355a66515","task_id":"B25-MY-002","text_extraction_OCR_printing_unlocking_permission_changes":false}</t>
  </si>
  <si>
    <t xml:space="preserve">delivery-batch25-20261026/group1/002-preflight.json#</t>
  </si>
  <si>
    <t xml:space="preserve">execution-evidence.json#/batches/B25/documents/group1~1002-preflight.json</t>
  </si>
  <si>
    <t xml:space="preserve">87f07757dd9b8647f5d7ded14f42b0a5c348e24699ff31ce8ff82bd033a74b1e</t>
  </si>
  <si>
    <t xml:space="preserve">{"actual_present_physical_pages":74,"all_pages_reviewed":true,"cleanup_reference":{"bytes":12690,"path":"independent-qa.json#/batches/B25/documents/group2-003-cleanup.json","sha256":"de6d30bb0c41c5703a97b1431524de77501559610fedd347c3dafb481dfee06b"},"current_adoption_credit":0,"execution_result_reference":{"bytes":10323,"path":"execution-evidence.json#/batches/B25/documents/group2~1003-result.json","sha256":"4bfa1b93507fdc2b3fe312bddbd72ca489531d7590f9946a28f0ada20540d7f5"},"file_level_primary_role_previously_accepted":true,"formal_mutations":false,"full_content_review_complete":true,"full_review_accepted":true,"gap_closure_credit":0,"independent_QA":true,"new_original":0,"new_primary":0,"new_product":0,"original_id":"regional-20261025-0067649d5e35f8ae","package_complete_credit":0,"page_proof_reference":{"bytes":32854,"path":"independent-qa.json#/batches/B25/documents/group2-003-page-proof.jsonl","sha256":"23d72e4dc72866994dd6d67bb43d4c8c9a95e5a6353c9342ac772dc3dc8b02a8"},"prior_task_id":"B17-MY-017","qa_result_reference":{"bytes":4430,"path":"independent-qa.json#/batches/B25/documents/group2-003-result.json","sha256":"ef546285493b179405288e12283fdbbb5acd1a467847022c37652fa027f8fc29"},"queue_id":"PENDING-0067649d5e35f8ae","region_code":"MY","review_status":"full","sha256":"0067649d5e35f8ae4373dae7a9225934491a052290bd41985152b59dd1ce8181","source_archive_sha256":"d8dd60e6ef6061e4984143b9d891b5dd848b86f8833f800902ad758355a66515","source_insurer_preserved":"Sun Life Malaysia Takaful Berhad","strict_eligible":false,"strict_status":"needs_review","strict_verified":false,"target":"LiveSure Ladies Master Contract","task_id":"B25-MY-003","verification_status":"needs_review"}</t>
  </si>
  <si>
    <t xml:space="preserve">{"current_QA_result":{"bytes":4430,"path":"independent-qa.json#/batches/B25/documents/group2-003-result.json","sha256":"ef546285493b179405288e12283fdbbb5acd1a467847022c37652fa027f8fc29"},"final_status":"needs_review","independent_findings":[],"metadata_corrections":[],"qa_notes":["Confirmed medical third-party payable versus already-paid wording; unresolved operative measure independently supports needs_review.","ATM first-branch English location phrase is potentially ambiguous in attachment; retain potential spatial-scope discrepancy, not a definitive coverage result. OR1km remains in both.","OFS PA013 label is bounded contact cross-reference error; actual important noticePA014 and pregnancyPA013 preserved.","SID002 explicitly preserves proportional residual death cover after smaller TPD; do not generalize to PA007.","All source note/clarification/correction_basis/zoom/result facts reviewed; no additional source metadata correction required. Missing personal schedule/current adoption not sole strict basis."],"strict_basis":["Confirmed medical third-party payable versus already-paid wording; unresolved operative measure independently supports needs_review.","ATM first-branch English location phrase is potentially ambiguous in attachment; retain potential spatial-scope discrepancy, not a definitive coverage result. OR1km remains in both.","OFS PA013 label is bounded contact cross-reference error; actual important noticePA014 and pregnancyPA013 preserved.","SID002 explicitly preserves proportional residual death cover after smaller TPD; do not generalize to PA007.","All source note/clarification/correction_basis/zoom/result facts reviewed; no additional source metadata correction required. Missing personal schedule/current adoption not sole strict basis."],"task_id":"B25-MY-003"}</t>
  </si>
  <si>
    <t xml:space="preserve">5005ca9e7f294ae30df0a4b48f8fbaaac58f460dcf7848d9bbfb591b424f0346</t>
  </si>
  <si>
    <t xml:space="preserve">{"base_edition":null,"base_issuer":"Sun Life Malaysia Takaful Berhad","endorsement_issuer":"Sun Life Malaysia Takaful Berhad","master_reference_code":"BR-LSL001-19012015","name_bridge":null,"named_master_holder":null,"product":"LiveSure Ladies (Takaful LifeStyle PA series)"}</t>
  </si>
  <si>
    <t xml:space="preserve">delivery-batch25-20261026/group2/003-result.json#/observed_identity</t>
  </si>
  <si>
    <t xml:space="preserve">execution-evidence.json#/batches/B25/documents/group2~1003-result.json/observed_identity</t>
  </si>
  <si>
    <t xml:space="preserve">6859ed0f8fc8c70eacd8b0e1a4e99e20fea2a7f1757dc5ee126c48a2686b92dd</t>
  </si>
  <si>
    <t xml:space="preserve">[{"component":"02/2019 fund/qard/surplus replacement effective 2019-07-01","pages":[1,2,3,4]},{"component":"01/2018 specified-infection and general additions effective 2018-07-01","pages":[5,6,7,8,9,10,11,12,13,14,15,16]},{"component":"Undated FMB-to-OFS contact replacement","pages":[17,18]},{"component":"English base cover and numbered 1–27, printed 3 absent","pages":[19,20,21,22,23,24,25,26,27,28,29,30,31,32,33,34,35,36,37,38,39,40,41,42,43,44,45]},{"component":"Malay base cover and numbered 1–29, printed 3 absent","pages":[46,47,48,49,50,51,52,53,54,55,56,57,58,59,60,61,62,63,64,65,66,67,68,69,70,71,72,73,74]}]</t>
  </si>
  <si>
    <t xml:space="preserve">delivery-batch25-20261026/group2/003-result.json#/components</t>
  </si>
  <si>
    <t xml:space="preserve">execution-evidence.json#/batches/B25/documents/group2~1003-result.json/components</t>
  </si>
  <si>
    <t xml:space="preserve">079b76d449c9b32f5eca1adf0f325f572b79f03a07717a9a78749e51ad12c936</t>
  </si>
  <si>
    <t xml:space="preserve">["All present English and Malay pages read: contract constitution, definitions, eligibility, rights, free look, contribution/grace/reinstatement, nominees, wakalah/tabarru/funds/surplus, renewal/withdrawal, claims, sports, cancellation, termination and exclusions.","All accident death/public conveyance/TPD/NCD/medical and conditional combo A theft/ATM/joyous occasion/pregnancy benefit clauses and 2018 specified-infection death/TPD additions read.","2019 explicitly replaces qard definition, clause 15.1 and whole clauses 16/17; 2018 notwithstanding additions add six named infections and related benefits. Historical base wording retained but not treated as unamended."]</t>
  </si>
  <si>
    <t xml:space="preserve">delivery-batch25-20261026/group2/003-result.json#/content_summary</t>
  </si>
  <si>
    <t xml:space="preserve">execution-evidence.json#/batches/B25/documents/group2~1003-result.json/content_summary</t>
  </si>
  <si>
    <t xml:space="preserve">a53b5d65c4134a4dbf39cdfa136f4c956a2bfbee976e7ce9a180fec98c1c5f02</t>
  </si>
  <si>
    <t xml:space="preserve">[{"disposition":"needs_review; preserve both formulations, no actual claim calculation or outcome inferred.","finding_id":"B25-003-F1","observation":"PA009 clause 1.3 English uses amount payable by third party after describing prior reimbursement; Malay uses amount already paid (telah dibayar). The deductible reimbursement base can differ where entitlement and payment differ; no language priority or express reconciliation found.","pages":[39,68],"severity":"material_bilingual_claim_calculation_difference"},{"disposition":"needs_review; do not silently choose one language or infer particular robbery coverage.","finding_id":"B25-003-F2","observation":"PA011 clause 1.3(a) English includes at the ATM itself with the within-30-minutes branch, while Malay says within 30 minutes after withdrawal from that ATM without an express robbery-at-ATM location phrase. Both use OR for branch (b), within 1 km. This can affect the spatial scope of the first branch.","pages":[41,70],"severity":"potential_material_bilingual_location_condition_difference"},{"disposition":"Retain source labels; not deletion/replacement of pregnancy benefit or proof of invalidity.","finding_id":"B25-003-F3","observation":"OFS endorsement labels important notice PA013, but both contents and actual notices identify PA014; PA013 is pregnancy-related complication. Express replacement targets FMB contact only.","pages":[17,18,20,43,45,47,72,74],"severity":"bounded_cross_reference_defect"},{"disposition":"Record header defect; do not infer automatic rider inclusion or use alone as strict blocker.","finding_id":"B25-003-F4","observation":"English lower benefit table is Rider combo A; Malay lower table repeats Manfaat-manfaat asas (basic benefits). Both languages of individual combo A clauses require master schedule and certificate inclusion.","pages":[22,49,69,70,71,72],"severity":"bilingual_table_header_difference"},{"disposition":"Preserve variation; not a finding that boxing is covered.","finding_id":"B25-003-F5","observation":"English hazardous-avocation list expressly includes boxing, which the Malay list does not individually name. Broad hazardous/unlisted-sport exclusions remain in both languages.","pages":[34,62],"severity":"bilingual_enumeration_difference"}]</t>
  </si>
  <si>
    <t xml:space="preserve">delivery-batch25-20261026/group2/003-result.json#/substantive_findings</t>
  </si>
  <si>
    <t xml:space="preserve">execution-evidence.json#/batches/B25/documents/group2~1003-result.json/substantive_findings</t>
  </si>
  <si>
    <t xml:space="preserve">dbcf413c931293fbb6b80910102f7dbdff5cd54e9b853434695e44258f469648</t>
  </si>
  <si>
    <t xml:space="preserve">[{"correction_basis":"Full replacement clauses and paired bilingual reading.","observation":"English clause 17.1 less-qard phrasing read with clause 16.4 expressly after qard repayment; Malay clauses 16.4/17.1 explicitly after repayment. No double deduction established.","pages":[1,2,3,4]},{"correction_basis":"216dpi confirmation of prior to / sebelum.","observation":"Both languages literally prohibit proceedings before expiry of two years; not an after-two-year limitation transcription. No current-law enforceability opinion.","pages":[8,14]},{"correction_basis":"Express notwithstanding and SID002 clause 1.3.","observation":"2018 notwithstanding additions provide specified-infection death/TPD despite contrary base general disease/vector exclusions. Specific continuing reduced death balance after smaller TPD payment is read with termination subject to contract terms, not automatic forfeiture.","pages":[5,9,10,11,16,34,62,63]},{"correction_basis":"PA013 clause 2.1 bilingual exception.","observation":"Pregnancy rider expressly excepts the general pregnancy/childbirth/miscarriage exclusion; general exclusion does not by itself nullify this rider.","pages":[34,43,63,72]}]</t>
  </si>
  <si>
    <t xml:space="preserve">delivery-batch25-20261026/group2/003-result.json#/clarifications</t>
  </si>
  <si>
    <t xml:space="preserve">execution-evidence.json#/batches/B25/documents/group2~1003-result.json/clarifications</t>
  </si>
  <si>
    <t xml:space="preserve">7ad87e3d7fab68ac3e08b1e89536d94c77996a66debd4c9b9007973a1bc9a123</t>
  </si>
  <si>
    <t xml:space="preserve">["Printed page 3 is absent in both base languages (physical 21→22 and 48→49 jump printed 2→4); master schedule/holder and individual certificate selection not established. Generic benefit and wakalah tables are present. Personal applicability/package completeness is not inferred.","Master code suffix and endorsement dates do not certify base edition or current adoption. OFS endorsement has no explicit calendar effective date.","No language-priority clause found to resolve the two operative bilingual differences."]</t>
  </si>
  <si>
    <t xml:space="preserve">delivery-batch25-20261026/group2/003-result.json#/preserved_uncertainties</t>
  </si>
  <si>
    <t xml:space="preserve">execution-evidence.json#/batches/B25/documents/group2~1003-result.json/preserved_uncertainties</t>
  </si>
  <si>
    <t xml:space="preserve">adb3075dd9a37873885c91ce5642b632ac44e57986f89457a8393f5d6149037e</t>
  </si>
  <si>
    <t xml:space="preserve">"Unresolved operative bilingual third-party deduction measure and ATM location-condition scope, not merely absent personal schedule or current adoption."</t>
  </si>
  <si>
    <t xml:space="preserve">delivery-batch25-20261026/group2/003-result.json#/strict_blocker_basis</t>
  </si>
  <si>
    <t xml:space="preserve">execution-evidence.json#/batches/B25/documents/group2~1003-result.json/strict_blocker_basis</t>
  </si>
  <si>
    <t xml:space="preserve">9e4677b5240fa5e450059d833bbe91d6549c018d054dedf5ace83ee66a0f39e7</t>
  </si>
  <si>
    <t xml:space="preserve">{"actual_present_pages":74,"all_present_pages_semantically_reviewed":true,"checked_at_utc":"2026-10-26T18:20:12.236995+00:00","copy_allowed":false,"display_denials":0,"member_bytes":1768114,"member_sha256":"0067649d5e35f8ae4373dae7a9225934491a052290bd41985152b59dd1ce8181","metadata_matches":true,"needs_password":0,"ordinary_visual_display_pending":false,"ordinary_visual_display_succeeded":true,"pdfinfo_metadata":"Creator:         PDF-XChange Editor 6.0.322.7\nProducer:        PDF-XChange Core API SDK (6.0.322.7)\nCreationDate:    Wed Dec  4 10:44:12 2019 JST\nModDate:         Wed Dec  4 12:17:19 2019 JST\nCustom Metadata: no\nMetadata Stream: yes\nTagged:          no\nUserProperties:  no\nSuspects:        no\nForm:            none\nJavaScript:      no\nPages:           74\nEncrypted:       yes (print:yes copy:no change:yes addNotes:yes algorithm:RC4)\nPage size:       595.32 x 841.92 pts (A4)\nPage rot:        0\nFile size:       1768114 bytes\nOptimized:       no\nPDF version:     1.7\n","pdfinfo_returncode":0,"permissions":-3092,"permissions_unchanged":true,"print_allowed":true,"source_archive_sha256":"d8dd60e6ef6061e4984143b9d891b5dd848b86f8833f800902ad758355a66515","task_id":"B25-MY-003","text_extraction_OCR_printing_unlocking_permission_changes":false}</t>
  </si>
  <si>
    <t xml:space="preserve">delivery-batch25-20261026/group2/003-preflight.json#</t>
  </si>
  <si>
    <t xml:space="preserve">execution-evidence.json#/batches/B25/documents/group2~1003-preflight.json</t>
  </si>
  <si>
    <t xml:space="preserve">5d08ca95d6420596f3e7a6aeb44b131a6e7f24893cb48fb4a98106659fc3d857</t>
  </si>
  <si>
    <t xml:space="preserve">{"actual_present_physical_pages":44,"all_pages_reviewed":true,"cleanup_reference":{"bytes":8853,"path":"independent-qa.json#/batches/B25/documents/group2-004-cleanup.json","sha256":"33473f6ac0f6f756abbfb1a75d4215d83885026b620460b26d50433f0776ab39"},"current_adoption_credit":0,"execution_result_reference":{"bytes":8502,"path":"execution-evidence.json#/batches/B25/documents/group2~1004-result.json","sha256":"d7add29a0d688724f0192f3ee6a88d92bdbe4e46f8b6a3761b59fd2bea3fa652"},"file_level_primary_role_previously_accepted":true,"formal_mutations":false,"full_content_review_complete":true,"full_review_accepted":true,"gap_closure_credit":0,"independent_QA":true,"new_original":0,"new_primary":0,"new_product":0,"original_id":"regional-20261025-1f9483e1bef697a6","package_complete_credit":0,"page_proof_reference":{"bytes":19090,"path":"independent-qa.json#/batches/B25/documents/group2-004-page-proof.jsonl","sha256":"f3be9fd1d4a61abbdff05970127c42cd2d8b64efbd1f070f67be75c742144eb0"},"prior_task_id":"B17-MY-018","qa_result_reference":{"bytes":5384,"path":"independent-qa.json#/batches/B25/documents/group2-004-result.json","sha256":"c2f784e963e372089cf376ab77f39e600a24b1ac6efbe2a1e9450dcc721ad07c"},"queue_id":"PENDING-1f9483e1bef697a6","region_code":"MY","review_status":"full","sha256":"1f9483e1bef697a617103240ea849daa5207452ce77c807aa515b3d74242604c","source_archive_sha256":"d8dd60e6ef6061e4984143b9d891b5dd848b86f8833f800902ad758355a66515","source_insurer_preserved":"Sun Life Malaysia Takaful Berhad","strict_eligible":true,"strict_status":"verified","strict_verified":true,"target":"Long Term House Owner Takaful Contract - Permodalan RISDA Berhad","task_id":"B25-MY-004","verification_status":"verified"}</t>
  </si>
  <si>
    <t xml:space="preserve">{"current_QA_result":{"bytes":5384,"path":"independent-qa.json#/batches/B25/documents/group2-004-result.json","sha256":"c2f784e963e372089cf376ab77f39e600a24b1ac6efbe2a1e9450dcc721ad07c"},"final_status":"verified","independent_findings":[],"metadata_corrections":[],"qa_notes":["All44physicalpages independently understood; bilingual operative scope reconciled, bounded wrong Introduction004 heading and2013/1984 statutory-year defect preserved, not silently corrected.","MS tiada supplier negative independently confirmed at216dpi; preserve execution withdrawn missing-negative suspicion, not a current issue.","Water unattended/unoccupied literal nuance preserved without assumed residency definition or claim outcome. FE34 special cancellation applies extensiononly;FC51/FC48saving clauses retained.","All execution page notes,clarification,correction_basis,result and21zoom confirmation facts compared; no new correction required. Generic file-level verified only: no personal schedule,current adoption,complete-package or legal-validity certification."],"strict_basis":["All44physicalpages independently understood; bilingual operative scope reconciled, bounded wrong Introduction004 heading and2013/1984 statutory-year defect preserved, not silently corrected.","MS tiada supplier negative independently confirmed at216dpi; preserve execution withdrawn missing-negative suspicion, not a current issue.","Water unattended/unoccupied literal nuance preserved without assumed residency definition or claim outcome. FE34 special cancellation applies extensiononly;FC51/FC48saving clauses retained.","All execution page notes,clarification,correction_basis,result and21zoom confirmation facts compared; no new correction required. Generic file-level verified only: no personal schedule,current adoption,complete-package or legal-validity certification."],"task_id":"B25-MY-004"}</t>
  </si>
  <si>
    <t xml:space="preserve">f88ede0a85d203200d3382c050ee3c54499b4ea14a557873191152c2da960f9a</t>
  </si>
  <si>
    <t xml:space="preserve">{"base_edition":null,"base_issuer":"Sun Life Malaysia Takaful Berhad","endorsement_issuer":"Sun Life Malaysia Takaful Berhad","master_reference_code":"LTHORI32","name_bridge":null,"named_master_holder":null,"product":"Long Term Homeowner Takaful (LTHO)"}</t>
  </si>
  <si>
    <t xml:space="preserve">delivery-batch25-20261026/group2/004-result.json#/observed_identity</t>
  </si>
  <si>
    <t xml:space="preserve">execution-evidence.json#/batches/B25/documents/group2~1004-result.json/observed_identity</t>
  </si>
  <si>
    <t xml:space="preserve">71913753d4f4957923a72442793a73a8e5e3764e2b56b21433e9437bfef3755a</t>
  </si>
  <si>
    <t xml:space="preserve">[{"component":"Bilingual endorsement effective 2015-01-01","pages":[1,2,3,4]},{"component":"English cover and base numbered1–19; printed3 schedule absent","pages":[5,6,7,8,9,10,11,12,13,14,15,16,17,18,19,20,21,22,23]},{"component":"Malay cover and base numbered1–21; printed3 schedule absent","pages":[24,25,26,27,28,29,30,31,32,33,34,35,36,37,38,39,40,41,42,43,44]}]</t>
  </si>
  <si>
    <t xml:space="preserve">delivery-batch25-20261026/group2/004-result.json#/components</t>
  </si>
  <si>
    <t xml:space="preserve">execution-evidence.json#/batches/B25/documents/group2~1004-result.json/components</t>
  </si>
  <si>
    <t xml:space="preserve">e00e9f23b171339eb7bdaf9854456a84130d3ebc7ed9ac38ec463efd6b2d851c</t>
  </si>
  <si>
    <t xml:space="preserve">["All present pages of both languages semantically read, including perils, excess, building definition, rent/public-liability contingencies, warranties, exclusions, claims, cancellation/arbitration, upkeep, average/valuation/surplus and all six incorporated clause/endorsement forms.","2015 endorsement expressly replaces introduction clause3 and adds disclosure/tax clauses18/19. FE34 special riot/strike/malicious damage conditions replace identified clauses only within that extension; base cancellation and riot exclusions are not treated as unreconciled contradictions.","Generic operative limits are present: water RM50; wind/quake/flood lesser1% building sum orRM200; public liability RM50,000; rent10% or endorsed limit. No personal property sum, address, certificate selection or current applicability inferred."]</t>
  </si>
  <si>
    <t xml:space="preserve">delivery-batch25-20261026/group2/004-result.json#/content_summary</t>
  </si>
  <si>
    <t xml:space="preserve">execution-evidence.json#/batches/B25/documents/group2~1004-result.json/content_summary</t>
  </si>
  <si>
    <t xml:space="preserve">197d40a184e4ea85fe246ae355a8f5bea60c035a8c45ac0c8d62b18e9d9139e1</t>
  </si>
  <si>
    <t xml:space="preserve">delivery-batch25-20261026/group2/004-result.json#/substantive_findings</t>
  </si>
  <si>
    <t xml:space="preserve">execution-evidence.json#/batches/B25/documents/group2~1004-result.json/substantive_findings</t>
  </si>
  <si>
    <t xml:space="preserve">[{"correction_basis":"Cross-read actual introductions/excess clauses and explicit replacement content; no source text changed.","observation":"Malay2015 endorsement Introduction heading says LTHORI004; English and both base contents/body identify Introduction as LTHORI001, with LTHORI004 being Excess. Replacement title and clause3 subject identify introduction, while excess has no clause3. Preserve wrong source label, not an amendment of excess.","pages":[1,3,6,7,9,25,26,28]},{"correction_basis":"Paired216dpi confirmation; no invented statutory amendment.","observation":"English16.4 first cites Islamic Financial Services Act2013 then1984 for loss-adjuster valuation evidence; Malay cites2013 in both places. Bounded statutory-year source inconsistency retained; valuation mechanism, absence-of-provider trigger and mutually appointed fallback align. No external legal validity assessment.","pages":[18,38]},{"correction_basis":"004-zoom-038.png ordinary read-only visual review confirmed the negative tiada.","observation":"Initial144dpi note suspected missing absence condition. 216dpi confirms tiada pengeluar is present; Malay fallback is conditional on no supplier/contractor just like English. Suspicion withdrawn, not a substantive finding.","pages":[38]},{"correction_basis":"Paired216dpi LTHORI0035.2/6 review.","observation":"Water exclusion English left unattended is rendered Malay tidak dihuni (unoccupied). Preserve literal language nuance; do not invent a residency definition, grace period or actual coverage outcome. Theft separately specifies &gt;90 cumulative unoccupied days.","pages":[8,27]},{"correction_basis":"Express scope restrictions in FE34 special conditions.","observation":"FE34 special cancellation no refund on participant request applies to the extension only; base pro-rata cancellation remains for base coverage. FE34 notwithstanding cover and special exclusions prevent treating base riot exclusion as automatically voiding extension.","pages":[17,21,22,23,37,41,42,43,44]},{"correction_basis":"Actual saving clauses in both languages.","observation":"FC51 date-recognition exclusion retains subsequent-covered-peril saving. FC48 data/software exclusion retains direct physical-property-damage exception; awkward English participant physical damage phrasing not silently rewritten.","pages":[20,21,40,41]}]</t>
  </si>
  <si>
    <t xml:space="preserve">delivery-batch25-20261026/group2/004-result.json#/clarifications</t>
  </si>
  <si>
    <t xml:space="preserve">execution-evidence.json#/batches/B25/documents/group2~1004-result.json/clarifications</t>
  </si>
  <si>
    <t xml:space="preserve">b231baa4c77ce762394d1324b7dbd98ffebc2feef6b11ef48602815740bb6f54</t>
  </si>
  <si>
    <t xml:space="preserve">["No printed schedule3 in either language; name Permodalan RISDA Berhad is preserved as acquisition target but not freshly established as holder by present operative pages. LTHORI32 and LTHO product/issuer are directly observed.","Base edition, personal certificate/property address/sum and current adoption remain unestablished. The absence of individual schedule alone is not treated as failed file-level semantic verification.","File-level verified proposal does not certify legal enforceability, present regulation, current use, complete individual contract package or specific claim entitlement."]</t>
  </si>
  <si>
    <t xml:space="preserve">delivery-batch25-20261026/group2/004-result.json#/preserved_uncertainties</t>
  </si>
  <si>
    <t xml:space="preserve">execution-evidence.json#/batches/B25/documents/group2~1004-result.json/preserved_uncertainties</t>
  </si>
  <si>
    <t xml:space="preserve">24867aa52990c31f7675e25b4354c8baa7126c0d734643c16de91ce6cfcf9568</t>
  </si>
  <si>
    <t xml:space="preserve">null</t>
  </si>
  <si>
    <t xml:space="preserve">delivery-batch25-20261026/group2/004-result.json#/strict_blocker_basis</t>
  </si>
  <si>
    <t xml:space="preserve">execution-evidence.json#/batches/B25/documents/group2~1004-result.json/strict_blocker_basis</t>
  </si>
  <si>
    <t xml:space="preserve">74234e98afe7498fb5daf1f36ac2d78acc339464f950703b8c019892f982b90b</t>
  </si>
  <si>
    <t xml:space="preserve">"All44present pages understood bilingually; no unresolved substantive operative contradiction identified after explicit endorsement scope and enlarged negative-word confirmation. Bounded source-label/year defects and schedule/current-use qualifiers preserved for independent QA."</t>
  </si>
  <si>
    <t xml:space="preserve">delivery-batch25-20261026/group2/004-result.json#/strict_proposal_basis</t>
  </si>
  <si>
    <t xml:space="preserve">execution-evidence.json#/batches/B25/documents/group2~1004-result.json/strict_proposal_basis</t>
  </si>
  <si>
    <t xml:space="preserve">b7584e4b6542d096785e4f24f04508e1e78961e1d67b4ea4f4d1cdf3612327bc</t>
  </si>
  <si>
    <t xml:space="preserve">{"actual_present_pages":44,"all_present_pages_semantically_reviewed":true,"checked_at_utc":"2026-10-26T18:33:41.391747+00:00","copy_allowed":false,"display_denials":0,"member_bytes":746995,"member_sha256":"1f9483e1bef697a617103240ea849daa5207452ce77c807aa515b3d74242604c","metadata_matches":true,"needs_password":0,"ordinary_visual_display_pending":false,"ordinary_visual_display_succeeded":true,"pdfinfo_metadata":"Title:           \nAuthor:          Valued Acer Customer\nCreator:         Adobe Acrobat 10.1.8\nProducer:        Adobe Acrobat 10.1.8\nCreationDate:    Wed Jan 28 12:50:12 2015 JST\nModDate:         Wed Jan 28 12:50:37 2015 JST\nCustom Metadata: no\nMetadata Stream: yes\nTagged:          no\nUserProperties:  no\nSuspects:        no\nForm:            none\nJavaScript:      no\nPages:           44\nEncrypted:       yes (print:yes copy:no change:no addNotes:no algorithm:RC4)\nPage size:       595.44 x 841.92 pts (A4)\nPage rot:        0\nFile size:       746995 bytes\nOptimized:       no\nPDF version:     1.6\n","pdfinfo_returncode":0,"permissions":-1340,"permissions_unchanged":true,"print_allowed":true,"source_archive_sha256":"d8dd60e6ef6061e4984143b9d891b5dd848b86f8833f800902ad758355a66515","task_id":"B25-MY-004","text_extraction_OCR_printing_unlocking_permission_changes":false}</t>
  </si>
  <si>
    <t xml:space="preserve">delivery-batch25-20261026/group2/004-preflight.json#</t>
  </si>
  <si>
    <t xml:space="preserve">execution-evidence.json#/batches/B25/documents/group2~1004-preflight.json</t>
  </si>
  <si>
    <t xml:space="preserve">37560af42dd7f7822bcee36551e5847a8271fb8b80153aaa6f4077bb7b81c54d</t>
  </si>
  <si>
    <t xml:space="preserve">{"actual_present_physical_pages":54,"all_pages_reviewed":true,"cleanup_reference":{"bytes":10332,"path":"independent-qa.json#/batches/B25/documents/group2-005-cleanup.json","sha256":"d445e15851d8b79802ff536b00945548a74cd8a8342738a30e1d7833b9e0c7e7"},"current_adoption_credit":0,"execution_result_reference":{"bytes":10251,"path":"execution-evidence.json#/batches/B25/documents/group2~1005-result.json","sha256":"05245df67134c350a715fec2979ca4b5ef7c61756f56966161f16565bb5e0c59"},"file_level_primary_role_previously_accepted":true,"formal_mutations":false,"full_content_review_complete":true,"full_review_accepted":true,"gap_closure_credit":0,"independent_QA":true,"new_original":0,"new_primary":0,"new_product":0,"original_id":"regional-20261025-e7cd29c495978add","package_complete_credit":0,"page_proof_reference":{"bytes":23837,"path":"independent-qa.json#/batches/B25/documents/group2-005-page-proof.jsonl","sha256":"5a9194b901929350f104c6d5286c00d2cda26f8163c493f1853071abd66e15c2"},"prior_task_id":"B17-MY-019","qa_result_reference":{"bytes":5773,"path":"independent-qa.json#/batches/B25/documents/group2-005-result.json","sha256":"f77a4bb4e73f5ec9833d828147c71b428e9a35b985aa923e801c13d6ab20e7d0"},"queue_id":"PENDING-e7cd29c495978add","region_code":"MY","review_status":"full","sha256":"e7cd29c495978addf3b528b3173252011a3bc0f18e057a5f7536994a2c70ca6c","source_archive_sha256":"d8dd60e6ef6061e4984143b9d891b5dd848b86f8833f800902ad758355a66515","source_insurer_preserved":"Sun Life Malaysia Takaful Berhad","strict_eligible":false,"strict_status":"needs_review","strict_verified":false,"target":"Mortgage Reducing Term Takaful with Funeral Benefit Contract (MRTT33) - Bahagian Pinjaman Perumahan","task_id":"B25-MY-005","verification_status":"needs_review"}</t>
  </si>
  <si>
    <t xml:space="preserve">{"current_QA_result":{"bytes":5773,"path":"independent-qa.json#/batches/B25/documents/group2-005-result.json","sha256":"f77a4bb4e73f5ec9833d828147c71b428e9a35b985aa923e801c13d6ab20e7d0"},"final_status":"needs_review","independent_findings":[],"metadata_corrections":[],"qa_notes":["Independent54page review confirms substantive unreconciled bilingual tabarru factors,firstfee-term band3-5vs1-5 andimmoralityTPDexclusion;no explicitlanguagepriorityfound. Personal schedule/currentadoptionnotsoleblockers.","Preserve withdrawal: both23and43 expressly NOTassignable, independently216dpi confirmed. Preserve all prior notes/correction_basis by frozen-source references.","Allsourcepage notes/priornotes/clarifications/correction_basis/result/components/32zoomfacts checked. Bounded2019MS24/25swap,010/011formula label,90days/3months,limbat/above nuance,missinggenericMSsurrenderclause withspecificfeepresent retained.","Independentformula clarification:34/54 both12n-(t-1),t=12dp+1through12n;underpositive-rate/nonzero-denominatorassumption firstpostdefermentfactor=1 andlastlistedmonthfactor remainspositive. No zero-rate branch printed; directlpr=0substitutionis0/0,not anotherproduct12n-tbranch. No monthend convention orpersonalprincipal invented.","Malaydeath/TPDloanwordingsebenarditanggung lacks an explicit outstanding token present in EN; retain as lexical nuance only,not asserted different loan amount. No claim payout computed."],"strict_basis":["Independent54page review confirms substantive unreconciled bilingual tabarru factors,firstfee-term band3-5vs1-5 andimmoralityTPDexclusion;no explicitlanguagepriorityfound. Personal schedule/currentadoptionnotsoleblockers.","Preserve withdrawal: both23and43 expressly NOTassignable, independently216dpi confirmed. Preserve all prior notes/correction_basis by frozen-source references.","Allsourcepage notes/priornotes/clarifications/correction_basis/result/components/32zoomfacts checked. Bounded2019MS24/25swap,010/011formula label,90days/3months,limbat/above nuance,missinggenericMSsurrenderclause withspecificfeepresent retained.","Independentformula clarification:34/54 both12n-(t-1),t=12dp+1through12n;underpositive-rate/nonzero-denominatorassumption firstpostdefermentfactor=1 andlastlistedmonthfactor remainspositive. No zero-rate branch printed; directlpr=0substitutionis0/0,not anotherproduct12n-tbranch. No monthend convention orpersonalprincipal invented.","Malaydeath/TPDloanwordingsebenarditanggung lacks an explicit outstanding token present in EN; retain as lexical nuance only,not asserted different loan amount. No claim payout computed."],"task_id":"B25-MY-005"}</t>
  </si>
  <si>
    <t xml:space="preserve">c8ba4fbd86c0f7c8f75f4ec716d040e37f990fdc607f52bbed4e7b9e0d57bfa1</t>
  </si>
  <si>
    <t xml:space="preserve">{"base_edition":null,"base_issuer":"Sun Life Malaysia Takaful Berhad","endorsement_issuer":"Sun Life Malaysia Takaful Berhad","master_reference_code":"MRTT33","name_bridge":null,"named_master_holder":null,"product":"Mortgage Reducing Term Takaful with Funeral Benefit"}</t>
  </si>
  <si>
    <t xml:space="preserve">delivery-batch25-20261026/group2/005-result.json#/observed_identity</t>
  </si>
  <si>
    <t xml:space="preserve">execution-evidence.json#/batches/B25/documents/group2~1005-result.json/observed_identity</t>
  </si>
  <si>
    <t xml:space="preserve">e64a76fe1d54bc2d49ce361660255a1f205a968edcb999e0e0eee5ef5a560352</t>
  </si>
  <si>
    <t xml:space="preserve">[{"component":"Bilingual endorsement effective2020-07-01","pages":[1,2,3,4,5,6]},{"component":"Bilingual law-amendment endorsement effective2019-07-01","pages":[7,8]},{"component":"Bilingual rights/surplus/profit endorsement effective2019-07-01","pages":[9,10]},{"component":"Bilingual surrender endorsement effective2018-09-01","pages":[11,12]},{"component":"Bilingual historical surrender endorsement effective2015-04-01","pages":[13,14]},{"component":"English cover/base printed1–20 exceptschedule3","pages":[15,16,17,18,19,20,21,22,23,24,25,26,27,28,29,30,31,32,33,34]},{"component":"Malay cover/base printed1–20 exceptschedule3","pages":[35,36,37,38,39,40,41,42,43,44,45,46,47,48,49,50,51,52,53,54]}]</t>
  </si>
  <si>
    <t xml:space="preserve">delivery-batch25-20261026/group2/005-result.json#/components</t>
  </si>
  <si>
    <t xml:space="preserve">execution-evidence.json#/batches/B25/documents/group2~1005-result.json/components</t>
  </si>
  <si>
    <t xml:space="preserve">6e2f8c401bd37c12f92d4d0489b6255fe27bd4ed6806c5c10682e67ee3c5c528</t>
  </si>
  <si>
    <t xml:space="preserve">["All54presentpages semantically reviewed in English/Malay, including chronological endorsements, general conditions, account/fund/charges, death/TPD/funeral, fee tables and monthly reducing-sum formula.","2020 explicitly replaces principles, age7.3/7.4, wholeaccount/fund clauses andwakalahclause2; adds definitions andexpiry17.2/17.3.2019 adds legalamendmentpower, replacesrights24.2/profit5 andaddssurplus4.2.2018 whollyreplaces surrenderclause2, superseding2015RM53includingGST withlesserRM50/account.","Death/TPD benefit is reducing-sum/account structure withoutdoublecounting;holder receiveslowerfinance/sum, balance nominee/rightfulclaimant orcoveredperson. TPDaggregateRM2million,age65monthlyanniversarylimit;funeralRM1000coveredperson/one spouse,RM500eachmax2children.","RSCformula visiblyidentical acrosslanguages; itprints1duringdeferment anddiscount-ratio thereafter, withoutpersonalprincipalmultiplier. No personalfinancingcalculation or currentadoption inferred."]</t>
  </si>
  <si>
    <t xml:space="preserve">delivery-batch25-20261026/group2/005-result.json#/content_summary</t>
  </si>
  <si>
    <t xml:space="preserve">execution-evidence.json#/batches/B25/documents/group2~1005-result.json/content_summary</t>
  </si>
  <si>
    <t xml:space="preserve">e8816fef958cc7cde3e1001d47220875eac337359c9b7a76eafe63e8972445fb</t>
  </si>
  <si>
    <t xml:space="preserve">[{"effect":"Needsreview; do notinventratingrules oractualcharge.","observation":"MRTT0063.1 English lists age,occupation,health,gender andunderwritingcategory as tabarru-rate factors;Malay lists only firstthree.2020 replaces clause2,not3.1; scope of rate factors remains bilinguallyunreconciled.","pages":[27,47]},{"effect":"Needsreview; no eligibility/ratefor1–2years inferred.","observation":"MRTT010 wakalah tables firstfinancingtermband is3–5years inEnglish but1–5years inMalay, bothmale/female. Corresponding percentagesmatch;1–2year treatment notresolved bypresenttext.","pages":[32,52]},{"effect":"Needsreview; no actualclaimdenialorcoverage inferred.","observation":"MRTT0082.1(c)EnglishTPDexclusion expresslyincludes immorality;Malay sameitem contains suicide/attempt/selfinjury butnoequivalentimmoralityterm. Noexplicitreplacementresolves thisscope difference.","pages":[29,49]}]</t>
  </si>
  <si>
    <t xml:space="preserve">delivery-batch25-20261026/group2/005-result.json#/substantive_findings</t>
  </si>
  <si>
    <t xml:space="preserve">execution-evidence.json#/batches/B25/documents/group2~1005-result.json/substantive_findings</t>
  </si>
  <si>
    <t xml:space="preserve">040b31ba225baebe647b975ca2ddba02a30d7d02ebb8c94242b66932f6b9d893</t>
  </si>
  <si>
    <t xml:space="preserve">[{"correction_basis":"Ordinaryread-only216dpiEnglish23 shows are not assignable;Malay43 says tidak boleh diserah hak. Priorsemanticnotes andcorrectionfields retained.","observation":"Bothlanguagesprohibitassignment. Initial144dpi Englishnote missed not andmistakenlyalleged bilingualconflict;216dpiconfirmation withdrewit.","pages":[23,43]},{"correction_basis":"Paired216dpiendorsement andactualbaseheading comparison.","observation":"2019Malayinvestmentprofitfinalparagraph reverses24/25: terminationunder24 thenapply25, unlikeEnglish25→24 andMalay surplusparagraph25→24. Actualbothbaseheadingsare24Rights/options and25Termination; preservewrongcrossreferences withoutsilentsourcecorrection.","pages":[9,10,24,44,45]},{"correction_basis":"Actual011formula pages plusdefinitioncomparison;sourceunchanged.","observation":"Malaydefinition(m)pointsformulaMRTT010;Englishpoints011,andactualbilingualformula/contentsare011. Formula exists;boundedwronglabel,notmissingannexure.","pages":[18,34,38,54]},{"correction_basis":"Paired216dpi21.1 review.","observation":"MastercancellationnoticeEnglish90days vsMalay3months. Theseare not assumedcalendaridentical;bothpreserveexistingindividualcoverageuntil expiry/25event.","pages":[24,44]},{"correction_basis":"Completeadjacentpagesread; specific2018lesserRM50/account andfuturecertificate90dayrevisionrule.","observation":"Malay006ends3.4withoutEnglish006clause4generic surrendercharges. Specific010chargeand2018wholeclause2replacement existinbothlanguages;no inferenceofsurrenderfeeabsenceor doublefee.","pages":[27,47,32,52,11,12]},{"correction_basis":"Paired216dpiTPDdefinition review.","observation":"TPDlimblossEnglish says at or above wrist/ankle;Malay di atas wording literallyabove. Six-monthand3of6ADLtests align;literalboundarynuance retainedwithoutclaimoutcome.","pages":[19,39]},{"correction_basis":"Bothlanguagesexpresswholeclausedeletion/replacementanddates.","observation":"RM53GST2015 andRM50in2018 are chronologicalexplicitentireclause2replacements,notunreconciledsimultaneouscharges.2015GSTfootnote historicalonly.","pages":[11,12,13,14,32,52]},{"correction_basis":"Contentsandactualpageheadings.","observation":"Englishcontentslistsfuneralatprinted16;actualfuneralprinted17andMalaycontents17. Benefitbodypresentandread.","pages":[16,31,36,51]}]</t>
  </si>
  <si>
    <t xml:space="preserve">delivery-batch25-20261026/group2/005-result.json#/clarifications</t>
  </si>
  <si>
    <t xml:space="preserve">execution-evidence.json#/batches/B25/documents/group2~1005-result.json/clarifications</t>
  </si>
  <si>
    <t xml:space="preserve">455b8103c817cd9f810a435106d43a1eae7e07086861b25b9b6bc52e9ac063d8</t>
  </si>
  <si>
    <t xml:space="preserve">["Both master schedulesprinted3 andindividual certificates/application/financevaluesabsent;acquisitiontargetBahagianPinjamanPerumahanpreservedbutnotfreshlyestablishedasnamedholder. Notaloneastrictfailure.","Baseedition/currentadoption/personalsumandtermremainunestablished;endorsementdatesrecordtheirscopeonly.","No languagepriorityruleobservedresolvingmaterialdifferences;no legalenforceability,claimentitlement,packagecompletenessoractualtaxassessmentmade."]</t>
  </si>
  <si>
    <t xml:space="preserve">delivery-batch25-20261026/group2/005-result.json#/preserved_uncertainties</t>
  </si>
  <si>
    <t xml:space="preserve">execution-evidence.json#/batches/B25/documents/group2~1005-result.json/preserved_uncertainties</t>
  </si>
  <si>
    <t xml:space="preserve">4a56bccffa00b0609d3d919baac5527476a8fa504e39669962e0a62830373598</t>
  </si>
  <si>
    <t xml:space="preserve">"Confirmed bilingualunreconciled tabarru-rate factors, wakalahterm-band scope andTPDexclusionwording; notmissingpersonalschedule orcurrentadoption."</t>
  </si>
  <si>
    <t xml:space="preserve">delivery-batch25-20261026/group2/005-result.json#/strict_blocker_basis</t>
  </si>
  <si>
    <t xml:space="preserve">execution-evidence.json#/batches/B25/documents/group2~1005-result.json/strict_blocker_basis</t>
  </si>
  <si>
    <t xml:space="preserve">f5b93b239b07ac6b0ce3f13d01c063978cb4f7ec217b49c2c4c8407d2b549586</t>
  </si>
  <si>
    <t xml:space="preserve">{"actual_present_pages":54,"all_present_pages_semantically_reviewed":true,"checked_at_utc":"2026-10-26T18:42:28.532589+00:00","copy_allowed":false,"display_denials":0,"member_bytes":1088290,"member_sha256":"e7cd29c495978addf3b528b3173252011a3bc0f18e057a5f7536994a2c70ca6c","metadata_matches":true,"needs_password":0,"ordinary_visual_display_pending":false,"ordinary_visual_display_succeeded":true,"pdfinfo_metadata":"Author:          Valued Acer Customer\nCreator:         Microsoft® Word 2016\nProducer:        Microsoft® Word 2016\nCreationDate:    Wed Jul  1 11:23:12 2020 JST\nModDate:         Wed Jul  1 11:55:42 2020 JST\nCustom Metadata: no\nMetadata Stream: yes\nTagged:          yes\nUserProperties:  no\nSuspects:        no\nForm:            none\nJavaScript:      no\nPages:           54\nEncrypted:       yes (print:no copy:no change:no addNotes:no algorithm:RC4)\nPage size:       595.32 x 841.92 pts (A4)\nPage rot:        0\nFile size:       1088290 bytes\nOptimized:       no\nPDF version:     1.5\n","pdfinfo_returncode":0,"permissions":-3392,"permissions_unchanged":true,"print_allowed":false,"source_archive_sha256":"d8dd60e6ef6061e4984143b9d891b5dd848b86f8833f800902ad758355a66515","task_id":"B25-MY-005","text_extraction_OCR_printing_unlocking_permission_changes":false}</t>
  </si>
  <si>
    <t xml:space="preserve">delivery-batch25-20261026/group2/005-preflight.json#</t>
  </si>
  <si>
    <t xml:space="preserve">execution-evidence.json#/batches/B25/documents/group2~1005-preflight.json</t>
  </si>
  <si>
    <t xml:space="preserve">2927c3215f7b8f86f705abb1c1d91a90c2a3c74b3e49b6af285d3c34a9724747</t>
  </si>
  <si>
    <t xml:space="preserve">{"actual_present_physical_pages":49,"all_pages_reviewed":true,"cleanup_reference":{"bytes":12408,"path":"independent-qa.json#/batches/B25/documents/group1~1006-cleanup.json","sha256":"020847b55443e194e9713d941ba9ec235ccfdc751a70b49847fef4227853c89f"},"current_adoption_credit":0,"execution_result_reference":{"bytes":9844,"path":"execution-evidence.json#/batches/B25/documents/group1~1006-result.json","sha256":"3024dd12593f2f3e14cfd8ed495f53ea2b460b3fc51725675ff3e487b082b41b"},"file_level_primary_role_previously_accepted":true,"formal_mutations":false,"full_content_review_complete":true,"full_review_accepted":true,"gap_closure_credit":0,"independent_QA":true,"new_original":0,"new_primary":0,"new_product":0,"original_id":"regional-20261025-f5859e236ab2c1b1","package_complete_credit":0,"page_proof_reference":{"bytes":22705,"path":"independent-qa.json#/batches/B25/documents/group1~1006-page-proof.jsonl","sha256":"1e743d5262d76cee2e86c035c81e1c7b392b0d4c7b7b9a122f855716f7648964"},"prior_task_id":"B17-MY-020","qa_result_reference":{"bytes":22909,"path":"independent-qa.json#/batches/B25/documents/group1~1006-result.json","sha256":"c47ca88dc5f40cd9b0cffc5f3e261a7ba302e945181e59a151ac66d02765c9fb"},"queue_id":"PENDING-f5859e236ab2c1b1","region_code":"MY","review_status":"full","sha256":"f5859e236ab2c1b12ad0da4e5061c780939817dc12f891cb1faadc3df89d2bb9","source_archive_sha256":"d8dd60e6ef6061e4984143b9d891b5dd848b86f8833f800902ad758355a66515","source_insurer_preserved":"Sun Life Malaysia Takaful Berhad","strict_eligible":true,"strict_status":"verified","strict_verified":true,"target":"Mortgage Reducing Term Takaful Contract - CIMB Bank Berhad","task_id":"B25-MY-006","verification_status":"verified"}</t>
  </si>
  <si>
    <t xml:space="preserve">{"bytes":22909,"path":"independent-qa.json#/batches/B25/documents/group1~1006-result.json","sha256":"c47ca88dc5f40cd9b0cffc5f3e261a7ba302e945181e59a151ac66d02765c9fb"}</t>
  </si>
  <si>
    <t xml:space="preserve">qa-b25-full-review-20261026/issues-and-clarifications.json#/files/5/current_QA_result</t>
  </si>
  <si>
    <t xml:space="preserve">independent-qa.json#/batches/B25/documents/issues-and-clarifications.json/files/5/current_QA_result</t>
  </si>
  <si>
    <t xml:space="preserve">30f5b87274a65c7c05d39aaecc23e841a86951024fba9e3c3cf06626fa192455</t>
  </si>
  <si>
    <t xml:space="preserve">"verified"</t>
  </si>
  <si>
    <t xml:space="preserve">qa-b25-full-review-20261026/issues-and-clarifications.json#/files/5/final_status</t>
  </si>
  <si>
    <t xml:space="preserve">independent-qa.json#/batches/B25/documents/issues-and-clarifications.json/files/5/final_status</t>
  </si>
  <si>
    <t xml:space="preserve">3d50e8dfbd6e9d98d503dbdd371f0896b67b6f98884de6b1bbc711bff2508994</t>
  </si>
  <si>
    <t xml:space="preserve">QA-006-C1</t>
  </si>
  <si>
    <t xml:space="preserve">[28,42,33,48,34,47,26,40,32,46]</t>
  </si>
  <si>
    <t xml:space="preserve">{"classification":"bounded bilingual variations with express English priority","finding":"English definitive/prevailing clause21 independently confirmed. Retain commencement/effective t difference, MS keatas fee boundary overlap, omitted MS reinsurance/Shariah approval and excluded-onset termination/tabarru cessation wording. These are not evidence of extra Malay entitlement; dates not assumed equal.","id":"QA-006-C1","pages":[28,42,33,48,34,47,26,40,32,46]}</t>
  </si>
  <si>
    <t xml:space="preserve">qa-b25-full-review-20261026/issues-and-clarifications.json#/files/5/independent_findings/0</t>
  </si>
  <si>
    <t xml:space="preserve">independent-qa.json#/batches/B25/documents/issues-and-clarifications.json/files/5/independent_findings/0</t>
  </si>
  <si>
    <t xml:space="preserve">9d3ba2ef6ea919ff6e1b27b2d088e29f27e566a6d794d60c07222104ac6e8868</t>
  </si>
  <si>
    <t xml:space="preserve">QA-006-C2</t>
  </si>
  <si>
    <t xml:space="preserve">[32,46]</t>
  </si>
  <si>
    <t xml:space="preserve">{"classification":"additional independently found wording omission; bounded by English priority","finding":"EN excludedrisks(iii) expressly lists Suicide, attempted suicide; MS(iii) begins Percubaan membunuh diri (attempted suicide) and does not separately name completed suicide. Both retain intentional self-injury and other surrounding exclusions. Do not infer different actual payout or covered completed suicide; English priority applies.","id":"QA-006-C2","pages":[32,46]}</t>
  </si>
  <si>
    <t xml:space="preserve">qa-b25-full-review-20261026/issues-and-clarifications.json#/files/5/independent_findings/1</t>
  </si>
  <si>
    <t xml:space="preserve">independent-qa.json#/batches/B25/documents/issues-and-clarifications.json/files/5/independent_findings/1</t>
  </si>
  <si>
    <t xml:space="preserve">697efb4e5ccb28e120b134ab337418a22de43b74f148d7e2d410660941639244</t>
  </si>
  <si>
    <t xml:space="preserve">QA-006-C3</t>
  </si>
  <si>
    <t xml:space="preserve">[21,35,9,11,3,4,7,8]</t>
  </si>
  <si>
    <t xml:space="preserve">{"classification":"version/scope clarification","finding":"2012 broad notice removes Special Fund; later contract-specific2019 notwithstanding 50/25/balance;2020 expressly replaces Fourth3 by50/50 and fund2 contains SpecialFund thenQardh. Retain later explicit reference and repay-before-surplus; do not remove using earlier notice or double-deduct.","id":"QA-006-C3","pages":[21,35,9,11,3,4,7,8]}</t>
  </si>
  <si>
    <t xml:space="preserve">qa-b25-full-review-20261026/issues-and-clarifications.json#/files/5/independent_findings/2</t>
  </si>
  <si>
    <t xml:space="preserve">independent-qa.json#/batches/B25/documents/issues-and-clarifications.json/files/5/independent_findings/2</t>
  </si>
  <si>
    <t xml:space="preserve">441a518635e380d4581f1d6de8a51031c8f96675b21d49237e097f6593403cc7</t>
  </si>
  <si>
    <t xml:space="preserve">QA-006-C4</t>
  </si>
  <si>
    <t xml:space="preserve">[13,14,15,16,17,18,34,47]</t>
  </si>
  <si>
    <t xml:space="preserve">{"classification":"version scope not current adoption","finding":"Undated plainRM50 and inclusive0%RM50 replacements coexist with dated2015April1 inclusive6%RM53 replacement, each capped at accountvalue. No effective calendar date inferred for undated amendments; no single currentfee selected.","id":"QA-006-C4","pages":[13,14,15,16,17,18,34,47]}</t>
  </si>
  <si>
    <t xml:space="preserve">qa-b25-full-review-20261026/issues-and-clarifications.json#/files/5/independent_findings/3</t>
  </si>
  <si>
    <t xml:space="preserve">independent-qa.json#/batches/B25/documents/issues-and-clarifications.json/files/5/independent_findings/3</t>
  </si>
  <si>
    <t xml:space="preserve">bcdb48c616557e6470c3ff48c38c838013e156f74867a5cc686cbf3315065565</t>
  </si>
  <si>
    <t xml:space="preserve">QA-006-C5</t>
  </si>
  <si>
    <t xml:space="preserve">[27,41,28,42]</t>
  </si>
  <si>
    <t xml:space="preserve">{"classification":"bounded reference defect","finding":"Mastertermination15 refers18 for individualcover continuation;18actuallyrecords,20termination. Preserve literal wrongnumber, no source edit or inferencevoidcover.","id":"QA-006-C5","pages":[27,41,28,42]}</t>
  </si>
  <si>
    <t xml:space="preserve">qa-b25-full-review-20261026/issues-and-clarifications.json#/files/5/independent_findings/4</t>
  </si>
  <si>
    <t xml:space="preserve">independent-qa.json#/batches/B25/documents/issues-and-clarifications.json/files/5/independent_findings/4</t>
  </si>
  <si>
    <t xml:space="preserve">f3adf3138707c76605c2531b55146d1384a814ccf96ff0754f7fc283b3d05efa</t>
  </si>
  <si>
    <t xml:space="preserve">QA-006-C6</t>
  </si>
  <si>
    <t xml:space="preserve">[23,36,33,48]</t>
  </si>
  <si>
    <t xml:space="preserve">{"classification":"literal formula clarification","finding":"Both languages fixedISC t0..12dp; positivei RSC=ISC*(1-v^(12n-(t-1)))/(1-v^(12pp)); zeroi RSC=ISC*(12n-t)/(12pp), decreasingbranches t12dp+1..12n;v=1/(1+i/12),n=dp+pp. Positivebranch atfirst repaymentmonth equalsISC and at t12n remainspositive for ISC&gt;0,pp&gt;0,i&gt;0, whilezero branch at t12n iszero: algebraic consequences of distinct printedbranches, not correction or claimamount calculation. No continuity assumption acrossi=0. ENtfromCommencementDate; MSfromEffectiveDate; separatelydefined, Englishpriority.","followup_disposition":"Literal algebra retained; QA-006-M2 withdraws the later blocking interpretation. Nonblocking formula-design clarification only.","id":"QA-006-C6","pages":[23,36,33,48]}</t>
  </si>
  <si>
    <t xml:space="preserve">qa-b25-full-review-20261026/issues-and-clarifications.json#/files/5/independent_findings/5</t>
  </si>
  <si>
    <t xml:space="preserve">independent-qa.json#/batches/B25/documents/issues-and-clarifications.json/files/5/independent_findings/5</t>
  </si>
  <si>
    <t xml:space="preserve">87b8d93b1e5a554886f0630e8e347229d7a20a92e5d993283620ae0fda624157</t>
  </si>
  <si>
    <t xml:space="preserve">QA-006-C7</t>
  </si>
  <si>
    <t xml:space="preserve">[28,31,32,42,45,46]</t>
  </si>
  <si>
    <t xml:space="preserve">{"classification":"specific benefit exception","finding":"LowerTPDpayable expressly retains proportionallyreduced deathcover notwithstanding contrary terms; generictermination does not erase it. PersonalFirstSchedule/certificate/proposal not supplied, genericSecond–Fifth allpresent (EnglishFourth/Fifthphysicalreversal); no individualpackage/currentadoption claim.","id":"QA-006-C7","pages":[28,31,32,42,45,46]}</t>
  </si>
  <si>
    <t xml:space="preserve">qa-b25-full-review-20261026/issues-and-clarifications.json#/files/5/independent_findings/6</t>
  </si>
  <si>
    <t xml:space="preserve">independent-qa.json#/batches/B25/documents/issues-and-clarifications.json/files/5/independent_findings/6</t>
  </si>
  <si>
    <t xml:space="preserve">effcbd9637555cf1641f7d45ec8f4e939dc86704669ee45c96a5e92cd69171f2</t>
  </si>
  <si>
    <t xml:space="preserve">QA-006-F1</t>
  </si>
  <si>
    <t xml:space="preserve">[23,28,31,32,33,36,45,46,48]</t>
  </si>
  <si>
    <t xml:space="preserve">{"acceptance_boundary_correction":"See QA-006-M2. No same (i,t) conflict identified. Failure to explain design intent is not a contradiction or generic missing component.","classification":"nonblocking literal branch difference; prior strict veto withdrawn","comparison_to_B24_012":"Read B24QA issue metadata onlyforcomparison, notreused asB25originalreview. B25samegenericoneperioddifferencewithcommoninterval persists; B25ENpriority andexplicitcertificateannualtable areadditionalcontext but do notexplainbranch-specifictiming. No substantivedistinguishingresolutionfound on B25original.","disposition":"clarification_only","finding":"Same printed t interval12dp+1..12n and single ENtdefinition durationinmonthsfromCommencementDate govern i&gt;0 andi=0 branches. Positivebranch exponent12n-(t-1), zerobranch numerator12n-t retainoneperioddifference. Neither bilingualagreement norexpressEnglishpriority explainswithin-English monthobservationdifference. Independentrecheck of definitions and death/TPD clauses found noexpress branchspecific beginning/endofmonth convention.","historical_blocking_classification":"material reducing-sum monthly/terminal/zero-rate interpretation unresolved","historical_disposition":"needs_review","id":"QA-006-F1","literal_and_boundary_analysis":["ISC fixed through t12dp. Bothlaterbranches explicitly t12dp+1..12n; triggers onlyi&gt;0 vsi=0. n=dp+pp, v=1/(1+i/12).","AssumingpositiveISC,pp&gt;0: atfirstpostdeferredt12dp+1 positivebranchisISC; zerobranchisISC*(12pp-1)/(12pp).","Atlistedterminalt12n positivebranchisISC*(1-v)/(1-v^(12pp))&gt;0 fori&gt;0; zerobranchis0.","Limitasi approaches0fromabove positivebranchisISC*(12n-t+1)/(12pp), notprintedzeroformula ISC*(12n-t)/(12pp). Thismathematicaldifference isnotitselfproofcontinuityiscontractuallyrequired oratypo.","ENSecondSchedule deathRSC says end-of-year amount in individualcertificate reducingsumschedule and monthlyamount byFifthformula. ThirdSchedule uses deathdate/TPDonset; neitherdistinguishesi-branchobservationtime.","Generalexpirytermination andTPDpriortoexpirycondition do notexpresslymapt12n toExpiryDate or define a differentmonthlyconvention perbranch. Thereforeterminalpositivefactor isnotclaimedaspaymentafterexpiry.","Individualcertificate supplies actualdates,ISC,initialTPD andannualsumtable; it mayhelpapplication but isnotpresent. Itsabsencealoneisnotstrictveto: unresolvedgenericbranchindexrelationshipalreadyexistsinbody.","Englishpriority resolvesENCommencementvsMSEffectivewordingchoice, notpositive/zeroindexdifferencewithineachlanguage. Noformularepair,actualentitlement,underpayment,invalidity oractuarialerrorassertion."],"pages":[23,28,31,32,33,36,45,46,48],"requested_clarification":"Confirm branch-specific monthly observation convention if intended, how t at first repayment and terminal month maps to coverage dates, and relationship of zero-rate branch to positive-rate branch; reconcile with individual annualreducing-sumschedule withoutassumingdates."}</t>
  </si>
  <si>
    <t xml:space="preserve">qa-b25-full-review-20261026/issues-and-clarifications.json#/files/5/independent_findings/7</t>
  </si>
  <si>
    <t xml:space="preserve">independent-qa.json#/batches/B25/documents/issues-and-clarifications.json/files/5/independent_findings/7</t>
  </si>
  <si>
    <t xml:space="preserve">3a25b7d62545ed17ab34ff03a9d49d06c76f2d78f3a01ed9cf77c8b445e94e91</t>
  </si>
  <si>
    <t xml:space="preserve">QA-006-M1</t>
  </si>
  <si>
    <t xml:space="preserve">[26,40,2,7]</t>
  </si>
  <si>
    <t xml:space="preserve">{"execution_original_error_rows":[{"component":"general printed5","corrected_at_utc":"2026-10-26T18:38:42.256697+00:00","correction_basis":"216dpi ordinary visual confirmation of p26 without and p40 tanpa; initial144dpi reading with was incorrect. No source amendment.","display_sha256":"f551b98860f9104dacbbacdcd3adb4d3f6b38554af957f183754d83278b97e20","initial_note_before_zoom_correction":"Old age-ineligible fundbenefit limited accumulated tabarru less surplus; oldgender contribution/recalculation rules later2020replaced. Retakaful/reinsuranceShariahapproved; old amendment requires covered consent unlike explicit2020replacement. Severability. First-issued certificate15-dayfree-look: account lessmedicalcost plus deductedtabarru/wakalah refund.","language":"en","method":"ordinary_read_only_visual_144dpi","physical_page":26,"reviewed_at_utc":"2026-10-26T18:32:52.161866+00:00","semantic_note":"Old age-ineligible fund benefit limited accumulated tabarru less surplus; old gender contribution/recalculation rules later2020replaced. Retakaful/reinsurance Shariah-approved. Original English clause9 says WITHOUT covered consent, holder/operator written agreement. Severability. First-issued certificate15-dayfree-look refunds account lessmedicalcost plus deductedtabarru/wakalah.","semantic_read":true,"task_id":"B25-MY-006"},{"component":"general printed18","corrected_at_utc":"2026-10-26T18:38:42.256713+00:00","correction_basis":"216dpi ordinary visual confirmation of p26 without and p40 tanpa; initial144dpi reading with was incorrect. No source amendment.","display_sha256":"598169b62f928ca6e81c160f3d5b5726123034098b1bcba6d325463f1b0a696a","initial_note_before_zoom_correction":"Malay oldage/gender recalculations andineligibleage formula; retakaful only whileEnglishalso expressreinsuranceapproval. Oldclause9 says withoutcoveredconsent contraryEnglishwithconsent, but2020entire replacementnowexplicitwithoutconsent; retainhistoricaldifference, notunresolvedcurrentclause. Severabilitybegins.","language":"ms","method":"ordinary_read_only_visual_144dpi","physical_page":40,"reviewed_at_utc":"2026-10-26T18:35:05.083768+00:00","semantic_note":"Malay old age/gender recalculations and ineligible age formula; retakaful only while English additionally expresses reinsurance/approval. Clause9 TANPA izin means without consent, matching English confirmed at216dpi;2020 replacement also without consent. Severability begins.","semantic_read":true,"task_id":"B25-MY-006"}],"id":"QA-006-M1","independent_confirmation":"216dpi p26 WITHOUT consent and p40 TANPA izin;2020p2/p7 also without. Initial with-consent/historical contradiction allegations are withdrawn; frozen execution already corrected and left unchanged.","pages":[26,40,2,7]}</t>
  </si>
  <si>
    <t xml:space="preserve">qa-b25-full-review-20261026/issues-and-clarifications.json#/files/5/metadata_corrections/0</t>
  </si>
  <si>
    <t xml:space="preserve">independent-qa.json#/batches/B25/documents/issues-and-clarifications.json/files/5/metadata_corrections/0</t>
  </si>
  <si>
    <t xml:space="preserve">bc95f048c532fe274a73bd5df25ac955ca7384a6398aa760442715439f712c00</t>
  </si>
  <si>
    <t xml:space="preserve">QA-006-M2</t>
  </si>
  <si>
    <t xml:space="preserve">{"additional_original_pages_or_zoom_claimed":0,"bounded_conclusions":["Retain every original algebraic boundary calculation without changing an exponent, denominator or interval.","t is duration in months from Commencement Date in the prevailing English; Malay Effective Date wording is bounded by express English priority. We do not assume those dates equal.","The contract uses the monthly Fifth Schedule calculation and refers to individual annual end-of-year table. No conflicting actual table has been supplied; its absence is not a generic component defect or strict veto.","No payment after expiry is inferred from the mathematical t=12n value: separate coverage/event and termination conditions remain applicable.","The file supplies a distinct zero-rate branch rather than leaving i=0 as 0/0; there is no evidence of two formulae applying to the same rate/time case.","Clarification of commercial design intent or an individual claim date mapping remains optional and nonblocking. No claim payout, actuarial suitability, regulatory validity or current adoption is certified.","B24-012 comparison showed similar algebra, not a contractual obligation on B25 to be continuous. This B25 status does not revise any other batch; the same evidentiary distinction may be assessed separately."],"classification":"withdrawal of overstrict QA inference; source and algebra unchanged","correction":"For a given applicable i and monthly t, i&gt;0 and i=0 select mutually exclusive printed formulae, each with one value on its stated interval. At first repayment and terminal month the different branch results are intentional-or-otherwise literal contractual outputs, not competing values for the same (i,t). No other reviewed clause requires continuity at i=0, a common actuarial amortisation convention, a specific alternate month observation convention, or a zero terminal value for positive i. Lack of explanation why the designer chose these branches is not file-level incoherence.","decision":"verified","id":"QA-006-M2","prior_error":"The absence of an explanation linking positive-rate and zero-rate monthly index conventions was treated as an unresolved material contradiction, despite expressly mutually exclusive branch triggers and no continuity requirement.","prior_formula_analysis_path":"independent-qa.json#/batches/B25/documents/group1~1006-formula-reconsideration.json","prior_result_path":"independent-qa.json#/batches/B25/documents/group1~1006-result-before-acceptance-boundary-correction.json","prior_result_sha256":"c416b7f91b6f1286a4685e71898a502738d4e89f6bcf8fcca9e57b05ef53c36d","reviewed_at":"2026-10-26T21:17:41.965785+00:00"}</t>
  </si>
  <si>
    <t xml:space="preserve">qa-b25-full-review-20261026/issues-and-clarifications.json#/files/5/metadata_corrections/1</t>
  </si>
  <si>
    <t xml:space="preserve">independent-qa.json#/batches/B25/documents/issues-and-clarifications.json/files/5/metadata_corrections/1</t>
  </si>
  <si>
    <t xml:space="preserve">9cdd161b41552255d16d4023bbe03620d9a96f35f3a338ce9fa18b7935f55775</t>
  </si>
  <si>
    <t xml:space="preserve">qa-b25-full-review-20261026/issues-and-clarifications.json#/files/5/qa_notes</t>
  </si>
  <si>
    <t xml:space="preserve">independent-qa.json#/batches/B25/documents/issues-and-clarifications.json/files/5/qa_notes</t>
  </si>
  <si>
    <t xml:space="preserve">"All 49 present pages independently semantically reviewed. Expressly mutually exclusive positive/zero-rate branches are uniquely executable for stated inputs; difference in boundary values and lack of design explanation do not establish conflicting rules. English priority bounds bilingual variations. Generic Second–Fifth Schedules are present; missing individual schedule/current adoption is not treated as a veto. See QA-006-M2 for withdrawal of overstrict intermediate QA and retained nonblocking clarifications."</t>
  </si>
  <si>
    <t xml:space="preserve">qa-b25-full-review-20261026/issues-and-clarifications.json#/files/5/strict_basis</t>
  </si>
  <si>
    <t xml:space="preserve">independent-qa.json#/batches/B25/documents/issues-and-clarifications.json/files/5/strict_basis</t>
  </si>
  <si>
    <t xml:space="preserve">c8f0a6c91398cdc9046f1cfe82af5db2b4ad09300bb2da575f85f864bef87c0f</t>
  </si>
  <si>
    <t xml:space="preserve">"B25-MY-006"</t>
  </si>
  <si>
    <t xml:space="preserve">qa-b25-full-review-20261026/issues-and-clarifications.json#/files/5/task_id</t>
  </si>
  <si>
    <t xml:space="preserve">independent-qa.json#/batches/B25/documents/issues-and-clarifications.json/files/5/task_id</t>
  </si>
  <si>
    <t xml:space="preserve">7a7fdb69546e4e60ad8f5592e977c8cfc6a517e86fd8ca3f19ac2f648bad9e9b</t>
  </si>
  <si>
    <t xml:space="preserve">{"base_edition":null,"base_issuer":"CIMB Aviva Takaful Berhad","endorsement_issuer":"Sun Life Malaysia Takaful Berhad","master_contract_number_on_endorsements":"GCT00001","name_bridge":"p19 change notice and p21/p35 formerly-known-as wording; documentary only","named_master_holder_or_cover_entity":"CIMB Bank Berhad","product":"Mortgage Reducing Term Takaful (MRTT)"}</t>
  </si>
  <si>
    <t xml:space="preserve">delivery-batch25-20261026/group1/006-result.json#/observed_identity</t>
  </si>
  <si>
    <t xml:space="preserve">execution-evidence.json#/batches/B25/documents/group1~1006-result.json/observed_identity</t>
  </si>
  <si>
    <t xml:space="preserve">bac481c9c6548421928b8f683136589362c7b08713ef933ac8fa4c30bbe2adc1</t>
  </si>
  <si>
    <t xml:space="preserve">[{"component":"English/Malay2020-07-01 GCT00001 endorsement","pages":[1,2,3,4,5,6,7,8]},{"component":"English/Malay2019-07-01 rights, surplus,profit endorsement","pages":[9,10,11,12]},{"component":"Undated plain RM50 surrender replacement","pages":[13,14]},{"component":"Undated RM50 inclusive0%GST surrender replacement","pages":[15,16]},{"component":"2015-04-01 RM53 inclusive6%GST surrender replacement","pages":[17,18]},{"component":"2013-08-19 bilingual name bridge","pages":[19]},{"component":"Historical cover, bilingual objectives and English Second–Fifth Schedules; Fifth/Fourth physically reversed","pages":[20,22,23,24,25,26,27,28,29,30,31,32,33,34]},{"component":"Bilingual2012-01-01 surplus/SpecialFund notice","pages":[21,35]},{"component":"Malay Second–Fifth Schedules printed14–26","pages":[36,37,38,39,40,41,42,43,44,45,46,47,48]},{"component":"blank scan end","pages":[49]}]</t>
  </si>
  <si>
    <t xml:space="preserve">delivery-batch25-20261026/group1/006-result.json#/components</t>
  </si>
  <si>
    <t xml:space="preserve">execution-evidence.json#/batches/B25/documents/group1~1006-result.json/components</t>
  </si>
  <si>
    <t xml:space="preserve">a3f3d08d40003756d29ed09ee00e5f2bcecc6eb513d7e1785003a192fe24b3d7</t>
  </si>
  <si>
    <t xml:space="preserve">["Single-contribution reducing death/TPD cover with participant account and risk-fund split; ThirdSchedule residual death cover survives a smallerTPD payment proportionately. RM2m operator aggregate TPD cap; onset before65monthlyanniversary/expiry.","Present Second–Fifth generic operative schedules cover definitions,law,claims,rights,termination,funds,charges,death/TPD and reducing sum formula. Fourth fees ispresent afterFifth in English physicalorder, notmissing. Wakalah22.5% for financing&lt;=RM250000,20% above under prevailing English.","2020 expressly replaces basicprinciples, addsShariahdefinitions,replacesage/gender/amendment,funds1/2,wakalah2 andFourthsurplus3;2019 replacesrights19/profit4 and historicallysurplus3. Both languages fullyread."]</t>
  </si>
  <si>
    <t xml:space="preserve">delivery-batch25-20261026/group1/006-result.json#/content_summary</t>
  </si>
  <si>
    <t xml:space="preserve">execution-evidence.json#/batches/B25/documents/group1~1006-result.json/content_summary</t>
  </si>
  <si>
    <t xml:space="preserve">55c5fcabcceb403ac27e41a5b2e89a3f0602aad3336f81c71cdb9f71c961d98c</t>
  </si>
  <si>
    <t xml:space="preserve">delivery-batch25-20261026/group1/006-result.json#/substantive_findings</t>
  </si>
  <si>
    <t xml:space="preserve">execution-evidence.json#/batches/B25/documents/group1~1006-result.json/substantive_findings</t>
  </si>
  <si>
    <t xml:space="preserve">[{"observation":"Clause21 in both languages expressly makes English definitive and prevailing; bilingual differences below are retained but not unresolved choice between equal-priority texts.","pages":[28,42]},{"correction_basis":"p26 enlarged English without; p40 Malay tanpa izin. 2020 also explicitlywithout; no actualhistoricalconsentcontradiction.","observation":"Original amendmentclause9 is without covered consent in BOTH languages. Initial low-resolution note suggesting with consent was corrected after enlargedvisualread.","pages":[26,40]},{"observation":"2012 notice removesSpecialFund and sets50/50. Laterdated contract-specific2019notwithstanding replacementrestates50/25/balance;2020 expresslyreplacesagain to50/50 and fund2 explicitlymentionsSpecialFund thenQardh. Preserve time/scope order; do not erase2020wording usingearlier2012notice or inferdoubleqarddeduction.","pages":[21,35,9,11,3,4,7,8]},{"observation":"Distinct entire surrender-clause replacements retained: undatedRM50,undatedRM50inclusive0%GST,dated2015RM53inclusive6%. No calendar dates inferred for undatedpages and no single current fee adopted. This is document-version scope limitation, not automatically invalidity.","pages":[13,14,15,16,17,18,34,47]},{"observation":"Masterterminationclause15 refersparagraph18 forcontinuing individualcover; actual18 isrecords while20 istermination. Preserve erroneousnumber; do not silently amend or infercovervoid.","pages":[27,41,28,42]},{"observation":"Formula retained literally: RSC=ISC for t=0..12dp; for positive i numerator exponent12n-(t-1),denominator12pp; for i=0 ratio(12n-t)/(12pp). Branch endpoint difference not silently harmonized; separate expresslydefinedbranches, not assumed typo. v=1/(1+i/12),n=dp+pp.","pages":[33,48]},{"observation":"English t runs from Commencement Date; Malay uses Effective Date. Definitions distinguishthese; expressEnglishpriority resolves documentary choice, not proofdatescoincide.","pages":[33,48,28,42]},{"observation":"Malay large-loan rowkeatas can overlap atRM250000 withsmallrow; English explicitabove resolves thresholdat22.5% forRM250000. SourceMalaynotrewritten.","pages":[34,47,28,42]},{"observation":"Malay omits expressreinsurance/Shariahapproval wording and English excludedTPDonsettermination/tabarruceasing sentences. Englishpriority retained; no inferenceofMalayextraentitlement.","pages":[26,40,32,46,47]},{"observation":"Generalterminationread with ThirdSchedule specific notwithstanding residualdeathcontinuation aftersmallerTPD; no unsupportedautomatictotaltermination.","pages":[28,31,32,42,45,46]}]</t>
  </si>
  <si>
    <t xml:space="preserve">delivery-batch25-20261026/group1/006-result.json#/clarifications</t>
  </si>
  <si>
    <t xml:space="preserve">execution-evidence.json#/batches/B25/documents/group1~1006-result.json/clarifications</t>
  </si>
  <si>
    <t xml:space="preserve">c8c5afd52aef1010e43384fcbebed64b3042c1a24ea60946defc9091a5f2c08a</t>
  </si>
  <si>
    <t xml:space="preserve">["No distinct FirstSchedule or completed individualcertificate/proposal/reducing-sum personaltable ispresent. Generic Second–Fifth operativecomponents arepresent; absent personal particulars do notalonepreventfile-level verification. No personalcontractpackagecompletionclaimed.","Baseedition and currentlyadopted endorsement combination unestablished; undatedfeevariants preserved,notdatedbyfileorder.","Fullsource reading andfileidentity only; no present-tax/currentlaw/enforceability/individualclaimopinion. HistoricalbodyissuerandSunLifesourceinsurerbothpreserved."]</t>
  </si>
  <si>
    <t xml:space="preserve">delivery-batch25-20261026/group1/006-result.json#/preserved_uncertainties</t>
  </si>
  <si>
    <t xml:space="preserve">execution-evidence.json#/batches/B25/documents/group1~1006-result.json/preserved_uncertainties</t>
  </si>
  <si>
    <t xml:space="preserve">a84a19c7bd4f7cdc991551243fce89d713e69fb9a6308900037161812264b9a3</t>
  </si>
  <si>
    <t xml:space="preserve">delivery-batch25-20261026/group1/006-result.json#/strict_blocker_basis</t>
  </si>
  <si>
    <t xml:space="preserve">execution-evidence.json#/batches/B25/documents/group1~1006-result.json/strict_blocker_basis</t>
  </si>
  <si>
    <t xml:space="preserve">"All49presentpages reliablyunderstood; identities/operativegenericcomponents/replacements mapped; languagepriority resolves observedbilingualvariations. No unresolved material equal-priority contradiction identified. Currentadoption/personalpackage remainunverified."</t>
  </si>
  <si>
    <t xml:space="preserve">delivery-batch25-20261026/group1/006-result.json#/verification_basis</t>
  </si>
  <si>
    <t xml:space="preserve">execution-evidence.json#/batches/B25/documents/group1~1006-result.json/verification_basis</t>
  </si>
  <si>
    <t xml:space="preserve">828d4b8126516db7c06a2818483a370b90db587b006982326713c588960a5aaa</t>
  </si>
  <si>
    <t xml:space="preserve">{"actual_present_pages":49,"all_present_pages_semantically_reviewed":true,"checked_at_utc":"2026-10-26T18:27:24.584558+00:00","copy_allowed":false,"display_denials":0,"member_bytes":3755250,"member_sha256":"f5859e236ab2c1b12ad0da4e5061c780939817dc12f891cb1faadc3df89d2bb9","metadata_matches":true,"needs_password":0,"ordinary_visual_display_pending":false,"ordinary_visual_display_succeeded":true,"pdfinfo_metadata":"Creator:         PDF-XChange Editor 6.0.322.7\nProducer:        PDF-XChange Core API SDK (6.0.322.7)\nCreationDate:    Fri Dec  6 12:12:37 2019 JST\nModDate:         Thu Jun 25 19:37:12 2020 JST\nCustom Metadata: no\nMetadata Stream: yes\nTagged:          no\nUserProperties:  no\nSuspects:        no\nForm:            none\nJavaScript:      no\nPages:           49\nEncrypted:       yes (print:no copy:no change:no addNotes:no algorithm:RC4)\nPage size:       594.96 x 842.04 pts (A4)\nPage rot:        0\nFile size:       3755250 bytes\nOptimized:       no\nPDF version:     1.7\n","pdfinfo_returncode":0,"permissions":-3392,"permissions_unchanged":true,"print_allowed":false,"source_archive_sha256":"d8dd60e6ef6061e4984143b9d891b5dd848b86f8833f800902ad758355a66515","task_id":"B25-MY-006","text_extraction_OCR_printing_unlocking_permission_changes":false}</t>
  </si>
  <si>
    <t xml:space="preserve">delivery-batch25-20261026/group1/006-preflight.json#</t>
  </si>
  <si>
    <t xml:space="preserve">execution-evidence.json#/batches/B25/documents/group1~1006-preflight.json</t>
  </si>
  <si>
    <t xml:space="preserve">2717ac13603d6b6fe22a6f286f8c9b3757daa10b8055b5c5c8a36506f4e16fed</t>
  </si>
  <si>
    <t xml:space="preserve">{"actual_present_physical_pages":49,"all_pages_reviewed":true,"cleanup_reference":{"bytes":11806,"path":"independent-qa.json#/batches/B25/documents/group3~1007-cleanup.json","sha256":"c898dd8aa6c73a2ba22347cca1953af135a644fb2b2209a06f2f98fd82ee7559"},"current_adoption_credit":0,"execution_result_reference":{"bytes":9541,"path":"execution-evidence.json#/batches/B25/documents/group3~1007-result.json","sha256":"643f55a6d33d460bb26e11928cb23eb153688db32187b97e18af73250053bc61"},"file_level_primary_role_previously_accepted":true,"formal_mutations":false,"full_content_review_complete":true,"full_review_accepted":true,"gap_closure_credit":0,"independent_QA":true,"new_original":0,"new_primary":0,"new_product":0,"original_id":"regional-20261025-87e734910c01b617","package_complete_credit":0,"page_proof_reference":{"bytes":24774,"path":"independent-qa.json#/batches/B25/documents/group3~1007-page-proof.jsonl","sha256":"61d5d7e1af0335e0d5d7b4ed0c1626bd1138817a87f4de74ae5d5836983a2958"},"prior_task_id":"B17-MY-021","qa_result_reference":{"bytes":16614,"path":"independent-qa.json#/batches/B25/documents/group3~1007-result.json","sha256":"b890d284c081fe3fd918628a86a6a84153ac63388d841c937f5f9101c4846b26"},"queue_id":"PENDING-87e734910c01b617","region_code":"MY","review_status":"full","sha256":"87e734910c01b617e789e3c56b1f27e255731a3508878b7e5448db8f361293d2","source_archive_sha256":"d8dd60e6ef6061e4984143b9d891b5dd848b86f8833f800902ad758355a66515","source_insurer_preserved":"Sun Life Malaysia Takaful Berhad","strict_eligible":true,"strict_status":"verified","strict_verified":true,"target":"Mortgage Reducing Term Takaful Contract - CIMB Islamic Bank Berhad","task_id":"B25-MY-007","verification_status":"verified"}</t>
  </si>
  <si>
    <t xml:space="preserve">{"bytes":16614,"path":"independent-qa.json#/batches/B25/documents/group3~1007-result.json","sha256":"b890d284c081fe3fd918628a86a6a84153ac63388d841c937f5f9101c4846b26"}</t>
  </si>
  <si>
    <t xml:space="preserve">qa-b25-full-review-20261026/issues-and-clarifications.json#/files/6/current_QA_result</t>
  </si>
  <si>
    <t xml:space="preserve">independent-qa.json#/batches/B25/documents/issues-and-clarifications.json/files/6/current_QA_result</t>
  </si>
  <si>
    <t xml:space="preserve">02b31b7d9720b7d155babdae049d519e16180d8c68b1781a74f59b2df2b77e08</t>
  </si>
  <si>
    <t xml:space="preserve">qa-b25-full-review-20261026/issues-and-clarifications.json#/files/6/final_status</t>
  </si>
  <si>
    <t xml:space="preserve">independent-qa.json#/batches/B25/documents/issues-and-clarifications.json/files/6/final_status</t>
  </si>
  <si>
    <t xml:space="preserve">[23,28,31,32,34,36,42,46,48]</t>
  </si>
  <si>
    <t xml:space="preserve">{"assumptions":"ISC&gt;0, pp&gt;0; positive branch i&gt;0; no conclusion for degenerate parameters","clarification_needed":"Optional actuarial/design explanation only; not required to establish the uniquely printed generic branch calculation and not a strict veto.","first_post_deferment":"At t=12dp+1 positive-interest factor is 1, while zero-interest factor is (12pp-1)/(12pp).","individual_certificate":"Individual dates, ISC and annual table may assist application but their absence is not the independent blocker.","limit":"As i approaches 0 from above, positive branch tends to ISC*(12n-t+1)/(12pp), one monthly unit above the zero branch.","not_claimed":"No claim of required mathematical continuity, invalidity, typo, double payment or post-expiry entitlement; no formula repaired.","terminal":"At t=12n positive branch is ISC*(1-v)/(1-v^(12pp))&gt;0, while zero branch is 0.","timing_check":"Definitions distinguish Commencement Date and Effective Date; RSC definition mentions certificate annual end-of-year amounts and Fifth monthly calculation. Death/onset benefit timing, Expiry Date and termination clauses do not expressly assign separate branch observation times or map t=12n to a payable post-expiry event."}</t>
  </si>
  <si>
    <t xml:space="preserve">qa-b25-full-review-20261026/issues-and-clarifications.json#/files/6/independent_findings/0/bounded_analysis</t>
  </si>
  <si>
    <t xml:space="preserve">independent-qa.json#/batches/B25/documents/issues-and-clarifications.json/files/6/independent_findings/0/bounded_analysis</t>
  </si>
  <si>
    <t xml:space="preserve">345abc8a0b9bff4bbb5e5ab415043c168d9747a0e58ae5d472a46b3c1bf4ec8e</t>
  </si>
  <si>
    <t xml:space="preserve">{"acceptance_reason":"The prior veto demanded explanation of design intent/continuity without identifying a same-situation textual contradiction or undefined input essential to generic execution. Withdraw that veto. Preserve the month-offset as nonblocking clarification; do not normalize the formula or assert actuarial/legal correctness.","arithmetic_retained":"Positive branch first post-deferment is ISC, zero branch ISC*(12pp-1)/(12pp); positive terminal is greater than zero for positive i while zero terminal is0; i→0+ limit differs by ISC/(12pp). These calculations are accurate but compare different rate cases.","branch_domain":"Deferment t=0..12dp uses ISC. Post-deferment t=12dp+1..12n explicitly separates i&gt;0 from i=0. For positive ISC and positive repayment period, each specified (i,t) has one printed result, not competing same-case values.","evidence_already_independently_read":"49 physical pages and 27 targeted216dpi confirmations; no inherited conclusion substitutes for original review.","other_limits":"Undated RM50 versus datedRM53 historical applicability uncertainty not simultaneous conflict and not sole veto. English priority controls bounded translation differences. No current adoption, personal coverage, package completeness or new original/primary/product/gap credit.","prior_result_sha256":"18c6eca390a619b89397d02ee7ac8e332d89782b8bc46b1cf50898b6a6b866e6","prior_sole_blocker":"QA-007-F1","prior_status":"needs_review","t_definition":"English Fifth Schedule defines t as months from Commencement Date; bilingual origin difference is resolved by express English priority. Certificate supplies personal Commencement Date, ISC and durations; absent personal values alone do not block generic file verification.","timing_boundary":"No express different observation/payment timing between rate branches was found. That absence does not make the piecewise definition non-executable: the same defined t can legitimately be used in two rate-dependent formulas. No conflicting mandatory annual table value or competing date mapping is present in this file. Death/TPD onset and expiry conditions must still be applied; terminal formula value alone is not post-expiry benefit entitlement."}</t>
  </si>
  <si>
    <t xml:space="preserve">qa-b25-full-review-20261026/issues-and-clarifications.json#/files/6/independent_findings/0/classification_correction</t>
  </si>
  <si>
    <t xml:space="preserve">independent-qa.json#/batches/B25/documents/issues-and-clarifications.json/files/6/independent_findings/0/classification_correction</t>
  </si>
  <si>
    <t xml:space="preserve">2ce21b09eb228ccbd17f2b526ab463780b61e08d4740d501faaa7be18d7fdd1d</t>
  </si>
  <si>
    <t xml:space="preserve">"The English Fifth Schedule uses a common post-deferment t interval but a one-month numerator offset between positive- and zero-interest branches, without expressly assigning different monthly observation/payment times. English priority resolves the translated time-origin discrepancy, not this intra-English relationship."</t>
  </si>
  <si>
    <t xml:space="preserve">qa-b25-full-review-20261026/issues-and-clarifications.json#/files/6/independent_findings/0/finding</t>
  </si>
  <si>
    <t xml:space="preserve">independent-qa.json#/batches/B25/documents/issues-and-clarifications.json/files/6/independent_findings/0/finding</t>
  </si>
  <si>
    <t xml:space="preserve">c611b0c4bf55c6bf71e56b5d73820e26f494b35a5e1e152cdef724c0d97b3526</t>
  </si>
  <si>
    <t xml:space="preserve">"QA-007-F1"</t>
  </si>
  <si>
    <t xml:space="preserve">qa-b25-full-review-20261026/issues-and-clarifications.json#/files/6/independent_findings/0/id</t>
  </si>
  <si>
    <t xml:space="preserve">independent-qa.json#/batches/B25/documents/issues-and-clarifications.json/files/6/independent_findings/0/id</t>
  </si>
  <si>
    <t xml:space="preserve">70f9b95559515a4f2dd35622bf1d708449b35dbe27ae720672cca997de404c68</t>
  </si>
  <si>
    <t xml:space="preserve">{"common_interval":"t=12dp+1,12dp+2,...,12n","deferment":"ISC for t=0,1,...,12dp","definitions":"v=1/(1+i/12); n=dp+pp; English t is months from Commencement Date; Malay says Effective Date","positive_i":"ISC*(1-v^(12n-(t-1)))/(1-v^(12pp))","zero_i":"ISC*(12n-t)/(12pp)"}</t>
  </si>
  <si>
    <t xml:space="preserve">qa-b25-full-review-20261026/issues-and-clarifications.json#/files/6/independent_findings/0/literal</t>
  </si>
  <si>
    <t xml:space="preserve">independent-qa.json#/batches/B25/documents/issues-and-clarifications.json/files/6/independent_findings/0/literal</t>
  </si>
  <si>
    <t xml:space="preserve">f662953eb4ccdfae9f48ba3f0b72bf3d12c3b7ee858ccb2a49076500ddd21e11</t>
  </si>
  <si>
    <t xml:space="preserve">qa-b25-full-review-20261026/issues-and-clarifications.json#/files/6/independent_findings/0/pages</t>
  </si>
  <si>
    <t xml:space="preserve">independent-qa.json#/batches/B25/documents/issues-and-clarifications.json/files/6/independent_findings/0/pages</t>
  </si>
  <si>
    <t xml:space="preserve">804d670f36e8b730ce8a9d8fc7e239389468df70263fa929fbd219fd388578ea</t>
  </si>
  <si>
    <t xml:space="preserve">"nonblocking_formula_design_clarification"</t>
  </si>
  <si>
    <t xml:space="preserve">qa-b25-full-review-20261026/issues-and-clarifications.json#/files/6/independent_findings/0/severity</t>
  </si>
  <si>
    <t xml:space="preserve">independent-qa.json#/batches/B25/documents/issues-and-clarifications.json/files/6/independent_findings/0/severity</t>
  </si>
  <si>
    <t xml:space="preserve">e078b6bf7e4ac9606e92455a31d5be633093e9c049920f0c8b5d1d58d5024d54</t>
  </si>
  <si>
    <t xml:space="preserve">[{"corrected":"49 pages fully reviewed, but needs_review on QA-007-F1. Enlargement settles transcription and language priority settles EN/MS time origin only; neither supplies intra-English monthly-boundary convention.","original":"verified / strict_eligible_proposal true; pendingformula readingsclosedbyenlargedcomparison andexpresslanguagepriority","pages":[23,28,31,32,34,36,42,46,48],"type":"execution_classification_override","withdrawn_as_active_classification":true},{"corrected":"Positive-interest denominator is 1-v^(12pp); zero-interest denominator is 12pp. The shared unqualified denominator wording in source page34/48 clarification and correction-register is incomplete/incorrect if applied to positive branch.","original":"216dpi confirms literal positive-interest numerator1-v^((12*n)-(t-1));zero-interest numerator12*n-t;denominator12*pp","pages":[34,48],"type":"execution_non_note_formula_denominator_precision"},{"corrected":"Agree that historical fee-layer applicability uncertainty alone is not a simultaneous operative contradiction. No revival of this as strict blocker; QA formula finding is independent.","original":"Initial needs_review solely because undated RM50 layers versus dated RM53; later withdrawn and verified proposed.","pages":[13,14,15,16,17,18],"type":"execution_historical_classification_preserved"},{"corrected":"English explicitly NOT guaranteed; Malay confirms tidak dijamin. Original error/correction retained in proof.","original":"p3 initially described capital as guaranteed","pages":[3,7],"type":"own_initial_reading_withdrawn"},{"corrected":"p26 says WITHOUT consent; Malay p40 without/tanpa. False contradiction withdrawn, original notes/correction retained.","original":"p26 initially read WITH consent and raised historical amendment contrast","pages":[26,40],"type":"own_initial_reading_withdrawn"},{"corrected":"English lists suicide and attempted suicide; Malay explicitly attempted suicide but no separate completed-suicide item here. Express English priority controls; no broader coverage inference or independent strict blocker.","original":"Source did not separately note completed-suicide word difference in TPD exclusions","pages":[32,46],"type":"additional_bounded_language_difference"},{"corrected":"2020 is latest dated replacement observed in this file, not proof of current adoption.","original":"Source p35 refers to current2020 wording","type":"scope_wording"},{"corrected":"verified; mutually exclusive i&gt;0 and i=0 triggers do not assign competing values to one situation. Lack of continuity/design explanation is not itself contradiction. Retain all literal formula and denominator corrections.","history_path":"independent-qa.json#/batches/B25/documents/group3~1007-prior-qa-classification.json","original":"needs_review solely for intra-English month-offset without explicit distinct timing","pages":[23,28,31,32,34,36,42,46,48],"type":"own_classification_withdrawal_preserved"}]</t>
  </si>
  <si>
    <t xml:space="preserve">qa-b25-full-review-20261026/issues-and-clarifications.json#/files/6/metadata_corrections</t>
  </si>
  <si>
    <t xml:space="preserve">independent-qa.json#/batches/B25/documents/issues-and-clarifications.json/files/6/metadata_corrections</t>
  </si>
  <si>
    <t xml:space="preserve">ef44f0588417b166789a8ce64ea1d32eb2af79a2b2a4e95b8ed4a5ce089e3353</t>
  </si>
  <si>
    <t xml:space="preserve">qa-b25-full-review-20261026/issues-and-clarifications.json#/files/6/qa_notes</t>
  </si>
  <si>
    <t xml:space="preserve">independent-qa.json#/batches/B25/documents/issues-and-clarifications.json/files/6/qa_notes</t>
  </si>
  <si>
    <t xml:space="preserve">"All49presentpages independently semantically verified; explicit mutually exclusive positive/zero-rate branches uniquely executable for their stated domain. Month-offset design clarification is nonblocking, not a demonstrated same-case contradiction. Historical applicability/personal values remain bounded limits."</t>
  </si>
  <si>
    <t xml:space="preserve">qa-b25-full-review-20261026/issues-and-clarifications.json#/files/6/strict_basis</t>
  </si>
  <si>
    <t xml:space="preserve">independent-qa.json#/batches/B25/documents/issues-and-clarifications.json/files/6/strict_basis</t>
  </si>
  <si>
    <t xml:space="preserve">5a2e6a652f0710c239e3a0ed8f937b1c2d58b5c2433327e8bee33b0490fdb9a6</t>
  </si>
  <si>
    <t xml:space="preserve">"B25-MY-007"</t>
  </si>
  <si>
    <t xml:space="preserve">qa-b25-full-review-20261026/issues-and-clarifications.json#/files/6/task_id</t>
  </si>
  <si>
    <t xml:space="preserve">independent-qa.json#/batches/B25/documents/issues-and-clarifications.json/files/6/task_id</t>
  </si>
  <si>
    <t xml:space="preserve">dbad7ed4d6c265049751b9da886d5fb8bf8f8d4486a3cbbc4815c79c50f4fa1a</t>
  </si>
  <si>
    <t xml:space="preserve">{"bridge":"p19 namechange effective19August2013 and p21/p35 formerlyknownas notice; not currentregistryproof","contract_holder_identity_on_cover":"CIMB Islamic Bank Berhad","endorsement_operator":"Sun Life Malaysia Takaful Berhad","historical_operator":"CIMB Aviva Takaful Berhad","master_contract_reference":"GCT00002","product":"Mortgage Reducing Term Takaful (MRTT)"}</t>
  </si>
  <si>
    <t xml:space="preserve">delivery-batch25-20261026/group3/007-result.json#/observed_identity</t>
  </si>
  <si>
    <t xml:space="preserve">execution-evidence.json#/batches/B25/documents/group3~1007-result.json/observed_identity</t>
  </si>
  <si>
    <t xml:space="preserve">a808f3021347ed0387f9fe3bad35316f2b6e48fbdc1de7b9d808073cacdf65f4</t>
  </si>
  <si>
    <t xml:space="preserve">["p1-8 bilingual1July2020 endorsement,GCT00002","p9-12 bilingual1July2019 endorsement","p13-14 undatedRM50 surrenderreplacement","p15-16 undatedRM50 includingGST0% surrenderreplacement","p17-18 bilingual1April2015 RM53 includingGST6% surrenderreplacement","p19 bilingualnamechange19August2013","p20CIMBAvivabasecover,p21English2012notice,p22bilingualintro,p23-34Englishprinted2-13 Second-FifthSchedules","p35Malay2012notice,p36-48Malayprinted14-26 Second-FifthSchedules,p49blank"]</t>
  </si>
  <si>
    <t xml:space="preserve">delivery-batch25-20261026/group3/007-result.json#/components</t>
  </si>
  <si>
    <t xml:space="preserve">execution-evidence.json#/batches/B25/documents/group3~1007-result.json/components</t>
  </si>
  <si>
    <t xml:space="preserve">414a8b1126341f32de2ff33569fb657e9d8bed8d262fa2016fd78649d792fcfa</t>
  </si>
  <si>
    <t xml:space="preserve">["Death pays risk=max(reducingdeath-account,0) plusaccount lessdebt;12monthsuicide onlyaccount;notice/proof30dayswithreasonablelatenoticeexception. TPDworking6monthsownorotherfittedwork/nonworking3of6ADLs orspecifiedloss;TPDriskmin(reducingTPD,deathrisk),benefitaccountplusrisk subjectlowerTPDcap.","TPD onsetbefore65monthlyanniversary andexpiry;aggregateRM2m;smallerTPD benefit preservesproportionatelyreduceddeathfromonset;proof9months;war/intoxication/selfharm/noncommercialair/crime/AIDS exclusions.","2020 explicitlyreplaces principles;addsShariahdefinitions;replacesgeneral6/7/9,fund1/2,fee2,Fourth3. Correctage/genderpaid/correctcontributionprorationorrefund,recalculateaccount/fees/tabarru;priorholdernoticeforholder/operatoramendment.","2020 netwakalahindividualaccount,monthlytabarruriskfund,Shariahinvestment/non-guaranteedreturns,operator-faultlossexception;SpecialFundthenQarddeficitfinancing,repaybeforesurplus. Fourth3 annualsurplus50operator50account.2019Fourth4 profit10operator90account remains;2019general19&lt;=RM10bankelsecharity remains.","Wakalah initialloan&lt;=RM25000022.5%,above20%;changes3monthsnotice/regulatorapproval.15dayfirstdeliveryfreelook accountlessmedicalplusdeductedtabarru/wakalah; surrenderaccountlesscharge/debt;expiryaccount;mastercancel3monthsnotautomaticallyindividualcoverend.","FifthSchedule explicitRSCformula,positiveinterest exponent12n-(t-1),zero-interest12n-t over12pp;v=1/(1+i/12),n=dp+pp,tmonthsfromCommencementDate;deferredperiodISC. Literalbranchdifferencepreserved,notdeclaredmisprint."]</t>
  </si>
  <si>
    <t xml:space="preserve">delivery-batch25-20261026/group3/007-result.json#/content_summary</t>
  </si>
  <si>
    <t xml:space="preserve">execution-evidence.json#/batches/B25/documents/group3~1007-result.json/content_summary</t>
  </si>
  <si>
    <t xml:space="preserve">a3c31b178a0906e4f68ace260af38a1239c819b20cd5deb1d3880c97458d72ee</t>
  </si>
  <si>
    <t xml:space="preserve">delivery-batch25-20261026/group3/007-result.json#/substantive_findings</t>
  </si>
  <si>
    <t xml:space="preserve">execution-evidence.json#/batches/B25/documents/group3~1007-result.json/substantive_findings</t>
  </si>
  <si>
    <t xml:space="preserve">[{"clarification":"2012removedSpecialFundclauses;2019and2020explicitlaterreplacementsreintroducenamedfundreferences tospecifiedextent.2020Fourth3 controls50/50,not2019/base50/25/balance.2020fund2stillusesSpecialFundbeforeQard. No cumulativeallocations/doubleQard inference.","correction_basis":"Dated notwithstanding endorsements and exact replacementtargets;chronology ratherthanphysicalorder.","pages":[1,3,4,8,9,11,21,35]},{"clarification":"Englishprevails expresslySecond21. ResolvesMalayomittedShariahreinsuranceapproval/TPDtabarrucease,sameRM250000boundarykeatas, andformulaEffectiveversusCommencementDate. Preservebilingualdifferences without treating unresolvedafterpriority.","correction_basis":"Englishp28 andMalayp42 languagepriority confirmed216dpi.","pages":[26,28,34,40,42,47,48]},{"clarification":"Mastertermination15 referencesparagraph18 though18 isrecords;actualindividualtermination20 andThirdbenefitsidentifyevents. Boundedcrossreferenceerror,notautomaticinvalidity.","correction_basis":"Readbothlanguageclauses15,18,20andbenefittermination.","pages":[27,28,41,42]},{"clarification":"Positive-interest andzero-interest formulas differ byone-monthnumerator convention;literalbranchesconfirmed,notnormalizedorcalledmathematicalinvalidity.","correction_basis":"216dpiEnglish/Malayformula confirmation.","pages":[34,48]},{"clarification":"Scope correction: separate historical surrendercharge replacements are each understandable and not stated to apply simultaneously. No effective date for RM50 layers; cannot establish relevant applicability period/currentadoption, but that uncertainty alone is not an unresolved same-level operative contradiction and does not defeat file-level verified proposal.","correction_basis":"Reconsidered distinction between document-level semantic verification and choosing an adopted historical version. Originalneeds_reviewclassification retained; allsourceamounts/datesunchanged. No inferencefromotherPDF.","pages":[13,14,15,16,17,18]}]</t>
  </si>
  <si>
    <t xml:space="preserve">delivery-batch25-20261026/group3/007-result.json#/clarifications</t>
  </si>
  <si>
    <t xml:space="preserve">execution-evidence.json#/batches/B25/documents/group3~1007-result.json/clarifications</t>
  </si>
  <si>
    <t xml:space="preserve">f545eac8879119de9d669954235f12b681c237f619c487d424c89a4a82a95ca3</t>
  </si>
  <si>
    <t xml:space="preserve">"No initialsemanticerrorrequiredwithdrawal;pendingformula readingsclosedbyenlargedcomparison andexpresslanguagepriority. Pageproofretainsinitialpendingnoteswithclarification. Classification correction: earlierneeds_review was based onlyonundatedhistoricalfee ordering, not a simultaneous textualcontradiction; nowverifiedproposalwithlimits andpriorclassification preserved."</t>
  </si>
  <si>
    <t xml:space="preserve">delivery-batch25-20261026/group3/007-result.json#/correction_basis</t>
  </si>
  <si>
    <t xml:space="preserve">execution-evidence.json#/batches/B25/documents/group3~1007-result.json/correction_basis</t>
  </si>
  <si>
    <t xml:space="preserve">b7503feffcb6d1a0318d2bc839d6346886efa5a799acc0b0f6e8ffd97d925e23</t>
  </si>
  <si>
    <t xml:space="preserve">["Currentadoption/editioncurrency/externaltaxorstatutoryvaliditynotverified.","NoFirstSchedule orindividualcertificate/reducingsumtablepresent;donotbyitselfdenyfile-levelprimary/maintextrole;cannotcomputeindividualclaimorcertifypackage.","SpecialFundclause3wasremoved2012;2020expresslyrestoresbufferreferenceonlynotalloldownership/expenseprovisions;do not silentlyreviveallhistoricalfund3.","Surrender layers: undatedRM50 andundatedRM50inclusiveGST0% atp13-16, dated1April2015 RM53inclusiveGST6%p17-18. Exact temporal applicability notestablished;do notsumcharges or claimcurrentfee."]</t>
  </si>
  <si>
    <t xml:space="preserve">delivery-batch25-20261026/group3/007-result.json#/preserved_uncertainties</t>
  </si>
  <si>
    <t xml:space="preserve">execution-evidence.json#/batches/B25/documents/group3~1007-result.json/preserved_uncertainties</t>
  </si>
  <si>
    <t xml:space="preserve">cd19b2a315c07716be3e78fcdc70ccabd2e071fcd5604d78b16b81c88536b710</t>
  </si>
  <si>
    <t xml:space="preserve">delivery-batch25-20261026/group3/007-result.json#/strict_blocker_basis</t>
  </si>
  <si>
    <t xml:space="preserve">execution-evidence.json#/batches/B25/documents/group3~1007-result.json/strict_blocker_basis</t>
  </si>
  <si>
    <t xml:space="preserve">{"finding":[{"component":"FourthSchedule2 surrendercharge replacements","effect":"Operative surrenderamount/version ordering remainsunresolved withinthisfile. Not an assertionofdoublecharge,invalidity,orcurrenttaxrate.","finding":"Two undated endorsements replace surrendercharge with min(RM50,account), oneincludingGSTcurrently0%;dated1April2015 endorsement replaces sameclause withmin(RM53includingGST6%,account). Neitherundatedeffective date is supplied;fileposition alone does not establishoperative chronology.","id":"007-F1","pages":[13,14,15,16,17,18]}],"strict_blocker_basis":["Undated operativeRM50 surrenderreplacement chronology versusdatedRM53replacementnotresolvablefromthefile."],"strict_eligible_proposal":false,"verification_status":"needs_review"}</t>
  </si>
  <si>
    <t xml:space="preserve">delivery-batch25-20261026/group3/007-result.json#/initial_classification_before_scope_correction</t>
  </si>
  <si>
    <t xml:space="preserve">execution-evidence.json#/batches/B25/documents/group3~1007-result.json/initial_classification_before_scope_correction</t>
  </si>
  <si>
    <t xml:space="preserve">ccf41332047577ce8e84a13f89d38d7bff0bd05718d8a1b3e24a33106d78b35b</t>
  </si>
  <si>
    <t xml:space="preserve">"2026-10-26T19:14:35.121790+00:00"</t>
  </si>
  <si>
    <t xml:space="preserve">delivery-batch25-20261026/group3/007-result.json#/classification_corrected_at_utc</t>
  </si>
  <si>
    <t xml:space="preserve">execution-evidence.json#/batches/B25/documents/group3~1007-result.json/classification_corrected_at_utc</t>
  </si>
  <si>
    <t xml:space="preserve">b5181d3cab13d520e590282ef09261e30e3ae03d42b3a4d4431154e28cd49300</t>
  </si>
  <si>
    <t xml:space="preserve">{"actual_present_pages":49,"all_present_pages_semantically_reviewed":true,"checked_at_utc":"2026-10-26T19:04:48.839647+00:00","copy_allowed":false,"display_denials":0,"member_bytes":3605044,"member_sha256":"87e734910c01b617e789e3c56b1f27e255731a3508878b7e5448db8f361293d2","metadata_matches":true,"needs_password":0,"ordinary_visual_display_pending":false,"ordinary_visual_display_succeeded":true,"pdfinfo_metadata":"Creator:         PDF-XChange Editor 6.0.322.7\nProducer:        PDF-XChange Core API SDK (6.0.322.7)\nCreationDate:    Fri Dec  6 12:03:49 2019 JST\nModDate:         Thu Jun 25 19:30:43 2020 JST\nCustom Metadata: no\nMetadata Stream: yes\nTagged:          no\nUserProperties:  no\nSuspects:        no\nForm:            none\nJavaScript:      no\nPages:           49\nEncrypted:       yes (print:no copy:no change:no addNotes:no algorithm:RC4)\nPage size:       594.96 x 842.04 pts (A4)\nPage rot:        0\nFile size:       3605044 bytes\nOptimized:       no\nPDF version:     1.7\n","pdfinfo_returncode":0,"permissions":-3392,"permissions_unchanged":true,"print_allowed":false,"source_archive_sha256":"d8dd60e6ef6061e4984143b9d891b5dd848b86f8833f800902ad758355a66515","task_id":"B25-MY-007","text_extraction_OCR_printing_unlocking_permission_changes":false}</t>
  </si>
  <si>
    <t xml:space="preserve">delivery-batch25-20261026/group3/007-preflight.json#</t>
  </si>
  <si>
    <t xml:space="preserve">execution-evidence.json#/batches/B25/documents/group3~1007-preflight.json</t>
  </si>
  <si>
    <t xml:space="preserve">395f36ea543c465a2a4d45abac61aeefd35ccc32942256bc9e8f6b1e40fca9d2</t>
  </si>
  <si>
    <t xml:space="preserve">{"actual_present_physical_pages":50,"all_pages_reviewed":true,"cleanup_reference":{"bytes":12402,"path":"independent-qa.json#/batches/B25/documents/group3~1008-cleanup.json","sha256":"e12604e06aedd2bce319ad93f4e7eb7e91bd26fd6caf23e6e51cb3b5b5b3e886"},"current_adoption_credit":0,"execution_result_reference":{"bytes":11250,"path":"execution-evidence.json#/batches/B25/documents/group3~1008-result.json","sha256":"4ef909a0c7ceb130144bd9a9e483018ccfdfa46b035da4402704ec3285acc6cf"},"file_level_primary_role_previously_accepted":true,"formal_mutations":false,"full_content_review_complete":true,"full_review_accepted":true,"gap_closure_credit":0,"independent_QA":true,"new_original":0,"new_primary":0,"new_product":0,"original_id":"regional-20261025-a1244aa45329d1c6","package_complete_credit":0,"page_proof_reference":{"bytes":22007,"path":"independent-qa.json#/batches/B25/documents/group3~1008-page-proof.jsonl","sha256":"5eacbc45234d557db28f8980b12bed55b84bb604ea2fe803c087ceaa1127d0cc"},"prior_task_id":"B17-MY-022","qa_result_reference":{"bytes":10576,"path":"independent-qa.json#/batches/B25/documents/group3~1008-result.json","sha256":"c36e2b0c54278b72fc3ef4f764b30f511eb2ad07fab8da29f5b52c037bbd54d3"},"queue_id":"PENDING-a1244aa45329d1c6","region_code":"MY","review_status":"full","sha256":"a1244aa45329d1c61acd7bf2470c722f433f0a22ff71678f7d7f146ea2ff1b9d","source_archive_sha256":"d8dd60e6ef6061e4984143b9d891b5dd848b86f8833f800902ad758355a66515","source_insurer_preserved":"Sun Life Malaysia Takaful Berhad","strict_eligible":false,"strict_status":"needs_review","strict_verified":false,"target":"Mortgage Reducing Term Takaful Contract - Permodalan RISDA Berhad","task_id":"B25-MY-008","verification_status":"needs_review"}</t>
  </si>
  <si>
    <t xml:space="preserve">{"bytes":10576,"path":"independent-qa.json#/batches/B25/documents/group3~1008-result.json","sha256":"c36e2b0c54278b72fc3ef4f764b30f511eb2ad07fab8da29f5b52c037bbd54d3"}</t>
  </si>
  <si>
    <t xml:space="preserve">qa-b25-full-review-20261026/issues-and-clarifications.json#/files/7/current_QA_result</t>
  </si>
  <si>
    <t xml:space="preserve">independent-qa.json#/batches/B25/documents/issues-and-clarifications.json/files/7/current_QA_result</t>
  </si>
  <si>
    <t xml:space="preserve">d30c39feecdf3a77dab78f6ba6c81400b3030b4f916aee8ce665d9db827a827e</t>
  </si>
  <si>
    <t xml:space="preserve">qa-b25-full-review-20261026/issues-and-clarifications.json#/files/7/final_status</t>
  </si>
  <si>
    <t xml:space="preserve">independent-qa.json#/batches/B25/documents/issues-and-clarifications.json/files/7/final_status</t>
  </si>
  <si>
    <t xml:space="preserve">[{"finding":"003 defines monthly RSC as a monetary sum, benefit clauses compare it with monetary account value, yet010 sets RSCt=1 then a discounted-power ratio without initial-amount multiplier or normalization-to-amount instruction. The factor-to-amount bridge is not established in present text.","id":"QA-008-F1","limits":"No claim all benefits equal RM1 or invalidity; individual certificate table may aid application but its absence alone is not blocker. No zero-rate branch, unlike007; do not import zero12n-t or make conditional0/0 an independent blocker when zero-rate applicability unknown. No explicit time origin beyond durationmonths; monthlyanniversary usesEffective. At firstpostdeferred ratio1 and finalmonth positive for lpr&gt;0; no competing zero branch here, so no007-style two-branch boundary finding.","literal":"RSCt=1 for t&lt;=12dp; RSCt=(1-vl^(12n-(t-1)))/(1-vl^(12pp)) for t=12dp+1,...,12n; vl=1/(1+lpr/12); n=dp+pp; t duration in months.","pages":[24,31,32,35,39,46,47,50]},{"finding":"English0082.1(c) includes immorality; Malay equivalent has suicide, attempted suicide, intentional self-injury without immorality equivalent. No express language priority or replacement resolving it observed across50pages.","id":"QA-008-F2","limits":"Preserve both exclusion wordings; do not infer coverage or silently amend.","pages":[32,47]}]</t>
  </si>
  <si>
    <t xml:space="preserve">qa-b25-full-review-20261026/issues-and-clarifications.json#/files/7/independent_findings</t>
  </si>
  <si>
    <t xml:space="preserve">independent-qa.json#/batches/B25/documents/issues-and-clarifications.json/files/7/independent_findings</t>
  </si>
  <si>
    <t xml:space="preserve">cfcd606608508f923429fbe9cbea9f0fe967d35d685dec5e23be4fd4fe89987b</t>
  </si>
  <si>
    <t xml:space="preserve">[{"corrected":"Independent216dpi confirms English inclusion and Malay omission; keep source initial and correction, QA-008-F2.","original":"Initial execution shortnotes32/47 omitted immorality language difference; later correction added it.","type":"source_correction_independently_upheld"},{"corrected":"Physical4 has only other-provisions-unchanged continuation text, no SunLife identity/footer visible on this page; identity is independently established elsewhere.","original":"Execution page4 semantic_note: Othermastercontractprovisionsremainunchanged;SunLifeMalaysiaTakafulidentity/footer.","pages":[4],"type":"metadata_precision"},{"corrected":"Both languages authorize retakaful OR reinsurance; the approval sentence expressly addresses reinsurance arrangements, not a finding that reinsurance is absent.","original":"Execution shortnotes retakafulShariahapproval","pages":[26,41],"type":"metadata_precision"},{"corrected":"Confirmed printed3/002 absent in both sequences; no assertion it is merely a blank personal schedule or that missing content supplied elsewhere. No holder name PermodalanRISDA observed; source attribution preserved, not invented fromRI; these limits not sole basis of present strict decision.","original":"Missing002 master schedule and individualcertificate/annualtable preserved ascontext limits.","pages":[22,23,24,37,38,39],"type":"component_and_adoption_limits"},{"corrected":"Confirmed dates/exactreplacement and specific firstmonthlyannivafterpayment; no simultaneousfee or automaticterminationcontradiction inferred.","original":"2018 wholefee replacement supersedes2015; specific11.1qualifies18.","pages":[13,14,15,16,27,28,42,43],"type":"chronology_and_surrender_timing"}]</t>
  </si>
  <si>
    <t xml:space="preserve">qa-b25-full-review-20261026/issues-and-clarifications.json#/files/7/metadata_corrections</t>
  </si>
  <si>
    <t xml:space="preserve">independent-qa.json#/batches/B25/documents/issues-and-clarifications.json/files/7/metadata_corrections</t>
  </si>
  <si>
    <t xml:space="preserve">d487a09649aff14d3ea6ea8881cdb200a9de04a704c7a4b7909fc2f9c0e283a9</t>
  </si>
  <si>
    <t xml:space="preserve">qa-b25-full-review-20261026/issues-and-clarifications.json#/files/7/qa_notes</t>
  </si>
  <si>
    <t xml:space="preserve">independent-qa.json#/batches/B25/documents/issues-and-clarifications.json/files/7/qa_notes</t>
  </si>
  <si>
    <t xml:space="preserve">"Independent QA-008-F1 factor-to-amount bridge and QA-008-F2 unresolved bilingual immorality exclusion; not unknown adoption or absent personal data alone."</t>
  </si>
  <si>
    <t xml:space="preserve">qa-b25-full-review-20261026/issues-and-clarifications.json#/files/7/strict_basis</t>
  </si>
  <si>
    <t xml:space="preserve">independent-qa.json#/batches/B25/documents/issues-and-clarifications.json/files/7/strict_basis</t>
  </si>
  <si>
    <t xml:space="preserve">89cb6eee5d7c03e51f144b2c42078a1a6ff1bb78d57cb866e1fbe2db5a66ea24</t>
  </si>
  <si>
    <t xml:space="preserve">"B25-MY-008"</t>
  </si>
  <si>
    <t xml:space="preserve">qa-b25-full-review-20261026/issues-and-clarifications.json#/files/7/task_id</t>
  </si>
  <si>
    <t xml:space="preserve">independent-qa.json#/batches/B25/documents/issues-and-clarifications.json/files/7/task_id</t>
  </si>
  <si>
    <t xml:space="preserve">beb71659c466d0847ff07e38cf89ce8d5799d387ccb9934e0100ede6dba674c2</t>
  </si>
  <si>
    <t xml:space="preserve">{"annexure_series":"MRTTRI001–010","document_title":"Mortgage Reducing Term Takaful (MRTT)","identity_limitation":"Present pages establish MRTTRI32 and operator, but do not spell out Permodalan RISDA holder; source target remains preserved rather than inferred from RI. No contrary holder identified.","master_contract_number":"MRTTRI32","operator":"Sun Life Malaysia Takaful Berhad","source_target_preserved":"Mortgage Reducing Term Takaful (MRTT) — Permodalan RISDA"}</t>
  </si>
  <si>
    <t xml:space="preserve">delivery-batch25-20261026/group3/008-result.json#/observed_identity</t>
  </si>
  <si>
    <t xml:space="preserve">execution-evidence.json#/batches/B25/documents/group3~1008-result.json/observed_identity</t>
  </si>
  <si>
    <t xml:space="preserve">6ed7e19229949523ce392738c53b1bed31862fc53e40ac956a366ac96b94a5e1</t>
  </si>
  <si>
    <t xml:space="preserve">[{"component":"Effective1July2020 endorsement","languages":"English/Malay","physical_pages":"1–8","replacement":"MRTTRI001 principles;003 added definitions/renumbering;0045.3/5.4 age replacement and21 interpretation addition;0051/2 fund whole replacements;0062 wakalah whole replacement."},{"component":"Effective1July2019 endorsements","languages":"English/Malay","physical_pages":"9–12","replacement":"0042.2 regulatory amendment,12.2/12.3 expiry and17.2 small amounts;0093.2 surplus and4 investment eligibility additions."},{"component":"Dated surrender fee endorsements","languages":"English/Malay","physical_pages":"13–16","replacement":"1Sep2018 whole0092 replacement lesserRM50/account supersedes1Apr2015 lesserRM53/account including6%GST; later revisions affect certificates issued thereafter."},{"component":"Effective1Jan2015 endorsement","languages":"English/Malay","physical_pages":"17–20","replacement":"Whole0041 material-information contract provision; adds19 tax and20 FATCA; adds0081.1 TPD commencement/in-force limitation."},{"component":"Cover, contents and base annexures","languages":"English","physical_pages":"21–35","replacement":"Printed1,2,4–15; MRTTRI002 master schedule printed3 absent."},{"component":"Cover, contents and base annexures","languages":"Malay","physical_pages":"36–50","replacement":"Printed1,2,4–15; MRTTRI002 master schedule printed3 absent."}]</t>
  </si>
  <si>
    <t xml:space="preserve">delivery-batch25-20261026/group3/008-result.json#/components</t>
  </si>
  <si>
    <t xml:space="preserve">execution-evidence.json#/batches/B25/documents/group3~1008-result.json/components</t>
  </si>
  <si>
    <t xml:space="preserve">703dad643c8b53b5e58d194a82927599c15fb0dfe5d070ca5223acba4e0c3527</t>
  </si>
  <si>
    <t xml:space="preserve">[{"fact":"2020 fund replacements establish participant individual account and collectively owned tabarru fund; account contribution less wakalah, monthly tabarru, nonguaranteed investment, participant loss unless operator fault; qard restores risk-fund deficit and repayment when surplus returns. Historical ownership wording is expressly replaced, not simultaneous contrary ownership.","pages":[1,2,3,5,6,7,8,29,44]},{"fact":"Wakalah20% single contribution; distributable risk surplus50%operator/50%account; annual investment profit10%/90%.2019 eligibility requires not lapsed/not surrendered before financial yearend, and redirects later-terminated distributions to00417.&lt;=RM10 annual amounts paid to latest bank else approved charity.","pages":[11,12,34,49]},{"fact":"Working TPD at least6months prevents any remunerative occupation, or specified irreversible eye/limb loss; nonworking/housewife at least3/6ADLs for6months. Onset while inforce fromeffective/commencement and before age65 monthly-anniversary endpoint; proof9months. No aggregateRM2m cap found in this file.","pages":[24,25,39,40,32,33,47,48]},{"fact":"Death/TPD risk-fund RSC less account plus account, or higher account. All benefits payable to contract holder. Death suicide exclusion has no stated12month window and limits to account;30day notice/proof with reasonable-delay notice exception. Surrender cash value account less applicable charge; specific11.1 terminates first monthly anniversary following payment; expiry account value.","pages":[27,28,31,32,42,43,46,47]},{"fact":"Dated2018 fee replacement resolves former2015RM53/GST6% layer to lesserRM50/account; single contribution and surrender-charge changes prospective to later certificates. Charges nonguaranteed, regulator approval/3months notice; tabarru revised next anniversary following notice. Risk basis floorzero; age nearest birthday.","pages":[13,14,15,16,30,34,45,49]},{"fact":"2015 precontract misrepresentation remedies expressly limited to IFSA2013Schedule9, with reasonable-care/update obligations on variation; FATCA cooperation and possible report/suspension/withholding/termination cash value less debt without profit. Historical2year contestability exceptfraud remains read subject to amendment; no current-law legal conclusion.","pages":[17,18,19,20,26,27,41,42]}]</t>
  </si>
  <si>
    <t xml:space="preserve">delivery-batch25-20261026/group3/008-result.json#/content_summary</t>
  </si>
  <si>
    <t xml:space="preserve">execution-evidence.json#/batches/B25/documents/group3~1008-result.json/content_summary</t>
  </si>
  <si>
    <t xml:space="preserve">0070d3b9ec645210d319de8471057e1c5c0ef12b8247f2b919ce3acd64199a9b</t>
  </si>
  <si>
    <t xml:space="preserve">[{"finding_id":"008-F1","impact":"Unresolved operative calculation interpretation; preserve formula as printed and require authoritative clarification. Not a finding that all payments equalRM1 or contract is invalid.","issue":"MRTTRI003 defines reducing sum covered as an amount and directs monthly determination to010, but bilingual010 literally sets RSC_t=1 during deferment then a dimensionless discounted-power ratio with no initial sum multiplier or express normalization/scaling instruction. Present file does not resolve factor-to-benefit-amount bridge.","physical_pages":[24,35,39,50]},{"finding_id":"008-F2","impact":"Unresolved same-layer bilingual exclusion scope; do not silently import or delete exclusion.","issue":"English0082.1(c) includes immorality among excluded causes; Malay equivalent omits it. No express language-priority clause found in all present pages.","physical_pages":[32,47]}]</t>
  </si>
  <si>
    <t xml:space="preserve">delivery-batch25-20261026/group3/008-result.json#/substantive_findings</t>
  </si>
  <si>
    <t xml:space="preserve">execution-evidence.json#/batches/B25/documents/group3~1008-result.json/substantive_findings</t>
  </si>
  <si>
    <t xml:space="preserve">89894fafe2a574f40df4125e17181ecc6bcfcb36f6bb08ff53aa5b4f03247dae</t>
  </si>
  <si>
    <t xml:space="preserve">[{"clarification":"2018 and2015 surrender endorsements both explicitly delete/rewrite0092 in entirety; effective dates establish historical sequence, not double fee or unresolved simultaneous rate.","pages":[13,14,15,16]},{"clarification":"Missing MRTTRI002 printed3 and personal certificate/annualRSC schedule are preserved component/context limits, not by themselves the reason for needs_review. Formula ambiguity is grounded in present operative003/010 wording, not assumed missing personal sum.","pages":[22,23,24,37,38,39]},{"clarification":"General18 surrender termination is read with specific11.1 first monthly anniversary after surrender payment; no automatic contradiction asserted.","pages":[27,28,42,43]},{"clarification":"Initial short notes omitted English immorality exclusion distinction.216dpi bilingual reread added and preserved the correction in page proof.","pages":[32,47]},{"clarification":"No zero-profit-rate branch appears; a hypothetical zero input would make displayedratio0/0, but no zero-rate loan applicability is established, so not used as independent strict blocker.","pages":[35,50]}]</t>
  </si>
  <si>
    <t xml:space="preserve">delivery-batch25-20261026/group3/008-result.json#/clarifications</t>
  </si>
  <si>
    <t xml:space="preserve">execution-evidence.json#/batches/B25/documents/group3~1008-result.json/clarifications</t>
  </si>
  <si>
    <t xml:space="preserve">ab7e05f6f3265cd9e703dfcb8a48f3e263f62fe5b5ea77d85fcd15927caecc0d</t>
  </si>
  <si>
    <t xml:space="preserve">[{"basis":"216dpi original-resolution displays confirmed English immorality phrase and absence from corresponding Malay list. Original short notes retained in initial_note_before_zoom_correction; no source text modified.","pages":[32,47]}]</t>
  </si>
  <si>
    <t xml:space="preserve">delivery-batch25-20261026/group3/008-result.json#/correction_basis</t>
  </si>
  <si>
    <t xml:space="preserve">execution-evidence.json#/batches/B25/documents/group3~1008-result.json/correction_basis</t>
  </si>
  <si>
    <t xml:space="preserve">55de7eac3f0d18555685bf43882da073eca9f09efd08048e12a1537a7d93e694</t>
  </si>
  <si>
    <t xml:space="preserve">["Source edition current adoption and individual certificate terms not established.","MRTTRI002 master-contract schedule printed3 absent in both language sequences; application, medical material, individual certificate/annual RSC table and actual loan inputs absent.","Source target mentions Permodalan RISDA while present text identifies MRTTRI32 without naming holder; accepted source attribution preserved, no holder substitution.","No express English/Malay priority clause found.","External statutory, FATCA/IRS and tax references read as source text only, not checked for present legal application."]</t>
  </si>
  <si>
    <t xml:space="preserve">delivery-batch25-20261026/group3/008-result.json#/preserved_uncertainties</t>
  </si>
  <si>
    <t xml:space="preserve">execution-evidence.json#/batches/B25/documents/group3~1008-result.json/preserved_uncertainties</t>
  </si>
  <si>
    <t xml:space="preserve">d291cb3f20c598c879ceb6a64bd83fbc708bc126d4c3638ee77c871d80e4d288</t>
  </si>
  <si>
    <t xml:space="preserve">["008-F1 unresolved amount/factor calculation bridge in operative bilingual003/010.","008-F2 unresolved same-layer bilingual immorality exclusion scope."]</t>
  </si>
  <si>
    <t xml:space="preserve">delivery-batch25-20261026/group3/008-result.json#/strict_blocker_basis</t>
  </si>
  <si>
    <t xml:space="preserve">execution-evidence.json#/batches/B25/documents/group3~1008-result.json/strict_blocker_basis</t>
  </si>
  <si>
    <t xml:space="preserve">c1173a7206aa743aa896500dc9691451136d43e0d8b3130c8fedee144de1d4a4</t>
  </si>
  <si>
    <t xml:space="preserve">{"actual_present_pages":50,"all_present_pages_semantically_reviewed":true,"checked_at_utc":"2026-10-26T19:12:30.396687+00:00","copy_allowed":false,"display_denials":0,"member_bytes":2113477,"member_sha256":"a1244aa45329d1c61acd7bf2470c722f433f0a22ff71678f7d7f146ea2ff1b9d","metadata_matches":true,"needs_password":0,"ordinary_visual_display_pending":false,"ordinary_visual_display_succeeded":true,"pdfinfo_metadata":"Author:          Valued Acer Customer\nCreator:         Microsoft® Word 2016\nProducer:        Microsoft® Word 2016\nCreationDate:    Wed Jul  1 11:31:40 2020 JST\nModDate:         Wed Jul  1 12:24:12 2020 JST\nCustom Metadata: no\nMetadata Stream: yes\nTagged:          yes\nUserProperties:  no\nSuspects:        no\nForm:            none\nJavaScript:      no\nPages:           50\nEncrypted:       yes (print:no copy:no change:no addNotes:no algorithm:RC4)\nPage size:       595.32 x 841.92 pts (A4)\nPage rot:        0\nFile size:       2113477 bytes\nOptimized:       no\nPDF version:     1.5\n","pdfinfo_returncode":0,"permissions":-3392,"permissions_unchanged":true,"print_allowed":false,"source_archive_sha256":"d8dd60e6ef6061e4984143b9d891b5dd848b86f8833f800902ad758355a66515","task_id":"B25-MY-008","text_extraction_OCR_printing_unlocking_permission_changes":false}</t>
  </si>
  <si>
    <t xml:space="preserve">delivery-batch25-20261026/group3/008-preflight.json#</t>
  </si>
  <si>
    <t xml:space="preserve">execution-evidence.json#/batches/B25/documents/group3~1008-preflight.json</t>
  </si>
  <si>
    <t xml:space="preserve">153c5666e4ba625cb170b111af94e0f77c96a2ea7e60bf010cc6c115bf0fef6b</t>
  </si>
  <si>
    <t xml:space="preserve">{"actual_present_physical_pages":54,"all_pages_reviewed":true,"cleanup_reference":{"bytes":14652,"path":"independent-qa.json#/batches/B25/documents/group3~1009-cleanup.json","sha256":"ae69f4c1313cda458fee6ef070dd7fab987976860fa5d913c173962918194434"},"current_adoption_credit":0,"execution_result_reference":{"bytes":12391,"path":"execution-evidence.json#/batches/B25/documents/group3~1009-result.json","sha256":"e4a649627fe7bbeee0e6ad049b7f847a2410a256597f48f596f5bc3af5890a59"},"file_level_primary_role_previously_accepted":true,"formal_mutations":false,"full_content_review_complete":true,"full_review_accepted":true,"gap_closure_credit":0,"independent_QA":true,"new_original":0,"new_primary":0,"new_product":0,"original_id":"regional-20261025-e31cf3f4665d3125","package_complete_credit":0,"page_proof_reference":{"bytes":25798,"path":"independent-qa.json#/batches/B25/documents/group3~1009-page-proof.jsonl","sha256":"1129c57acd8009417ec725a6677b4e05fc3399c27e03a2ef7bd842f75fdffc1f"},"prior_task_id":"B17-MY-023","qa_result_reference":{"bytes":13598,"path":"independent-qa.json#/batches/B25/documents/group3~1009-result.json","sha256":"3ff4c26be34ab1eec9b285bfaf9136d3deb7e99eb5e278ccec0050970b68e978"},"queue_id":"PENDING-e31cf3f4665d3125","region_code":"MY","review_status":"full","sha256":"e31cf3f4665d3125c2f7380f6411d957c80300dc087902aecb80cca0b5e41c5f","source_archive_sha256":"d8dd60e6ef6061e4984143b9d891b5dd848b86f8833f800902ad758355a66515","source_insurer_preserved":"Sun Life Malaysia Takaful Berhad","strict_eligible":false,"strict_status":"needs_review","strict_verified":false,"target":"Mortgage Reducing Term Takaful with Funeral Benefit Contract (MRTTRI33) - Permodalan RISDA Berhad","task_id":"B25-MY-009","verification_status":"needs_review"}</t>
  </si>
  <si>
    <t xml:space="preserve">{"bytes":13598,"path":"independent-qa.json#/batches/B25/documents/group3~1009-result.json","sha256":"3ff4c26be34ab1eec9b285bfaf9136d3deb7e99eb5e278ccec0050970b68e978"}</t>
  </si>
  <si>
    <t xml:space="preserve">qa-b25-full-review-20261026/issues-and-clarifications.json#/files/8/current_QA_result</t>
  </si>
  <si>
    <t xml:space="preserve">independent-qa.json#/batches/B25/documents/issues-and-clarifications.json/files/8/current_QA_result</t>
  </si>
  <si>
    <t xml:space="preserve">9c4250bc5886a196778f3882d2c81c15348fd992685c73efb06b516ecf22f7f4</t>
  </si>
  <si>
    <t xml:space="preserve">qa-b25-full-review-20261026/issues-and-clarifications.json#/files/8/final_status</t>
  </si>
  <si>
    <t xml:space="preserve">independent-qa.json#/batches/B25/documents/issues-and-clarifications.json/files/8/final_status</t>
  </si>
  <si>
    <t xml:space="preserve">[{"finding":"MRTT003 defines monetary RSC and directs each monthly value to011; death/TPD compares it with monetary account.011 instead prints RSCt=1 during deferment then dimensionless discount ratio without initial monetary multiplier or express factor-to-amount bridge. No scaling instruction found in54pages. This is an unresolved generic amount linkage, not mere absence of personal ISC/table, and not assertion benefits actuallyRM1 or invalidity.","formula":"t&lt;=12dp:1; t12dp+1..12n:(1-vl^(12n-(t-1)))/(1-vl^(12pp));vl1/(1+lpr/12),n=dp+pp,tDurationinmonths. Nozero-ratebranch; do not import007 zero12n-t or treat hypotheticalzero applicability as proven.","id":"QA-009-F1","pages":[18,28,29,34,38,48,49,54],"severity":"strict_blocker","timing":"Definition says annual endyear personal table/monthly formula;deathatdeath andTPDatonset; noadditionalfactorbridgeor distinctnormalizeddefinition found. Terminal positivefactor is not independently wrong, and no continuity requirement imposed."},{"finding":"TPD0082.1(c) English includes immorality; correspondingMalay includes completed/attempted suicide and intentionalselfinjury but omitsimmorality. Noexpresslanguagepriorityfound; unresolvedexclusionscope. Do not import007priority.","id":"QA-009-F2","pages":[29,49],"severity":"strict_blocker"},{"finding":"0063.1 Englishtabarrurate factorsage/occupation/health/gender/underwritingcategory;Malayendsathealth(c). Generalgendercorrection8 doesnotreplace absentunderwritingcategory nor clearly resolve wholemonthlyratebasis. Noactualoverchargeinferred.","id":"QA-009-F3","pages":[27,47],"severity":"strict_blocker"},{"finding":"Bothsexesfeegridsfirstfinancingcolumn English3–5 versusMalay1–5;allnumericcellsotherwiseindependentlyagree. Scopefor1–2yeartermnotresolved;noassertionthosecertificatesissued.","id":"QA-009-F4","pages":[32,52],"severity":"strict_blocker"},{"finding":"Mastercancellation00421.1 EN90days versusMS3months;notnecessarilyidenticalcalendarendpoint. Individualcovercontinuationagreesbutdoesnotresolveholdercancellationnotice. Noexpresslanguagepriority.","id":"QA-009-F5","pages":[24,44],"severity":"strict_blocker"}]</t>
  </si>
  <si>
    <t xml:space="preserve">qa-b25-full-review-20261026/issues-and-clarifications.json#/files/8/independent_findings</t>
  </si>
  <si>
    <t xml:space="preserve">independent-qa.json#/batches/B25/documents/issues-and-clarifications.json/files/8/independent_findings</t>
  </si>
  <si>
    <t xml:space="preserve">3170384753de7f8fd18e38a161d846586a1a8a87362c7d9af4fb9e4b02cbfe13</t>
  </si>
  <si>
    <t xml:space="preserve">[{"corrected":"Independentlycheckedagainst54originalpagesand41own216dpi confirmations; agreeF1–F5withboundariesabove. Noexecution009pageproofcorrectionfieldsorcorrection_basisentrieswerepresent. Preserveallsourceclarificationswithfollowingprecision; sourcefilesunchanged.","original":"Resultidentity/components/content_summary/substantive_findings/clarifications/correction_basis/uncertainties/strictbasis;54sourcepageproofnotesandnon-note fields;32sourcezoomconfirmations;009correction-register entry.","type":"all_execution_factual_fields_audit"},{"corrected":"Bothlanguagesauthorize retakaful OR reinsurance; followingapprovalsentence expressly concerns reinsurancearrangements. Do not broadentheapprovaltext toboth categories.","original":"p22 retakaful/reinsuranceShariahapproval; p42 retakafulShariahapproval","pages":[22,42],"type":"execution_note_precision"},{"corrected":"Confirmedexactscopesanddates: capital/profitNOTguaranteed;participantlossunlessoperatorfault;collectivefund/Qard;90daywakalah;lawcompliancepriornotice;&lt;=RM10bankelsecharity/yearendeligibility;2018whole0102supersedes2015GST6%min53to min50/account. No simultaneousfee,guaranteedorcurrentadoptionclaim.","original":"2020wholefund/wakalah/age replacements;2019additions;2015RM53then2018RM50","pages":[2,3,5,6,7,8,9,10,11,12,13,14,26,46],"type":"historical_replacement"},{"corrected":"Actualfuneralprinted17presentinboth;actualuniqueformula011present. Boundedlookupcodes,notmissingfuneral/formula. MRTT002printed3absentbothlanguage sequences;noinventcontents/holdername. Personalcert/annualtableabsenceandunknownadoptionalonenotstrictveto.","original":"ENfuneralTOCprinted16;MSRSCdefinitionMRTT010","pages":[16,18,31,36,38,51,54],"type":"bounded_crossreferences"},{"corrected":"Bilingual2018whole0102 suppliesfee/90daynotice/futurecertlimit;noindependentmissingfeeissue. Specificfirstmonthlyannivaftersurrenderpaymentqualifiesgeneraltermination;notautomaticcontradiction.","original":"Malay006omitsEN4surrender;generaltermination25versusspecific16.1","pages":[11,12,23,24,27,43,44,45,47],"type":"surrender_scope"},{"corrected":"Confirmedconditionalbalanceclauses;donotcapentirebenefitmechanicallyatdebt/doublepay. TPDaggregateRM2m/before65monthlyanniv/9monthproof;deathsuicideaccountonlywithout12monthwindow. Funeralmax1spouse/max2children,30days–18/tertiary23;noannualfrequencyin table. NoexpresslowerTPDresidualdeathcontinuationhere;notgeneralizedfrom007.","original":"Death/TPDmaxRSC/account,holderlowerdebt/RSC,residualrouting;funeral1000/1000/500","pages":[28,29,30,31,48,49,50,51],"type":"benefit_scope"}]</t>
  </si>
  <si>
    <t xml:space="preserve">qa-b25-full-review-20261026/issues-and-clarifications.json#/files/8/metadata_corrections</t>
  </si>
  <si>
    <t xml:space="preserve">independent-qa.json#/batches/B25/documents/issues-and-clarifications.json/files/8/metadata_corrections</t>
  </si>
  <si>
    <t xml:space="preserve">21e8da59454368901a52c6e41a67ad44e391b840f82043e832146d17d2708901</t>
  </si>
  <si>
    <t xml:space="preserve">qa-b25-full-review-20261026/issues-and-clarifications.json#/files/8/qa_notes</t>
  </si>
  <si>
    <t xml:space="preserve">independent-qa.json#/batches/B25/documents/issues-and-clarifications.json/files/8/qa_notes</t>
  </si>
  <si>
    <t xml:space="preserve">"Independent54-page review confirms unresolved monetary formula bridge and five bounded same-layer operative issues QA-009-F1–F5; not personal schedule absence or unknown adoption alone."</t>
  </si>
  <si>
    <t xml:space="preserve">qa-b25-full-review-20261026/issues-and-clarifications.json#/files/8/strict_basis</t>
  </si>
  <si>
    <t xml:space="preserve">independent-qa.json#/batches/B25/documents/issues-and-clarifications.json/files/8/strict_basis</t>
  </si>
  <si>
    <t xml:space="preserve">6afe7103d8b740354d029ddc143750463fbcd5e8ff948ba204ef135c5b2e1352</t>
  </si>
  <si>
    <t xml:space="preserve">"B25-MY-009"</t>
  </si>
  <si>
    <t xml:space="preserve">qa-b25-full-review-20261026/issues-and-clarifications.json#/files/8/task_id</t>
  </si>
  <si>
    <t xml:space="preserve">independent-qa.json#/batches/B25/documents/issues-and-clarifications.json/files/8/task_id</t>
  </si>
  <si>
    <t xml:space="preserve">94defa841490968ef52826985dd775912a1d25dc244a88b75d9050253c51ce63</t>
  </si>
  <si>
    <t xml:space="preserve">{"annexure_series":"MRTT001–011","document_title":"Mortgage Reducing Term Takaful with Funeral Benefit","identity_limitation":"Present text identifies MRTTRI33 but does not spell out RISDA holder; accepted source attribution preserved, no contrary named holder.","master_contract_number":"MRTTRI33","operator":"Sun Life Malaysia Takaful Berhad","source_target_preserved":"MRTT with Funeral Benefit — Permodalan RISDA"}</t>
  </si>
  <si>
    <t xml:space="preserve">delivery-batch25-20261026/group3/009-result.json#/observed_identity</t>
  </si>
  <si>
    <t xml:space="preserve">execution-evidence.json#/batches/B25/documents/group3~1009-result.json/observed_identity</t>
  </si>
  <si>
    <t xml:space="preserve">88004a21c35732e1ef19539d4e9668dc5b5668215ff415cbb214fbab232786a6</t>
  </si>
  <si>
    <t xml:space="preserve">[{"component":"Effective 1 July 2020 endorsement","languages":"English/Malay","physical_pages":"1–6","replacement":"MRTT001 principles;003 added definitions (d),(i),(q),(s)/renumbering;004 age7.3/7.4;005 fund1/2 entirely;006 wakalah2 entirely."},{"component":"Effective 1 July 2019 endorsements","languages":"English/Malay","physical_pages":"7–10","replacement":"Adds0043.2 regulatory amendment,17.2/17.3 expiry, replaces24.2 small-payment rule; adds0104.2 surplus and5 profit eligibility."},{"component":"Surrender-charge endorsements","languages":"English/Malay","physical_pages":"11–14","replacement":"1 September 2018 whole0102 replacement lesserRM50/account expressly supersedes1 April 2015 lesserRM53/account includingGST6%."},{"component":"Cover/contents/base annexures","languages":"English","physical_pages":"15–34","replacement":"Printed1,2,4–20; MRTT002 master schedule printed3 absent."},{"component":"Cover/contents/base annexures","languages":"Malay","physical_pages":"35–54","replacement":"Printed1,2,4–20; MRTT002 master schedule printed3 absent."}]</t>
  </si>
  <si>
    <t xml:space="preserve">delivery-batch25-20261026/group3/009-result.json#/components</t>
  </si>
  <si>
    <t xml:space="preserve">execution-evidence.json#/batches/B25/documents/group3~1009-result.json/components</t>
  </si>
  <si>
    <t xml:space="preserve">e9cc44977ac49358384db3a21f3a2537f90666a125b6f1755fdf525e3516d726</t>
  </si>
  <si>
    <t xml:space="preserve">[{"fact":"2020 replaces historical fund ownership with collectively participant-owned risk fund; netwakalah individual account, monthlytabarru, nonguaranteed capital/profit, participant bears losses except operator fault/breach. Qard deficit funding repaid on surplus; investmentprofit part of risk surplus. Age replacement requires retro contribution/tabarru/account adjustment and correct expiry rather than old ineligible-age account-only rule.","pages":[1,2,3,4,5,6,26,46]},{"fact":"2019 regulatory changes require priorwrittennotice; annual &lt;=RM10 surplus/profit/maturity credited latestbank else approvedcharity, replacing old &lt;RM2charity. Surplus/profit eligibility notlapsed/notsurrendered beforefinancialyearend; latertermination redirects to00424. Risk surplus50/50, profit10/90, stampRM10operator.","pages":[7,8,9,10,24,44,33,53]},{"fact":"Working TPD sixmonths anypaidoccupation orspecifiedirreversibleeye/limbloss; nonworking3/6ADLs sixmonths. Interimpreunderwriting accidentaldeath/TPDonly lowerRM250000/proposed orinforcesum. Death/TPD benefits maxRSC/account; TPD aggregatealloperatorpoliciesRM2m, beforemonthlyannivon/immediatelyafter65, proof9months; deathproof30days, suicideaccountonly with no timewindow stated.","pages":[18,19,21,28,29,30,38,39,41,48,49,50]},{"fact":"Death/TPD holderpayment loweractualdebt/RSC plus express balance clause when debt&lt;RSC; deathbalancenominee/rightfulclaimant, TPDbalancecovered. Do not reduce entire benefit mechanically to debt or inferdoublepayment.","pages":[28,30,48,50]},{"fact":"Funeral risk-fund benefit RM1000covered, RM1000maximumonelegalspouse, RM500eachmaximumtwochildren. Child30days–18years, tertiaryeducationextends23withproof; includes illegitimate/step/legaladopted. Covereddeathpaynominee/rightfulclaimant; familydeathpaycovered.","pages":[31,51]},{"fact":"2018 surrenderfee lesserRM50/account, laterfeechange90daysnoticefuturecertificatesonly. Cashvalueaccountlessfee andspecificterminationfirstmonthlyannivafterpayment; expiryaccount; freelook15daysdeliveryrefundcontributionwithoutprofitlessmedicalexam. Mastercancel leavesindividualcoveragecontinuing; financingrelationshipends withcoveredwrittencontinuationoption.","pages":[11,12,13,14,23,24,43,44]},{"fact":"Precontractmaterialmisrep remediesonlyIFSA2013Schedule9; reasonablecare/updateobligation. Two-yearincontestabilityexceptfraud; permissibleinteresttransfer whenholderinterestceases; arbitrationandMalaysialaw/courts, nonassignment, nomination. FATCAcooperation/report/suspend/withhold/terminationcashvaluelessdebtwithoutprofit readassourcetermsnotcurrentlegalvalidation.","pages":[20,21,22,23,25,40,41,42,43,45]},{"fact":"Monthlyrisk=max(RSC-account,0); nearestbirthdaybasis; wakalahmatrixbysex/age/financingterm allcellsread. Chargesnonguaranteed subjectregulatorapproval90daysnotice;tabarrunextanniversaryafterperiod.","pages":[27,32,33,47,52,53]}]</t>
  </si>
  <si>
    <t xml:space="preserve">delivery-batch25-20261026/group3/009-result.json#/content_summary</t>
  </si>
  <si>
    <t xml:space="preserve">execution-evidence.json#/batches/B25/documents/group3~1009-result.json/content_summary</t>
  </si>
  <si>
    <t xml:space="preserve">b4d50af3a9210933a16835c1235aa40739488d8ed478dd18e0412a9fa8f2145d</t>
  </si>
  <si>
    <t xml:space="preserve">[{"finding_id":"009-F1","impact":"Operative amount/calculation bridge unresolved; no assertion actualbenefitRM1 or invalidcontract.","issue":"003 defines RSC as predetermined reducing sum/amount and directs monthly determination toformula; bilingual011 literally RSC_t=1 in deferral then dimensionless discount-power ratio without initialsum multiplier or express factor-to-amount scaling.","physical_pages":[18,34,38,54]},{"finding_id":"009-F2","impact":"Unresolved same-layer bilingual exclusion scope.","issue":"English0082.1(c) includes immorality as TPD excludedcause; correspondingMalaylists suicide/attempt/selfinjury without immorality. No expresslanguagepriorityfound.","physical_pages":[29,49]},{"finding_id":"009-F3","impact":"Bilingual monthlycharge-basis mismatch; generalgendercorrection does not specify absentunderwritingcategory. Noactualoverchargeinferred.","issue":"English0063.1 includes gender and underwritingcategory as tabarrurate factors (d),(e); Malaylistendsat(c)health, with age/occupation/healthonly.","physical_pages":[27,47]},{"finding_id":"009-F4","impact":"Unresolved fee-table termscope; doesnotassert1–2yearcertificates actuallyissued.","issue":"Englishwakalahmatrixfirst financingterm header3–5; Malay1–5 forbothsexes. Numericcellsotherwiseagree.","physical_pages":[32,52]},{"finding_id":"009-F5","impact":"Differentcalendarperiodpossible; exactnoticeendpointnot silentlyequated.","issue":"Mastercancellationnotice English00421.1 ninety days; Malaythree months. No expresslanguagepriority.","physical_pages":[24,44]}]</t>
  </si>
  <si>
    <t xml:space="preserve">delivery-batch25-20261026/group3/009-result.json#/substantive_findings</t>
  </si>
  <si>
    <t xml:space="preserve">execution-evidence.json#/batches/B25/documents/group3~1009-result.json/substantive_findings</t>
  </si>
  <si>
    <t xml:space="preserve">c275e6675893cf81aa56696d47b590504e1432803637d880d251596a14307ae1</t>
  </si>
  <si>
    <t xml:space="preserve">[{"clarification":"Dated2018whole0102 replacement resolves earlier2015RM53/GST6% history tolesserRM50/account within source; no simultaneousfee/doublechargeclaim.","pages":[11,12,13,14]},{"clarification":"Englishcontentsfuneral009 pointsprinted16; actualfuneralprinted17present. Malaycontentscorrect17. Boundedlookupdefect, not missingfuneralcomponent.","pages":[16,31,36,51]},{"clarification":"Malay003RSCdefinition points010, but uniqueactualformulais011presentinbothlanguages. Preservecodeerror separately from amount-factorambiguity.","pages":[18,34,38,54]},{"clarification":"Missing002printed3/personalcertificate/annualRSCschedule retained ascontextlimit; absencealone notthebasisforneeds_review.","pages":[16,17,18,36,37,38]},{"clarification":"Specificcashvalue16.1 firstmonthlyannivaftersurrenderpayment read withgeneral25surrendertermination, notautomaticcontradiction.","pages":[23,24,43,44,45]},{"clarification":"Malay006omitsEnglish4surrendercharge subsection, but2018bilingual0102expresslyprovides charge/90daynotice/prospectivecertificaterule; noindependentmissingfeeblock.","pages":[27,47,11,12]},{"clarification":"Nozeroprofitratebranchwritten; hypotheticalzeroinputdomainnotestablished, sonotindependentstrictblock.","pages":[34,54]}]</t>
  </si>
  <si>
    <t xml:space="preserve">delivery-batch25-20261026/group3/009-result.json#/clarifications</t>
  </si>
  <si>
    <t xml:space="preserve">execution-evidence.json#/batches/B25/documents/group3~1009-result.json/clarifications</t>
  </si>
  <si>
    <t xml:space="preserve">79d81e40af6d5130fc18acb50e913498e40701943ae872c156e22787eddc54d4</t>
  </si>
  <si>
    <t xml:space="preserve">delivery-batch25-20261026/group3/009-result.json#/correction_basis</t>
  </si>
  <si>
    <t xml:space="preserve">execution-evidence.json#/batches/B25/documents/group3~1009-result.json/correction_basis</t>
  </si>
  <si>
    <t xml:space="preserve">["Sourceeditioncurrentadoption andpersonalissuedcertificatenotestablished.","MRTT002mastercontractscheduleprinted3 absentbothlanguage sequences; personalapplication/certificate/annualRSCtable/loaninputs absent.","AcceptedRISDAsourceattributionpreserved; presenttextmasterMRTTRI33 doesnotspelloutholder.","NoexpressEnglish/Malaypriorityfound.","Actualapplicationofstatutory/tax/FATCAreferencesnotexternallyverified."]</t>
  </si>
  <si>
    <t xml:space="preserve">delivery-batch25-20261026/group3/009-result.json#/preserved_uncertainties</t>
  </si>
  <si>
    <t xml:space="preserve">execution-evidence.json#/batches/B25/documents/group3~1009-result.json/preserved_uncertainties</t>
  </si>
  <si>
    <t xml:space="preserve">bee79cb41f8199e5f279c2550bd45c4a6861d29721d60257e06b7832fbde3296</t>
  </si>
  <si>
    <t xml:space="preserve">["009-F1 operativeamount/formulabridge unresolved.","009-F2/3/4/5 same-layer bilingualexclusion,monthlyratebasis,feetablescope andcancellationperiod differences requireauthoritativeclarification."]</t>
  </si>
  <si>
    <t xml:space="preserve">delivery-batch25-20261026/group3/009-result.json#/strict_blocker_basis</t>
  </si>
  <si>
    <t xml:space="preserve">execution-evidence.json#/batches/B25/documents/group3~1009-result.json/strict_blocker_basis</t>
  </si>
  <si>
    <t xml:space="preserve">d57bccf275627e275b762268f6bcdf2455be5a94e6fd7ae72c81309be5c9ae10</t>
  </si>
  <si>
    <t xml:space="preserve">{"actual_present_pages":54,"all_present_pages_semantically_reviewed":true,"checked_at_utc":"2026-10-26T19:24:34.386721+00:00","copy_allowed":false,"display_denials":0,"member_bytes":1781317,"member_sha256":"e31cf3f4665d3125c2f7380f6411d957c80300dc087902aecb80cca0b5e41c5f","metadata_matches":true,"needs_password":0,"ordinary_visual_display_pending":false,"ordinary_visual_display_succeeded":true,"pdfinfo_metadata":"Author:          Valued Acer Customer\nCreator:         Microsoft® Word 2016\nProducer:        Microsoft® Word 2016\nCreationDate:    Wed Jul  1 11:35:10 2020 JST\nModDate:         Wed Jul  1 12:24:30 2020 JST\nCustom Metadata: no\nMetadata Stream: yes\nTagged:          yes\nUserProperties:  no\nSuspects:        no\nForm:            none\nJavaScript:      no\nPages:           54\nEncrypted:       yes (print:no copy:no change:no addNotes:no algorithm:RC4)\nPage size:       595.32 x 841.92 pts (A4)\nPage rot:        0\nFile size:       1781317 bytes\nOptimized:       no\nPDF version:     1.5\n","pdfinfo_returncode":0,"permissions":-3392,"permissions_unchanged":true,"print_allowed":false,"source_archive_sha256":"d8dd60e6ef6061e4984143b9d891b5dd848b86f8833f800902ad758355a66515","task_id":"B25-MY-009","text_extraction_OCR_printing_unlocking_permission_changes":false}</t>
  </si>
  <si>
    <t xml:space="preserve">delivery-batch25-20261026/group3/009-preflight.json#</t>
  </si>
  <si>
    <t xml:space="preserve">execution-evidence.json#/batches/B25/documents/group3~1009-preflight.json</t>
  </si>
  <si>
    <t xml:space="preserve">3ff7691cd76f69fc25950f7cd56c1b881ba3487fc149c5d7d0b85e606f4d9e2b</t>
  </si>
  <si>
    <t xml:space="preserve">{"actual_present_physical_pages":42,"all_pages_reviewed":true,"cleanup_reference":{"bytes":11205,"path":"independent-qa.json#/batches/B25/documents/group1~1010-cleanup.json","sha256":"96497fd08cd15605a3584e8779cbf958293e4164cefb39ee63e7d8d533f4a33c"},"current_adoption_credit":0,"execution_result_reference":{"bytes":9783,"path":"execution-evidence.json#/batches/B25/documents/group1~1010-result.json","sha256":"f8a6684bcfde7f339caec2c3b1d40ddd3cabdbb56adbb4b75cc07e70f5e78fba"},"file_level_primary_role_previously_accepted":true,"formal_mutations":false,"full_content_review_complete":true,"full_review_accepted":true,"gap_closure_credit":0,"independent_QA":true,"new_original":0,"new_primary":0,"new_product":0,"original_id":"regional-20261025-3749e1422850b74a","package_complete_credit":0,"page_proof_reference":{"bytes":21472,"path":"independent-qa.json#/batches/B25/documents/group1~1010-page-proof.jsonl","sha256":"da81cdf2581c142e3963cfecf63218d8e4d7df28f5bf94c6813d1829b7a0be89"},"prior_task_id":"B17-MY-026","qa_result_reference":{"bytes":15454,"path":"independent-qa.json#/batches/B25/documents/group1~1010-result.json","sha256":"70ac06e4b813dc7b43b43c396f5542dda3545b1d67e0bb9c30f5bc9eea6edbcd"},"queue_id":"PENDING-3749e1422850b74a","region_code":"MY","review_status":"full","sha256":"3749e1422850b74a264fa92c437b19221d6f9a75fd57bf455b3946fd0d1ecead","source_archive_sha256":"d8dd60e6ef6061e4984143b9d891b5dd848b86f8833f800902ad758355a66515","source_insurer_preserved":"Sun Life Malaysia Takaful Berhad","strict_eligible":false,"strict_status":"needs_review","strict_verified":false,"target":"Reducing Term Takaful 2015 (RTT 2015) Master Contract","task_id":"B25-MY-010","verification_status":"needs_review"}</t>
  </si>
  <si>
    <t xml:space="preserve">{"bytes":15454,"path":"independent-qa.json#/batches/B25/documents/group1~1010-result.json","sha256":"70ac06e4b813dc7b43b43c396f5542dda3545b1d67e0bb9c30f5bc9eea6edbcd"}</t>
  </si>
  <si>
    <t xml:space="preserve">qa-b25-full-review-20261026/issues-and-clarifications.json#/files/9/current_QA_result</t>
  </si>
  <si>
    <t xml:space="preserve">independent-qa.json#/batches/B25/documents/issues-and-clarifications.json/files/9/current_QA_result</t>
  </si>
  <si>
    <t xml:space="preserve">126ad026af3a24b4075e1b51511a9f1811ba7de8bf5753f166c2758c3dacaece</t>
  </si>
  <si>
    <t xml:space="preserve">qa-b25-full-review-20261026/issues-and-clarifications.json#/files/9/final_status</t>
  </si>
  <si>
    <t xml:space="preserve">independent-qa.json#/batches/B25/documents/issues-and-clarifications.json/files/9/final_status</t>
  </si>
  <si>
    <t xml:space="preserve">QA-010-F1</t>
  </si>
  <si>
    <t xml:space="preserve">[1,4,15,25,31,42]</t>
  </si>
  <si>
    <t xml:space="preserve">{"disposition":"needs_review: missing generic operative component, not personal schedule absence.","finding":"Cash value formula RTT010 is expressly incorporated by the 2020 replacement13.2 in BOTH languages and EN base13.2. None of all42 physical pages contains RTT010 or an alternative cash-value calculation. RTT009 is only reducing benefit/contribution formula; old MS reference to RTT009 is replaced2020.","id":"QA-010-F1","pages":[1,4,15,25,31,42]}</t>
  </si>
  <si>
    <t xml:space="preserve">qa-b25-full-review-20261026/issues-and-clarifications.json#/files/9/independent_findings/0</t>
  </si>
  <si>
    <t xml:space="preserve">independent-qa.json#/batches/B25/documents/issues-and-clarifications.json/files/9/independent_findings/0</t>
  </si>
  <si>
    <t xml:space="preserve">e98533218d93d0cd42e9f8e49732a11cda314da3322bd251356f0921effce11b</t>
  </si>
  <si>
    <t xml:space="preserve">QA-010-F2</t>
  </si>
  <si>
    <t xml:space="preserve">[21,38]</t>
  </si>
  <si>
    <t xml:space="preserve">{"disposition":"Material unresolved bilingual definition; do not select a claim outcome.","finding":"Employed TPD EN2.1.1 requires inability to do their job/occupation/profession for which reasonably fitted by training, education or experience; MS uses any task/job/profession for wage, compensation or profit, omitting that qualification. Both headings say own and similar occupation; no express language-priority resolution found.","id":"QA-010-F2","pages":[21,38]}</t>
  </si>
  <si>
    <t xml:space="preserve">qa-b25-full-review-20261026/issues-and-clarifications.json#/files/9/independent_findings/1</t>
  </si>
  <si>
    <t xml:space="preserve">independent-qa.json#/batches/B25/documents/issues-and-clarifications.json/files/9/independent_findings/1</t>
  </si>
  <si>
    <t xml:space="preserve">92d2f816bbbdd0250eb75f4b4fcb207af8d836266ebba233e5f580b87ed5f353</t>
  </si>
  <si>
    <t xml:space="preserve">QA-010-F3</t>
  </si>
  <si>
    <t xml:space="preserve">[2,4,18,35]</t>
  </si>
  <si>
    <t xml:space="preserve">{"disposition":"Expense scope difference retained; no actual double deduction inferred.","finding":"Replacement fund1.4 EN other direct claims related expenses versus MS other related expenses without direct claims qualifier; same difference in old base1.2. Operator fund separately pays operating/commission/marketing expenses.","id":"QA-010-F3","pages":[2,4,18,35]}</t>
  </si>
  <si>
    <t xml:space="preserve">qa-b25-full-review-20261026/issues-and-clarifications.json#/files/9/independent_findings/2</t>
  </si>
  <si>
    <t xml:space="preserve">independent-qa.json#/batches/B25/documents/issues-and-clarifications.json/files/9/independent_findings/2</t>
  </si>
  <si>
    <t xml:space="preserve">f88628955fd3dbdeb30cc6ae68542a820bb86a413697c76270ebafb489004442</t>
  </si>
  <si>
    <t xml:space="preserve">QA-010-F4</t>
  </si>
  <si>
    <t xml:space="preserve">[14,31]</t>
  </si>
  <si>
    <t xml:space="preserve">{"disposition":"Unresolved temporal origin; no legal validity or actual date difference assumed.","finding":"Incontestability9.2 EN two years from certificate commencement versus MS date certificate issued. Definition of commencement is coverage start, not a rule equating it to issue.","id":"QA-010-F4","pages":[14,31]}</t>
  </si>
  <si>
    <t xml:space="preserve">qa-b25-full-review-20261026/issues-and-clarifications.json#/files/9/independent_findings/3</t>
  </si>
  <si>
    <t xml:space="preserve">independent-qa.json#/batches/B25/documents/issues-and-clarifications.json/files/9/independent_findings/3</t>
  </si>
  <si>
    <t xml:space="preserve">8892b16c88876392748502f2fe364f0102e06621cd25951be3c8150641810fa5</t>
  </si>
  <si>
    <t xml:space="preserve">QA-010-F5</t>
  </si>
  <si>
    <t xml:space="preserve">[22,39]</t>
  </si>
  <si>
    <t xml:space="preserve">{"disposition":"Unresolved bilingual exclusion scope; do not invent universal preexisting exclusion or automatic coverage.","finding":"TPD exclusion3.1(b) EN expressly immorality; MS lists attempted suicide and intentional self-injury but omits immorality.3.1(a) EN AIDS or related complexes/conditions vs MS AIDS or komplikasi/keadaan sedia ada.","id":"QA-010-F5","pages":[22,39]}</t>
  </si>
  <si>
    <t xml:space="preserve">qa-b25-full-review-20261026/issues-and-clarifications.json#/files/9/independent_findings/4</t>
  </si>
  <si>
    <t xml:space="preserve">independent-qa.json#/batches/B25/documents/issues-and-clarifications.json/files/9/independent_findings/4</t>
  </si>
  <si>
    <t xml:space="preserve">393d001e88daa1c94378cdf08e5543bd448c844d501a139f0bb717b52483e8ba</t>
  </si>
  <si>
    <t xml:space="preserve">QA-010-C1</t>
  </si>
  <si>
    <t xml:space="preserve">[1,2,3,4,5,6,7,8,9]</t>
  </si>
  <si>
    <t xml:space="preserve">{"disposition":"Confirmed replacement scope.","finding":"2020 replaces whole age8/surrender13/fund1/wakalah2; added definitions renumber. Old8.3 not independently retained.2019 replaces11.1 but ADDS12.3 and4.2. Fee2.4 permits refund of whole/part wakalah if any as part cancellation/free-look/surrender/termination payment; it does not impose a new exit fee.","id":"QA-010-C1","pages":[1,2,3,4,5,6,7,8,9]}</t>
  </si>
  <si>
    <t xml:space="preserve">qa-b25-full-review-20261026/issues-and-clarifications.json#/files/9/independent_findings/5</t>
  </si>
  <si>
    <t xml:space="preserve">independent-qa.json#/batches/B25/documents/issues-and-clarifications.json/files/9/independent_findings/5</t>
  </si>
  <si>
    <t xml:space="preserve">3e18acf113b2a1a8e81cf473628aef70e68127e170e426abbc08214468d5ac7d</t>
  </si>
  <si>
    <t xml:space="preserve">QA-010-C2</t>
  </si>
  <si>
    <t xml:space="preserve">[15,17,20,21,23,32,34,37,38,40]</t>
  </si>
  <si>
    <t xml:space="preserve">{"disposition":"Not an unresolved blanket termination conflict; not generalized to other products.","finding":"General termination/payment clauses must be read with explicit RTT0063.1(b), RTT0071.6/6.1(a): lower TPD leaves proportionately reduced death benefit. This file supplies the specific qualifier in both languages.","id":"QA-010-C2","pages":[15,17,20,21,23,32,34,37,38,40]}</t>
  </si>
  <si>
    <t xml:space="preserve">qa-b25-full-review-20261026/issues-and-clarifications.json#/files/9/independent_findings/6</t>
  </si>
  <si>
    <t xml:space="preserve">independent-qa.json#/batches/B25/documents/issues-and-clarifications.json/files/9/independent_findings/6</t>
  </si>
  <si>
    <t xml:space="preserve">069c4fe50b25ce21ea37ff0d8a020b4e323abc7a14e9f62e2613202ff9d36d12</t>
  </si>
  <si>
    <t xml:space="preserve">QA-010-C3</t>
  </si>
  <si>
    <t xml:space="preserve">[25,42]</t>
  </si>
  <si>
    <t xml:space="preserve">{"disposition":"Arithmetic observation only, not actual payment calculation; do not import006/B24 month-branch finding.","finding":"Both formulas IA(t)=min(SC*((1+il*rp/12)-P(t)-R(t)),SC); P(t)=((1+il*rp/12)/rp)*t; R(t)=((rp-t)*(rp+1-t)/(rp*(rp+1)))*il*rp/12. SC multiplies whole inner expression. EN t is curtate duration in months; MS says duration in months. No separate i&gt;0/i=0 branch or12n-t convention appears here. For positive SC,rp, literal algebra gives IA(0)=SC and IA(rp)=0.","id":"QA-010-C3","pages":[25,42]}</t>
  </si>
  <si>
    <t xml:space="preserve">qa-b25-full-review-20261026/issues-and-clarifications.json#/files/9/independent_findings/7</t>
  </si>
  <si>
    <t xml:space="preserve">independent-qa.json#/batches/B25/documents/issues-and-clarifications.json/files/9/independent_findings/7</t>
  </si>
  <si>
    <t xml:space="preserve">c2d6659c62d4348df57889ece5a5212719a47b28aa6e6dfbe2720801fc4e75e1</t>
  </si>
  <si>
    <t xml:space="preserve">QA-010-C4</t>
  </si>
  <si>
    <t xml:space="preserve">[13,29,17,33]</t>
  </si>
  <si>
    <t xml:space="preserve">{"disposition":"Preserve language detail; do not silently harmonize.","finding":"MS eligibility explicitly personal financing-i applicant whereas EN people in plan per master schedule; no blanket all-loan eligibility. Nomination EN certificate holder versus MS person covered retained; MS notice heading21 subclause19.1 is bounded numbering defect, notice text present.","id":"QA-010-C4","pages":[13,29,17,33]}</t>
  </si>
  <si>
    <t xml:space="preserve">qa-b25-full-review-20261026/issues-and-clarifications.json#/files/9/independent_findings/8</t>
  </si>
  <si>
    <t xml:space="preserve">independent-qa.json#/batches/B25/documents/issues-and-clarifications.json/files/9/independent_findings/8</t>
  </si>
  <si>
    <t xml:space="preserve">75371165bb1b2a54800966cd06fc71b794749dd0b3e896aeac6b1d71beeb504d</t>
  </si>
  <si>
    <t xml:space="preserve">QA-010-C5</t>
  </si>
  <si>
    <t xml:space="preserve">[11,12,24,27,28,41,42]</t>
  </si>
  <si>
    <t xml:space="preserve">{"disposition":"Personal schedule/current adoption unknown alone is not strict veto; no new package/adoption credit.","finding":"RTT002 master schedule/printed3 absent; personal certificate/rates/holder not established. MS pagination changes denominator25 to22 and ends printed22/25 after17/22; no exact absent-page count derived. All42 actual pages read; generic RTT010 absence separately established.","id":"QA-010-C5","pages":[11,12,24,27,28,41,42]}</t>
  </si>
  <si>
    <t xml:space="preserve">qa-b25-full-review-20261026/issues-and-clarifications.json#/files/9/independent_findings/9</t>
  </si>
  <si>
    <t xml:space="preserve">independent-qa.json#/batches/B25/documents/issues-and-clarifications.json/files/9/independent_findings/9</t>
  </si>
  <si>
    <t xml:space="preserve">76fddb605df8bbffbf03a87737cd37eb96aa79fa387032f49890103718894b96</t>
  </si>
  <si>
    <t xml:space="preserve">[{"basis":"Independent 216dpi rereading p9: added clause, not replacement; termination at distribution is handled through12, not a blanket no-termination eligibility condition.","corrected":"MS 2019 July 1 ADDS rights12.3 and surplus RTT0084.2, not replaces: yearly &lt;=RM10 bank else charity; eligible surplus if certificate not lapsed and not surrendered before financial year end; if subsequently terminated under14 at distribution, rights12 applies.","initial":"MS 2019 July 1 endorsement adds rights 12.3 yearly distribution at or below RM10 by bank account else charity; replaces surplus RTT008 4.2 year-end participant surplus conditioned on no surrender or termination under14/12.","pages":[8,9],"scope":"own QA page9 note","status":"initial inaccurate replacement/eligibility compression withdrawn; frozen execution unchanged"},{"clarification":"Means conditional refund of existing wakalah fee on exit, NOT an additional exit charge. Independently confirmed2.4 EN p2/MS p5.","initial":"possiblefeeexitrefund / possiblewhole/partfeeexitrefund","pages":[2,5],"scope":"own page2/5 compressed feeexitrefund wording"},{"disposition":"Independently checked against originals. All substantive findings confirmed with bounds above; existing correctly stated replacement and formula corrections retained. No separate execution false-positive added.","scope":"execution all42 notes, all result non-note fields,18 zoom confirmations and correction-register010"}]</t>
  </si>
  <si>
    <t xml:space="preserve">qa-b25-full-review-20261026/issues-and-clarifications.json#/files/9/metadata_corrections</t>
  </si>
  <si>
    <t xml:space="preserve">independent-qa.json#/batches/B25/documents/issues-and-clarifications.json/files/9/metadata_corrections</t>
  </si>
  <si>
    <t xml:space="preserve">b76157ffa6400844bf70a7cc49f5a85cbbf22f4c2338d494b96e912273867a2d</t>
  </si>
  <si>
    <t xml:space="preserve">qa-b25-full-review-20261026/issues-and-clarifications.json#/files/9/qa_notes</t>
  </si>
  <si>
    <t xml:space="preserve">independent-qa.json#/batches/B25/documents/issues-and-clarifications.json/files/9/qa_notes</t>
  </si>
  <si>
    <t xml:space="preserve">"Missing expressly incorporated generic RTT010 cash-value formula and independently confirmed material bilingual operative differences. Neither personal certificate/schedule absence nor unknown current adoption alone is the veto."</t>
  </si>
  <si>
    <t xml:space="preserve">qa-b25-full-review-20261026/issues-and-clarifications.json#/files/9/strict_basis</t>
  </si>
  <si>
    <t xml:space="preserve">independent-qa.json#/batches/B25/documents/issues-and-clarifications.json/files/9/strict_basis</t>
  </si>
  <si>
    <t xml:space="preserve">61f9f6a9b65a703cd3257fbeecb3b57f39fa5dff70c85a1f23aa46a6dda21b98</t>
  </si>
  <si>
    <t xml:space="preserve">"B25-MY-010"</t>
  </si>
  <si>
    <t xml:space="preserve">qa-b25-full-review-20261026/issues-and-clarifications.json#/files/9/task_id</t>
  </si>
  <si>
    <t xml:space="preserve">independent-qa.json#/batches/B25/documents/issues-and-clarifications.json/files/9/task_id</t>
  </si>
  <si>
    <t xml:space="preserve">f8e84f8daf44b6ab12609dfccea110f34f59edfc5cc57e4046c397c92e338c6f</t>
  </si>
  <si>
    <t xml:space="preserve">{"base_edition":null,"code_not_date":"RTT0815 preserved asidentifier,notinferredissuedate","issuer":"Sun Life Malaysia Takaful Berhad","master_contract_number_on_endorsements":"RTT0815","named_master_holder":null,"product":"Reducing Term Takaful 2015 (RTT2015)"}</t>
  </si>
  <si>
    <t xml:space="preserve">delivery-batch25-20261026/group1/010-result.json#/observed_identity</t>
  </si>
  <si>
    <t xml:space="preserve">execution-evidence.json#/batches/B25/documents/group1~1010-result.json/observed_identity</t>
  </si>
  <si>
    <t xml:space="preserve">6a677ce9f227084b65e05359ecec1c454ca671ef4993a6d6f8931cf815bafc69</t>
  </si>
  <si>
    <t xml:space="preserve">[{"component":"2020-07-01RTT0815 endorsement,English/Malay","pages":[1,2,3,4,5]},{"component":"2019-07-01change-of-contract11.1replacement","pages":[6,7]},{"component":"2019-07-01rights12.3/surplus4.2additions","pages":[8,9]},{"component":"Englishbasecover,RTT001,RTT003–009;printed2,4–17","pages":[10,11,12,13,14,15,16,17,18,19,20,21,22,23,24,25]},{"component":"Malaybasecover,RTT001,RTT003–009;printed2,4–17,22 withdenominators25/22","pages":[26,27,28,29,30,31,32,33,34,35,36,37,38,39,40,41,42]}]</t>
  </si>
  <si>
    <t xml:space="preserve">delivery-batch25-20261026/group1/010-result.json#/components</t>
  </si>
  <si>
    <t xml:space="preserve">execution-evidence.json#/batches/B25/documents/group1~1010-result.json/components</t>
  </si>
  <si>
    <t xml:space="preserve">ae452487eed06b6ef5b95ce9e1e349da6a35cc608411d1b562f45040ddb86ff3</t>
  </si>
  <si>
    <t xml:space="preserve">["Read all42 present bilingual pages including2019/2020 explicitreplacements/additions,generalconditions,claims/nomination/tax/FATCA,tabarrufund,charges,death/TPD,fees/surplus andRTT009formulas.","Singlecontribution netwakalah fundsdeath/TPD. TPDsixmonths,2examiners,18–65employment/ADLdefinitions,RM2maggregate; smallerTPDpaymentexpresslyleavesproportionateresidualdeathcover.","RTT008is present but expressly deferscontribution/wakalahpercenttoindividualcertificate;surplus50/50andRM10stampoperator. Noindividualrateinvented."]</t>
  </si>
  <si>
    <t xml:space="preserve">delivery-batch25-20261026/group1/010-result.json#/content_summary</t>
  </si>
  <si>
    <t xml:space="preserve">execution-evidence.json#/batches/B25/documents/group1~1010-result.json/content_summary</t>
  </si>
  <si>
    <t xml:space="preserve">e597ea572ed5a8e6191cf09cfd08a72811ceff9a05425107d6c1e6239ad8a54d</t>
  </si>
  <si>
    <t xml:space="preserve">[{"disposition":"needs_review for missing incorporated cash-value calculation;notmerelymissingpersonalcertificate.","finding_id":"B25-010-F1","observation":"2020replacement13.2 inBOTHlanguages explicitlyrequiresRTT010cashvalueformula;EnglishbasealsoRTT010. All42presentpages endatRTT009reducing/contributionformulas andcontainnoRTT010orothercashvalueformula. OldMalayRTT009referenceis replaced2020andRTT009doesnotitselfsupplycashformula.","pages":[1,4,15,25,31,42],"severity":"missing_incorporated_operative_component"},{"disposition":"needs_review;do notselectoneorassumeclaimdenial.","finding_id":"B25-010-F2","observation":"EnglishemployedTPD2.1.1 uses theirjob/occupation/profession reasonably fitted bytraining,education,experience;Malayusesanytask/job/professionforwage,compensationorprofit anddoesnotretainreasonablyfittedqualification. Bothheadingsownandsimilaroccupation;noexpresslanguagepriority/reconciliationfound.","pages":[21,38],"severity":"material_bilingual_TPD_definition_difference"},{"disposition":"needs_review;noactualdoubleexpenseorqarddeductioninferred.","finding_id":"B25-010-F3","observation":"Replacementfund1.4English otherDIRECTCLAIMSrelatedexpenses vsMalayotherrelatedexpenseswithoutdirectclaimsrestriction;oldbaseparalleldifference. Operatorfunddefinitionseparatelycoversexpenses,sofundscopeuncertaintyretained.","pages":[2,4,18,35],"severity":"bilingual_fund_expense_scope_difference"},{"disposition":"retainforQA;notcurrentlegalvalidityopinion.","finding_id":"B25-010-F4","observation":"Incontestability9.2English2yearsfromcertificatecommencementdate;Malayfromdatecertificateissued(tarikhsijildikeluarkan). Noevidencethesedatesalwayscoincideorlanguagepriority.","pages":[14,31],"severity":"bilingual_time_origin_difference"},{"disposition":"preservewordingdifferencewithoutinventingbroadpreexistingexclusionoractualcoverageoutcome.","finding_id":"B25-010-F5","observation":"EnglishTPDexclusionexpresslyincludesimmorality;Malay3.1(b)onlyattemptedsuicide/intentionalselfinjury. Malay3.1(a)AIDSorcomplications/keadaansediaada differsEnglishAIDSorrelatedcomplexes/conditions.","pages":[22,39],"severity":"bilingual_exclusion_scope_difference"}]</t>
  </si>
  <si>
    <t xml:space="preserve">delivery-batch25-20261026/group1/010-result.json#/substantive_findings</t>
  </si>
  <si>
    <t xml:space="preserve">execution-evidence.json#/batches/B25/documents/group1~1010-result.json/substantive_findings</t>
  </si>
  <si>
    <t xml:space="preserve">4f999c89c9bbf26826fe0a24dc3fb5d5b6ad3a79b829314171ba27ef5047d33f</t>
  </si>
  <si>
    <t xml:space="preserve">[{"observation":"2020age8,surrender13,fund1,wakalah2 areentirereplacements;definitionsadded/renumbered. 2019change11.1replaced andrights12.3/surplus4.2added. Do notretainoldineligibleage8.3asanindependentunamendedcondition.","pages":[1,2,3,4,5,6,7,8,9]},{"observation":"Generalcertificateendafterbenefitpayment readwithspecificRTT0063.1(b)/RTT0071.6and6.1(a)preservingdeathafterlowerTPD. Notautomaticunresolvedterminationconflict.","pages":[15,17,20,21,23,32,34,37,38,40]},{"observation":"Both displayedformulas:IA(t)=min(SC*((1+il*rp/12)-P(t)-R(t)),SC);P(t)=(1+il*rp/12)/rp*t;R(t)=((rp-t)*(rp+1-t)/(rp*(rp+1)))*il*rp/12. ContributionSC*rate/1000. SCmultiplieswholeinnerexpression;do notmisreadasSC-onlyfirstterm.","pages":[25,42]},{"observation":"Malayeligibility4.1specifiespersonalfinancing-iapplicant;Englishgenericparticipantsspecifiedmasterschedule. Keepbothandmissingmasterscheduledetails;donotassertallloantypeseligible.","pages":[13,29]},{"observation":"NominationEnglishcertificateholdervsMalaycovered;noticeheading21Malaynumber19.1retainedasboundednumberingdefect;notshiftnoticeintownershipclause.","pages":[17,33]},{"observation":"RTT002masterschedule/printed3absent. Malayfooters25switch22onRTT008andlastprinted22;do notderiveanexactmissingpagecountfrominconsistentpagination.42actualpagesallread.","pages":[11,12,27,28,41,42]},{"observation":"Personalcontribution/wakalahandholderdetailsunestablishedbydesignofRTT008references;thisaloneisnotstrictblocker. PrimaryblockerismissingRTT010andmaterialexistingwordingdifferences.","pages":[24,41,8,9]}]</t>
  </si>
  <si>
    <t xml:space="preserve">delivery-batch25-20261026/group1/010-result.json#/clarifications</t>
  </si>
  <si>
    <t xml:space="preserve">execution-evidence.json#/batches/B25/documents/group1~1010-result.json/clarifications</t>
  </si>
  <si>
    <t xml:space="preserve">56e87dc6116f9bf338fcecf1ffe737ac5661ea9c7d85e68d4326c7f9a40e01e2</t>
  </si>
  <si>
    <t xml:space="preserve">["Currentadoption,baseedition,namedholder,individualcertificate/rates/coveramountsnotestablished;noindividualpackagecredit.","Allpresentpagesreaddoesnotmeanallincorporatedcomponentspresent;RTT010notretrievedorborrowedfromotherfiles.","Sourceinsurerunchanged;noexternallegal/currenttax/FATCAconclusions."]</t>
  </si>
  <si>
    <t xml:space="preserve">delivery-batch25-20261026/group1/010-result.json#/preserved_uncertainties</t>
  </si>
  <si>
    <t xml:space="preserve">execution-evidence.json#/batches/B25/documents/group1~1010-result.json/preserved_uncertainties</t>
  </si>
  <si>
    <t xml:space="preserve">9c212df49e5bd930adf1ae98c91c49745f598035f154a434c3f9d9cb49ce6779</t>
  </si>
  <si>
    <t xml:space="preserve">"Missing expresslyincorporatedRTT010cashformula plusunresolvedmaterialbilingualoperativewording;notmerelyabsentpersonal/currentadoptionevidence."</t>
  </si>
  <si>
    <t xml:space="preserve">delivery-batch25-20261026/group1/010-result.json#/strict_blocker_basis</t>
  </si>
  <si>
    <t xml:space="preserve">execution-evidence.json#/batches/B25/documents/group1~1010-result.json/strict_blocker_basis</t>
  </si>
  <si>
    <t xml:space="preserve">acd39d290ffa248fc58bb8a4e25dd846179f3c7fd458b103ed4e4069e2ccacd4</t>
  </si>
  <si>
    <t xml:space="preserve">{"actual_present_pages":42,"all_present_pages_semantically_reviewed":true,"checked_at_utc":"2026-10-26T18:38:43.134681+00:00","copy_allowed":false,"display_denials":0,"member_bytes":2073089,"member_sha256":"3749e1422850b74a264fa92c437b19221d6f9a75fd57bf455b3946fd0d1ecead","metadata_matches":true,"needs_password":0,"ordinary_visual_display_pending":false,"ordinary_visual_display_succeeded":true,"pdfinfo_metadata":"Creator:         PDF-XChange Editor 6.0.322.7\nProducer:        PDF-XChange Core API SDK (6.0.322.7)\nCreationDate:    Fri Dec  6 11:57:05 2019 JST\nModDate:         Fri Jun 26 17:18:00 2020 JST\nCustom Metadata: no\nMetadata Stream: yes\nTagged:          no\nUserProperties:  no\nSuspects:        no\nForm:            none\nJavaScript:      no\nPages:           42\nEncrypted:       yes (print:no copy:no change:no addNotes:no algorithm:RC4)\nPage size:       594.96 x 842.04 pts (A4)\nPage rot:        0\nFile size:       2073089 bytes\nOptimized:       no\nPDF version:     1.7\n","pdfinfo_returncode":0,"permissions":-3392,"permissions_unchanged":true,"print_allowed":false,"source_archive_sha256":"d8dd60e6ef6061e4984143b9d891b5dd848b86f8833f800902ad758355a66515","task_id":"B25-MY-010","text_extraction_OCR_printing_unlocking_permission_changes":false}</t>
  </si>
  <si>
    <t xml:space="preserve">delivery-batch25-20261026/group1/010-preflight.json#</t>
  </si>
  <si>
    <t xml:space="preserve">execution-evidence.json#/batches/B25/documents/group1~1010-preflight.json</t>
  </si>
  <si>
    <t xml:space="preserve">c35dd17700be470430f832ee0a3f47998726d57f39ef48fc3ee830875ca0f38f</t>
  </si>
  <si>
    <t xml:space="preserve">{"actual_present_physical_pages":41,"all_pages_reviewed":true,"cleanup_reference":{"bytes":11202,"path":"independent-qa.json#/batches/B25/documents/group1~1011-cleanup.json","sha256":"5dc5cce4ef4779e60e89772a542d26337ae7c9f02fe440cb59f2909119e8a0e1"},"current_adoption_credit":0,"execution_result_reference":{"bytes":9159,"path":"execution-evidence.json#/batches/B25/documents/group1~1011-result.json","sha256":"6d81f2f6f895cf5ca121927ccfa12efc99a2b3590145cef3201026b831d0200c"},"file_level_primary_role_previously_accepted":true,"formal_mutations":false,"full_content_review_complete":true,"full_review_accepted":true,"gap_closure_credit":0,"independent_QA":true,"new_original":0,"new_primary":0,"new_product":0,"original_id":"regional-20261025-b186c42360193352","package_complete_credit":0,"page_proof_reference":{"bytes":20931,"path":"independent-qa.json#/batches/B25/documents/group1~1011-page-proof.jsonl","sha256":"fa64f70387beb1b7a435ae4e1aded6c23c598aac03a9fec0f4de81cf91bc5ed9"},"prior_task_id":"B17-MY-027","qa_result_reference":{"bytes":13054,"path":"independent-qa.json#/batches/B25/documents/group1~1011-result.json","sha256":"a400cfd84bca2debd1f217e00bdbb5a5d5a3b75bedd0ffef4773f7cd94493289"},"queue_id":"PENDING-b186c42360193352","region_code":"MY","review_status":"full","sha256":"b186c4236019335247621069565f108f7e3b66eec51a4bb481ffb67c0751a373","source_archive_sha256":"d8dd60e6ef6061e4984143b9d891b5dd848b86f8833f800902ad758355a66515","source_insurer_preserved":"Sun Life Malaysia Takaful Berhad","strict_eligible":false,"strict_status":"needs_review","strict_verified":false,"target":"Sinar Ri'ayah Enhanced Master Contract","task_id":"B25-MY-011","verification_status":"needs_review"}</t>
  </si>
  <si>
    <t xml:space="preserve">{"bytes":13054,"path":"independent-qa.json#/batches/B25/documents/group1~1011-result.json","sha256":"a400cfd84bca2debd1f217e00bdbb5a5d5a3b75bedd0ffef4773f7cd94493289"}</t>
  </si>
  <si>
    <t xml:space="preserve">qa-b25-full-review-20261026/issues-and-clarifications.json#/files/10/current_QA_result</t>
  </si>
  <si>
    <t xml:space="preserve">independent-qa.json#/batches/B25/documents/issues-and-clarifications.json/files/10/current_QA_result</t>
  </si>
  <si>
    <t xml:space="preserve">91fd093d815ad29549344e997ce412af0516c45ec166bb7a23b536d7a78c2a0a</t>
  </si>
  <si>
    <t xml:space="preserve">qa-b25-full-review-20261026/issues-and-clarifications.json#/files/10/final_status</t>
  </si>
  <si>
    <t xml:space="preserve">independent-qa.json#/batches/B25/documents/issues-and-clarifications.json/files/10/final_status</t>
  </si>
  <si>
    <t xml:space="preserve">[{"finding":"Employed TPD EN requires inability to do any remunerative work/occupation/profession; MS instead work trained or qualified for by training/education/experience. EN six consecutive months FROM DATE OF DIAGNOSIS in employed and nonemployed branches; MS six consecutive months lacks that anchor. No language priority found in all41 pages; material eligibility/timing wording remains unresolved, no actual claim outcome asserted.","id":"QA-011-F1","pages":[6,25]},{"finding":"SRE0042.5 tabarru fund other expenses EN direct claims related versus MS other related expenses without direct-claims qualifier. Account1.4 itself generic in BOTH; do not generalize discrepancy to account or infer actual double charge.","id":"QA-011-F2","pages":[13,33]},{"finding":"Incontestability12.2 EN two years certificate commencement versus MS certificate issue. Dates not shown to coincide; no actual individual policy or payout inference.","id":"QA-011-F3","pages":[9,29]}]</t>
  </si>
  <si>
    <t xml:space="preserve">qa-b25-full-review-20261026/issues-and-clarifications.json#/files/10/independent_findings</t>
  </si>
  <si>
    <t xml:space="preserve">independent-qa.json#/batches/B25/documents/issues-and-clarifications.json/files/10/independent_findings</t>
  </si>
  <si>
    <t xml:space="preserve">af1f318dcfbf12ff0ab94a353d67ddac5c3f518844efaea68d4941b59377d3ea</t>
  </si>
  <si>
    <t xml:space="preserve">[{"id":"QA-011-C1","independent_216dpi_confirmation":"EN7 clause3.2 says before the certificate of takaful is VARIED, not VALID. MS27 sebelum sijil takaful berubah is before certificate changed; both3.3 also before variation. Execution F4 and zoom assertion are withdrawn, as is the claim no semantic reversal was required insofar as it includes this error. Frozen execution unchanged; independent material findings F1–F3 remain.","original_execution_correction_basis":"No semantic reversal required after22 targeted216dpi checks. Boundedcode/paginationandgeneral-versus-specificclarifications preserveoriginalwording;proposalsnotcurrentlegalinterpretations.","original_execution_finding":[],"original_execution_page27_note":"3.2beforecertificatechanged(berubah) versusEnglishbeforevalid","original_execution_zoom":"physical7: 3.2beforecertificateVALID,3.3beforevaried;IFSA Schedule9.","pages":[7,27],"type":"execution_false_positive_withdrawal"},{"confirmation":"2025-07-01 SRE0423 full sanction clause28 SRE003 notwithstanding present; base ends27, not evidence missing necessary old28. No current sanctions/adoption assertion.","id":"QA-011-C2","pages":[1,2,12,32]},{"confirmation":"EN literal SR010 death reference bounded by subject plus actual SRE010 formula and correct MS reference. Formula is present. Personal master schedule/SRE002 and individual certificate absent not alone strict veto.","id":"QA-011-C3","pages":[5,21,24,41]},{"confirmation":"Explicit specific lower-TPD proportional residual death qualifies general termination; RM8m aggregate; no-contribution-refund after free-look does not erase cash account less surrender charge/debt. Written financing-end continuation limited to named event, not age65 waiver. Assignment EN NOT unless registered and MS TIDAK...KECUALI agree.","id":"QA-011-C4","pages":[10,11,12,15,16,17,18,29,30,31,35,36,37,38]},{"confirmation":"Independently traced SRE010: t&lt;=D level; t&gt;D IA=min(SC*((1+il*rp/12)-P-R),SC), P=((1+il*rp/12)/rp)*(t-D), R=((rp+D-t)*(rp+D+1-t)/(rp*(rp+1)))*il*rp/12. rp months excludes defer,D months; EN t curtate months, MS duration months. No separate positive/zero-rate formula or12n index. For SC&gt;0,rp&gt;0 algebra at t=D gives SC and t=D+rp gives0, including il=0. This checks literal boundary, not actuarial certification or actual dates; no006-type branch discrepancy imported. No individual values inferred.","id":"QA-011-C5","pages":[21,41]},{"confirmation":"Nomination receipt lifetime EN owner/MS covered wording bounded because own definition1.1c equates certificate owner or person covered; no separate material claimant discrepancy asserted.","id":"QA-011-C6","pages":[8,27,5,24]},{"confirmation":"MS mountain climbing versus EN rock climbing or mountaineering remains bounded by nonexhaustive hazardous activities, not definite coverage gap. Surrender lesserRM50/account,stampRM10 operator,afterQard50/50surplus,10/90profit with year-end nolapse/nosurrender conditions confirmed.","id":"QA-011-C7","pages":[17,37,20,40]}]</t>
  </si>
  <si>
    <t xml:space="preserve">qa-b25-full-review-20261026/issues-and-clarifications.json#/files/10/metadata_corrections</t>
  </si>
  <si>
    <t xml:space="preserve">independent-qa.json#/batches/B25/documents/issues-and-clarifications.json/files/10/metadata_corrections</t>
  </si>
  <si>
    <t xml:space="preserve">ad1e5582c5a2d8a86bd582742da155120525c402cb058c7e81c048be9a5a1105</t>
  </si>
  <si>
    <t xml:space="preserve">qa-b25-full-review-20261026/issues-and-clarifications.json#/files/10/qa_notes</t>
  </si>
  <si>
    <t xml:space="preserve">independent-qa.json#/batches/B25/documents/issues-and-clarifications.json/files/10/qa_notes</t>
  </si>
  <si>
    <t xml:space="preserve">"All41 actual pages independently read;31 targeted216dpi rereads. Material TPD definition/diagnosis anchor, fund-expense scope and incontestability start differences remain without language priority. Execution F4 valid/changed false positive withdrawn. Personal schedule absence/current adoption unknown are not independent strict vetoes."</t>
  </si>
  <si>
    <t xml:space="preserve">qa-b25-full-review-20261026/issues-and-clarifications.json#/files/10/strict_basis</t>
  </si>
  <si>
    <t xml:space="preserve">independent-qa.json#/batches/B25/documents/issues-and-clarifications.json/files/10/strict_basis</t>
  </si>
  <si>
    <t xml:space="preserve">20d0742848d156f1beb1fa80431c655c4305ff545e959680831763ac6fed5d75</t>
  </si>
  <si>
    <t xml:space="preserve">"B25-MY-011"</t>
  </si>
  <si>
    <t xml:space="preserve">qa-b25-full-review-20261026/issues-and-clarifications.json#/files/10/task_id</t>
  </si>
  <si>
    <t xml:space="preserve">independent-qa.json#/batches/B25/documents/issues-and-clarifications.json/files/10/task_id</t>
  </si>
  <si>
    <t xml:space="preserve">e961bff2a4a100c41485c3248f25877cbccb6e14dcf6bc667e38d3cde81879ad</t>
  </si>
  <si>
    <t xml:space="preserve">{"base_edition":null,"code_not_date":"SRE0423 is preserved identifier, not inferred issue date","issuer":"Sun Life Malaysia Takaful Berhad","master_contract_number_on_endorsements":"SRE0423","named_master_holder":null,"product":"Sinar Ri’ayah Enhanced"}</t>
  </si>
  <si>
    <t xml:space="preserve">delivery-batch25-20261026/group1/011-result.json#/observed_identity</t>
  </si>
  <si>
    <t xml:space="preserve">execution-evidence.json#/batches/B25/documents/group1~1011-result.json/observed_identity</t>
  </si>
  <si>
    <t xml:space="preserve">fe9c726b5225f50ec533c6274d9257ed690f9b64f260d9fd94ff60dcb77c44ea</t>
  </si>
  <si>
    <t xml:space="preserve">[{"component":"English/Malay endorsement effective2025-07-01 revises SRE00328 sanction exclusion","pages":[1,2]},{"component":"English cover,introductionSRE001,generalSRE003,fundSRE004,chargesSRE005,deathSRE006,TPDSRE007,finalSRE008,feesSRE009,formulaSRE010;printed1–19","pages":[3,4,5,6,7,8,9,10,11,12,13,14,15,16,17,18,19,20,21]},{"component":"Malay cover,introduction,SRE003–010;printed2 then4–21;personalSRE002notpresent","pages":[22,23,24,25,26,27,28,29,30,31,32,33,34,35,36,37,38,39,40,41]}]</t>
  </si>
  <si>
    <t xml:space="preserve">delivery-batch25-20261026/group1/011-result.json#/components</t>
  </si>
  <si>
    <t xml:space="preserve">execution-evidence.json#/batches/B25/documents/group1~1011-result.json/components</t>
  </si>
  <si>
    <t xml:space="preserve">6d5cf53cdc43d1ac2d716312a4f2f12a0072adba5a1ff6ac45fb1dd4fc48efe6</t>
  </si>
  <si>
    <t xml:space="preserve">["All41 present English/Malay pages semantically read;2025 sanction endorsement,definitions/generalprovisions,fund/charges,death/TPD/finalbenefit,fee/share schedule and reducingformula.","Single contribution; higher reducingdeath/TPDsum oraccountvalue, withspecific lowerTPDcontinuingresidualdeath;TPDaggregateRM8m,6months/2examiners,age65monthlyanniversarylimit.","SRE009 explicitly deferswakalahpercenttoindividualcertificate;lesserRM50/account surrenderfee,RM10stampoperator,50/50surplusafterQard,10/90investmentprofit. No personalrates orcurrentadoptioninferred."]</t>
  </si>
  <si>
    <t xml:space="preserve">delivery-batch25-20261026/group1/011-result.json#/content_summary</t>
  </si>
  <si>
    <t xml:space="preserve">execution-evidence.json#/batches/B25/documents/group1~1011-result.json/content_summary</t>
  </si>
  <si>
    <t xml:space="preserve">9ea941528816c5f3b68dd5f5d91af4b40885e635906c0d87508431dac5908edb</t>
  </si>
  <si>
    <t xml:space="preserve">[{"disposition":"needs_review;do notchooseonewording or infer actualclaimoutcome.","finding_id":"B25-011-F1","observation":"English employedTPD requires inability to do any work/occupation/profession for wages,compensation,profit;Malay limits tasks/jobs/professions to those trained/qualified bytraining,education,experience. English employed andADL sixmonthperiod explicitly fromdiagnosis;Malay sixconsecutivemonths withoutdiagnosisanchor. No languagepriorityorendorsementreconciliationpresent.","pages":[6,25],"severity":"material_bilingual_TPD_definition_difference"},{"disposition":"needs_review onexpenseauthorityscope;notproofactualdoublecharging.","finding_id":"B25-011-F2","observation":"SRE0042.5 English additional directclaimsrelatedexpenses;Malay otherrelatedexpenses withoutdirectclaimsqualifier.","pages":[13,33],"severity":"bilingual_fund_expense_scope_difference"},{"disposition":"retainunresolvedoperativewordingforQA.","finding_id":"B25-011-F3","observation":"SRE00312.2 two-yearincontestability measuredfromcommencementEnglish butcertificateissuedateMalay. No evidencealwayssame date.","pages":[9,29],"severity":"bilingual_time_origin_difference"},{"disposition":"retainliteraltriggerdifference without currentlegalremedyopinion.","finding_id":"B25-011-F4","observation":"SRE0033.2Englishquestionsbeforecertificatevalid;Malaybeforecertificatechanged(berubah). Both3.3separatelyaddressupdatesbeforevariation.","pages":[7,27],"severity":"bilingual_disclosure_trigger_difference"}]</t>
  </si>
  <si>
    <t xml:space="preserve">delivery-batch25-20261026/group1/011-result.json#/substantive_findings</t>
  </si>
  <si>
    <t xml:space="preserve">execution-evidence.json#/batches/B25/documents/group1~1011-result.json/substantive_findings</t>
  </si>
  <si>
    <t xml:space="preserve">3e27a5589905d5b53d13f2f48aee00e74e0047e1a604d80fd4ad3463ca53dd71</t>
  </si>
  <si>
    <t xml:space="preserve">[{"observation":"2025notwithstandingendorsement expressly revises/amendsSRE00328 and supplies fullnewclause; basegeneralstops27. Do nottreat absentold28asseparateunreadoperativecomponentwhenfullreplacementispresent.","pages":[1,2,12,32]},{"observation":"Englishdeathdefinition referencesliteralSR010;MalaySRE010 andboth actualformulaheadingsSRE010. Subject/formulalocationresolvesboundedcrossreferencevariant;notmissingformula.","pages":[5,21,24,41]},{"observation":"Specific lowerTPDcontinuation/proportionatedeathreduction provisions readwithgeneraltermination/payment clauses;notautomaticunresolvedterminationcontradiction.","pages":[10,12,15,16,17,30,31,35,36,37,38]},{"observation":"No contributionrefundoutsidefree-look distinct from expresscashvalue accountlesssurrendercharge/debt;doesnotnegatesurrendercashbenefit.","pages":[10,11,29,30,31]},{"observation":"SRE010completeformula levelt&lt;=D then IA=min(SC*((1+il*rp/12)-P(t)-R(t)),SC);P=((1+il*rp/12)/rp)*(t-D);R=((rp+D-t)*(rp+D+1-t)/(rp*(rp+1)))*il*(rp/12). SCmultiplieswholeinnerexpression;bothlanguagesmatch. rp excludesdefermentD.","pages":[20,21,40,41]},{"observation":"Englishprinted1–19 consecutive;Malaycover,introduction2,then4–21,withoutSRE002. Personalholderschedule/individualcertificateabsent limits packageandrateapplicationonly;notprimarystrictblocker.","pages":[3,4,5,22,23,24]},{"observation":"Malayhazardoussports examples saymountainclimbing,Englishrockclimbingormountaineering; broadnonexhaustivehazardousactivityexclusionretained,nocoveragegapinferred.","pages":[16,17,36,37]}]</t>
  </si>
  <si>
    <t xml:space="preserve">delivery-batch25-20261026/group1/011-result.json#/clarifications</t>
  </si>
  <si>
    <t xml:space="preserve">execution-evidence.json#/batches/B25/documents/group1~1011-result.json/clarifications</t>
  </si>
  <si>
    <t xml:space="preserve">d57d9987b5842dd453962cd8c72a624414163c48d524f9f52b2ba50bf0594c64</t>
  </si>
  <si>
    <t xml:space="preserve">"No semantic reversal required after22 targeted216dpi checks. Boundedcode/paginationandgeneral-versus-specificclarifications preserveoriginalwording;proposalsnotcurrentlegalinterpretations."</t>
  </si>
  <si>
    <t xml:space="preserve">delivery-batch25-20261026/group1/011-result.json#/correction_basis</t>
  </si>
  <si>
    <t xml:space="preserve">execution-evidence.json#/batches/B25/documents/group1~1011-result.json/correction_basis</t>
  </si>
  <si>
    <t xml:space="preserve">42edd7708b74ce52979a74318d81388bc4e85563f72ceda292e247b0d017f1fd</t>
  </si>
  <si>
    <t xml:space="preserve">["Personalholder/certificate/amounts/wakalahpercent/currentadoption/baseeditionnotestablished;noindividualpackagecredit.","TPDdefinition,timeorigin,disclosuretriggerandfundexpensebilingualdifferencesneedreconciliation;noexpresslanguagepriorityfound.","No externallegal/tax/sanctionsstatusoractualclaimoutcomeverified."]</t>
  </si>
  <si>
    <t xml:space="preserve">delivery-batch25-20261026/group1/011-result.json#/preserved_uncertainties</t>
  </si>
  <si>
    <t xml:space="preserve">execution-evidence.json#/batches/B25/documents/group1~1011-result.json/preserved_uncertainties</t>
  </si>
  <si>
    <t xml:space="preserve">4805f2454c2b014cd751d14775051e21a49b2956fb1113b486bdd9a933ab6c85</t>
  </si>
  <si>
    <t xml:space="preserve">"Material unresolved English/Malay operativeTPDdefinition andexpense/time/disclosurewording differences;notmerelymissingpersonal/currentadoptionevidence."</t>
  </si>
  <si>
    <t xml:space="preserve">delivery-batch25-20261026/group1/011-result.json#/strict_blocker_basis</t>
  </si>
  <si>
    <t xml:space="preserve">execution-evidence.json#/batches/B25/documents/group1~1011-result.json/strict_blocker_basis</t>
  </si>
  <si>
    <t xml:space="preserve">f1043b212004622ffd9ee151a6951fe95a9b7373d8485a1c21d6230060c359a3</t>
  </si>
  <si>
    <t xml:space="preserve">{"actual_present_pages":41,"all_present_pages_semantically_reviewed":true,"checked_at_utc":"2026-10-26T18:45:59.243889+00:00","copy_allowed":false,"display_denials":0,"member_bytes":175820,"member_sha256":"b186c4236019335247621069565f108f7e3b66eec51a4bb481ffb67c0751a373","metadata_matches":true,"needs_password":0,"ordinary_visual_display_pending":false,"ordinary_visual_display_succeeded":true,"pdfinfo_metadata":"Creator:         PDF-XChange Editor 6.0.322.7\nProducer:        PDF-XChange Core API SDK (6.0.322.7)\nCreationDate:    Tue Nov 28 18:59:10 2023 JST\nModDate:         Wed Jan  7 15:30:18 2026 JST\nCustom Metadata: no\nMetadata Stream: yes\nTagged:          no\nUserProperties:  no\nSuspects:        no\nForm:            none\nJavaScript:      no\nPages:           41\nEncrypted:       yes (print:no copy:no change:no addNotes:no algorithm:RC4)\nPage size:       594.75 x 842.25 pts (A4)\nPage rot:        0\nFile size:       175820 bytes\nOptimized:       no\nPDF version:     1.7\n","pdfinfo_returncode":0,"permissions":-3392,"permissions_unchanged":true,"print_allowed":false,"source_archive_sha256":"d8dd60e6ef6061e4984143b9d891b5dd848b86f8833f800902ad758355a66515","task_id":"B25-MY-011","text_extraction_OCR_printing_unlocking_permission_changes":false}</t>
  </si>
  <si>
    <t xml:space="preserve">delivery-batch25-20261026/group1/011-preflight.json#</t>
  </si>
  <si>
    <t xml:space="preserve">execution-evidence.json#/batches/B25/documents/group1~1011-preflight.json</t>
  </si>
  <si>
    <t xml:space="preserve">43da6937fdbd93707b1cb4c28da2bf5722b906d893dad5fc043006b837517fe8</t>
  </si>
  <si>
    <t xml:space="preserve">{"actual_present_physical_pages":44,"all_pages_reviewed":true,"cleanup_reference":{"bytes":9611,"path":"independent-qa.json#/batches/B25/documents/group2-012-cleanup.json","sha256":"3bd8e1298d2087eef43bc2d9f2856c87b855093d24d2adc3f67e4da6f341cb72"},"current_adoption_credit":0,"execution_result_reference":{"bytes":8421,"path":"execution-evidence.json#/batches/B25/documents/group2~1012-result.json","sha256":"153d68637f6e7c136b25da47278aec47f2cc778125521dfbeb0e15f0ff6ca0b5"},"file_level_primary_role_previously_accepted":true,"formal_mutations":false,"full_content_review_complete":true,"full_review_accepted":true,"gap_closure_credit":0,"independent_QA":true,"new_original":0,"new_primary":0,"new_product":0,"original_id":"regional-20261025-119af78332b262d3","package_complete_credit":0,"page_proof_reference":{"bytes":21542,"path":"independent-qa.json#/batches/B25/documents/group2-012-page-proof.jsonl","sha256":"684f5fe07d4c180f4f6b310f4901ac8d27ebac0910a1d175580da8e4560d87ae"},"prior_task_id":"B17-MY-028","qa_result_reference":{"bytes":8017,"path":"independent-qa.json#/batches/B25/documents/group2-012-result.json","sha256":"84d712a9ecb67e66a3ea601e53821b6505ede3beee4723044b305d057d3d70fa"},"queue_id":"PENDING-119af78332b262d3","region_code":"MY","review_status":"full","sha256":"119af78332b262d35614498b74b5fa6aefca7f3047341ba14da05d95cb0b4b84","source_archive_sha256":"d8dd60e6ef6061e4984143b9d891b5dd848b86f8833f800902ad758355a66515","source_insurer_preserved":"Sun Life Malaysia Takaful Berhad","strict_eligible":false,"strict_status":"needs_review","strict_verified":false,"target":"Sinar Ri'ayah Master Contract","task_id":"B25-MY-012","verification_status":"needs_review"}</t>
  </si>
  <si>
    <t xml:space="preserve">{"bytes":8017,"path":"independent-qa.json#/batches/B25/documents/group2-012-result.json","sha256":"84d712a9ecb67e66a3ea601e53821b6505ede3beee4723044b305d057d3d70fa"}</t>
  </si>
  <si>
    <t xml:space="preserve">qa-b25-full-review-20261026/issues-and-clarifications.json#/files/11/current_QA_result</t>
  </si>
  <si>
    <t xml:space="preserve">independent-qa.json#/batches/B25/documents/issues-and-clarifications.json/files/11/current_QA_result</t>
  </si>
  <si>
    <t xml:space="preserve">5c4c03feb2f2bfa0b77fb0ba7d3be919d02677a39db15304230691d8a8c1644a</t>
  </si>
  <si>
    <t xml:space="preserve">qa-b25-full-review-20261026/issues-and-clarifications.json#/files/11/final_status</t>
  </si>
  <si>
    <t xml:space="preserve">independent-qa.json#/batches/B25/documents/issues-and-clarifications.json/files/11/final_status</t>
  </si>
  <si>
    <t xml:space="preserve">qa-b25-full-review-20261026/issues-and-clarifications.json#/files/11/independent_findings</t>
  </si>
  <si>
    <t xml:space="preserve">independent-qa.json#/batches/B25/documents/issues-and-clarifications.json/files/11/independent_findings</t>
  </si>
  <si>
    <t xml:space="preserve">qa-b25-full-review-20261026/issues-and-clarifications.json#/files/11/metadata_corrections</t>
  </si>
  <si>
    <t xml:space="preserve">independent-qa.json#/batches/B25/documents/issues-and-clarifications.json/files/11/metadata_corrections</t>
  </si>
  <si>
    <t xml:space="preserve">["Independent full44-page review confirms missing expressly incorporated operative SR010 cash-value formula, not merely absent personal schedule; EN stopsSR009 printed18/21, MS20/23.2020 cash22 still incorporates010;SR009 cannot substitute.","All source result,44 page-proof notes and any prior/correction/clarification fields,23sourcezoomconfirmations inspected against original. Source correction history retained by references;sourcepage24 wording unchangedratio must be bounded by its explicit clarification:2019 replacement ofdescriptionunder3.1 startsasterisk, allocationratio not reprinted, no unqualifiedcurrent50/50 or assertedratioextinction.","Wholeage10/cash22/fund1/wakalah2 replaced2020;legal18 deletedentirely, not operative2yearbefore-actionbar.2019 TPDdefinition/14.3smallamounts replaced,15.3/22.3deleted. FundheadingENGeneralconditions mislabelsSR004 andMSrepeat1.1 numbering boundedby actualfundcontent.","SR0071.7/1.8 andSR0063.1b explicitly provide proportional residualdeath fromTPDonset whenTPDlower;deathbeforeTPDpaydeathonly. Generalpaymenttermination not overriddenintoautomaticpartialTPDtermination. RM2maggregate, monthlyanniversaryimmediatelyafter65;suicide/preexistingdeathwithin12monthscashonly.","Independent216dpi confirms both assignment21.2 negatives includingMS tidak;bothTPD2.1c immorality includingMS perbuatan tidak bermoral. Own preliminary144dpi omission impressions withdrawn in pageproof35/40 withpriornotes retained. Do not import005 actualimmoralityomission here.","SR009 equations25/44 match;SCmultipliesentireinnerdifference,capSC;P=((1+il*rp/12)/rp)*(t-D);R=((rp+D-t)*(rp+D+1-t)/(rp*(rp+1)))*il*rp/12. t&lt;=Dlevel;D,rp inmonths,ilannual. Forrp&gt;0 and t=D+rp the displayedfactor algebraicallyzero;il0 yields SC*(1-(t-D)/rp) withinpaymentterm. These are formula checks not personalpayout/currentadoption;no12n-tformulaimport. ENtcurtateduration vsMSgenericmonthduration islexicalnuance.","MS43footerReducingTermTakaful19/22 differsfromsurroundingSinarRiayah/23 butSR008bodymatchesEN;retainliteraltemplatelabel,notclaimprovenforeigninsertion. Schedule/contents/personalcertificate/holder/currenteditionunknownnotsolefailure. No languagepriorityfound andnolegalvalidityorpackagecompletionclaim."]</t>
  </si>
  <si>
    <t xml:space="preserve">qa-b25-full-review-20261026/issues-and-clarifications.json#/files/11/qa_notes</t>
  </si>
  <si>
    <t xml:space="preserve">independent-qa.json#/batches/B25/documents/issues-and-clarifications.json/files/11/qa_notes</t>
  </si>
  <si>
    <t xml:space="preserve">ba282b6682d050238c37cecaf2b71909dbbbc1a2e322e2e28470f1ab427c0f93</t>
  </si>
  <si>
    <t xml:space="preserve">qa-b25-full-review-20261026/issues-and-clarifications.json#/files/11/strict_basis</t>
  </si>
  <si>
    <t xml:space="preserve">independent-qa.json#/batches/B25/documents/issues-and-clarifications.json/files/11/strict_basis</t>
  </si>
  <si>
    <t xml:space="preserve">"B25-MY-012"</t>
  </si>
  <si>
    <t xml:space="preserve">qa-b25-full-review-20261026/issues-and-clarifications.json#/files/11/task_id</t>
  </si>
  <si>
    <t xml:space="preserve">independent-qa.json#/batches/B25/documents/issues-and-clarifications.json/files/11/task_id</t>
  </si>
  <si>
    <t xml:space="preserve">c3d379fb0c38e0342427e82dde5ee3eba245c398cfb44af783c075f2b3f474d8</t>
  </si>
  <si>
    <t xml:space="preserve">{"base_edition":null,"base_issuer":"Sun Life Malaysia Takaful Berhad","endorsement_issuer":"Sun Life Malaysia Takaful Berhad","master_reference_code":"SR0118","name_bridge":null,"named_master_holder":null,"product":"Sinar Ri’ayah"}</t>
  </si>
  <si>
    <t xml:space="preserve">delivery-batch25-20261026/group2/012-result.json#/observed_identity</t>
  </si>
  <si>
    <t xml:space="preserve">execution-evidence.json#/batches/B25/documents/group2~1012-result.json/observed_identity</t>
  </si>
  <si>
    <t xml:space="preserve">915dc61202864514a8eba209a439003b21a9624821eb7fda3146f2d5ba47e992</t>
  </si>
  <si>
    <t xml:space="preserve">[{"component":"Bilingual endorsement effective2020-07-01 SR0118","pages":[1,2,3,4]},{"component":"Bilingual endorsement effective2019-07-01 SR0118","pages":[5,6,7,8]},{"component":"English cover/base printed2 and4–18of21","pages":[9,10,11,12,13,14,15,16,17,18,19,20,21,22,23,24,25]},{"component":"Malay cover/base printed2 and4–20of23;SR008 footer19of22","pages":[26,27,28,29,30,31,32,33,34,35,36,37,38,39,40,41,42,43,44]}]</t>
  </si>
  <si>
    <t xml:space="preserve">delivery-batch25-20261026/group2/012-result.json#/components</t>
  </si>
  <si>
    <t xml:space="preserve">execution-evidence.json#/batches/B25/documents/group2~1012-result.json/components</t>
  </si>
  <si>
    <t xml:space="preserve">82a44271afe211be58a13d334cbd36c24d0a30ac9f8345d3e64451add78dbb23</t>
  </si>
  <si>
    <t xml:space="preserve">["All44presentpages semantically reviewed in English/Malay: two dated bilingual endorsements, general conditions, funds/charges, death/TPD, fees/surplus and reducing-sum/contribution formula.","2020 explicitly replaces whole age10, cashvalue22, fund1 andwakalah2; deleteslegalproceedings18.2019 replacesTPDdefinition,14.3smallpayments, deletes15.3and22.3 andchangesSR0083.1surplusdescription. Supersededbasewording is not treatedas simultaneouslyoperative.","Single-contribution reducing-term finance cover; death reducing sum, TPD aggregateRM2million andage65monthly boundary. LesserTPD preserves proportionatelyreduced deathcover;deathbeforeTPDpaymentpaysdeathonly. Suicide/pre-existingdeathwithin12monthsreturns cashvalue only.","CashvalueformulaSR010is expresslyincorporated inbothlanguages,including2020replacement,butnotpresentanywherein44pages. SR009reducing-sumformula is presentanddoesnotreplaceSR010."]</t>
  </si>
  <si>
    <t xml:space="preserve">delivery-batch25-20261026/group2/012-result.json#/content_summary</t>
  </si>
  <si>
    <t xml:space="preserve">execution-evidence.json#/batches/B25/documents/group2~1012-result.json/content_summary</t>
  </si>
  <si>
    <t xml:space="preserve">332d1bf01526456cc79f8ee1d1e4649d7ef308805310d8e39756f38df1b4c916</t>
  </si>
  <si>
    <t xml:space="preserve">[{"effect":"Needsreview for missingincorporatedoperativecomponent,notmerelymissingpersonalschedule. No cashvaluequantificationorpackagecompletionclaimed.","observation":"Operative cashvalue22.2 under2020endorsement refers toSR010; basealsoincorporatesSR010. EnglishendsatSR009printed18of21,MalayatSR009printed20of23; noSR010cashvaluecomponentis present.","pages":[1,3,18,25,35,44]}]</t>
  </si>
  <si>
    <t xml:space="preserve">delivery-batch25-20261026/group2/012-result.json#/substantive_findings</t>
  </si>
  <si>
    <t xml:space="preserve">execution-evidence.json#/batches/B25/documents/group2~1012-result.json/substantive_findings</t>
  </si>
  <si>
    <t xml:space="preserve">155d39fffe6e3b5da83192ea7699762934caa6cf05f774a472314cd6368cc922</t>
  </si>
  <si>
    <t xml:space="preserve">[{"correction_basis":"Paired216dpireview ofexpressreplacementlanguage,asterisks,baseallocationtableandallothertermsunchanged.","observation":"BaseSR0083.1prints50/50surplusandasteriskoldRM2description.2019saysdescriptionunder3.1isreplacedandreplacementbeginsasteriskeligibility. This supportseligibility-footnote readingbutdoesnotreprintallocationratio; preserveamendmentscopeambiguity ratherthanassert anewrate, extinguishedratio, orunqualifiedcurrent50/50.","pages":[6,8,24,43]},{"correction_basis":"ActualbaseSR004and2020replacementtextreviewed,including216dpi.","observation":"English2020SR004heading saysGeneralconditionsbutactualSR004isfundprovisions;Malayheadingisfund. Malaycostparagraphrepeats1.1after1.4thenrenumberssurplus/qard1.5/1.6. Wholefund1replacementandcontentmakeintendedcomponentclear;labeldifferencesnotnewbenefits.","pages":[1,4,19,37]},{"correction_basis":"Bothlanguages216dpibaseanddeletionconfirmation.","observation":"Baselegal18literallybarsactionbeforeexpiryof2years,notafter;2020expresslydeleteswhole18andrenumbersfollowingclauses. Notclaimedasoperative2yearbar.","pages":[17,35,1,3]},{"correction_basis":"ExpressspecificSR0063.1b/SR0071.7,1.8,5.1a inbothlanguages.","observation":"GeneralpaymentterminationreadwithspecificlesserTPDdeathcontinuance,notasautomaticterminationaftereverypartialTPDpayment. DeathbeforeTPDpaymentpaysdeathonly;no doubledbenefitsinferred.","pages":[18,21,22,23,36,39,40,41]},{"correction_basis":"216dpiparentheses,negative signs,denominatorsandbilingualdefinitionsconfirmed;no personalcalculation.","observation":"SR009:levelsumfor t&lt;=D; thereafter IA(t)=min(SC*((1+il*(rp/12))-P(t)-R(t)),SC); P(t)=((1+il*(rp/12))/rp)*(t-D); R(t)=((rp+D-t)*(rp+D+1-t)/(rp*(rp+1)))*il*(rp/12). Contribution=initialsum*rate/1000. Thisisnotcashvalueformula.","pages":[25,44]},{"correction_basis":"216dpifooterandpairedSR008bodycomparison.","observation":"MalaySR008footerlabelsReducingTermTakafuland19of22,unlikesurroundingSinarRiayah23-pagefooter. AnnexurecodeandmatchingEnglishfee/surplusbodyidentifylocalcomponent; retainedasliteraltemplate discrepancy,notasprovenforeigncontractinsertion.","pages":[43]}]</t>
  </si>
  <si>
    <t xml:space="preserve">delivery-batch25-20261026/group2/012-result.json#/clarifications</t>
  </si>
  <si>
    <t xml:space="preserve">execution-evidence.json#/batches/B25/documents/group2~1012-result.json/clarifications</t>
  </si>
  <si>
    <t xml:space="preserve">4a1a04738f36e9df641a715ab51cb04245cb1a92e592b1ab3e91f39bc0d81fb6</t>
  </si>
  <si>
    <t xml:space="preserve">["Master schedulesprinted3,contentsprinted1andpersonalcertificateabsent;wakalahpercentageintentionallyrefersindividualcertificate. Theseabsencefactsaloneare notstrictblockers.","Baseedition/currentadoption/holder/personalfinancingvaluesnotestablished;SR0118andendorsementdatesnotcurrentadoptionproof.","Noactualclaimdecision,legalvalidityconclusion,packagecompleteness,orcashvalueamountinferred."]</t>
  </si>
  <si>
    <t xml:space="preserve">delivery-batch25-20261026/group2/012-result.json#/preserved_uncertainties</t>
  </si>
  <si>
    <t xml:space="preserve">execution-evidence.json#/batches/B25/documents/group2~1012-result.json/preserved_uncertainties</t>
  </si>
  <si>
    <t xml:space="preserve">dc1a8b46d45080f800ee22a31e493819981dbba8be92087266cff594c4547bfb</t>
  </si>
  <si>
    <t xml:space="preserve">"MissingexpresslyincorporatedSR010cashvalueformula inbothpresentlanguagecomponents."</t>
  </si>
  <si>
    <t xml:space="preserve">delivery-batch25-20261026/group2/012-result.json#/strict_blocker_basis</t>
  </si>
  <si>
    <t xml:space="preserve">execution-evidence.json#/batches/B25/documents/group2~1012-result.json/strict_blocker_basis</t>
  </si>
  <si>
    <t xml:space="preserve">8eb5ba8d9960ac0fc03517db7ed432d083c1bdc9a6d2759dbcb5860fc1d713a2</t>
  </si>
  <si>
    <t xml:space="preserve">{"actual_present_pages":44,"all_present_pages_semantically_reviewed":true,"checked_at_utc":"2026-10-26T18:54:41.627413+00:00","copy_allowed":false,"display_denials":0,"member_bytes":1346806,"member_sha256":"119af78332b262d35614498b74b5fa6aefca7f3047341ba14da05d95cb0b4b84","metadata_matches":true,"needs_password":0,"ordinary_visual_display_pending":false,"ordinary_visual_display_succeeded":true,"pdfinfo_metadata":"Author:          Tong Ying Xian Tammy\nCreator:         Acrobat PDFMaker 10.1 for Word\nProducer:        Adobe PDF Library 10.0\nCreationDate:    Wed Jul  3 11:34:34 2019 JST\nModDate:         Fri Jun 26 17:58:31 2020 JST\nCustom Metadata: yes\nMetadata Stream: yes\nTagged:          yes\nUserProperties:  no\nSuspects:        no\nForm:            none\nJavaScript:      no\nPages:           44\nEncrypted:       yes (print:no copy:no change:no addNotes:no algorithm:RC4)\nPage size:       594.96 x 842.04 pts (A4)\nPage rot:        0\nFile size:       1346806 bytes\nOptimized:       no\nPDF version:     1.6\n","pdfinfo_returncode":0,"permissions":-3392,"permissions_unchanged":true,"print_allowed":false,"source_archive_sha256":"d8dd60e6ef6061e4984143b9d891b5dd848b86f8833f800902ad758355a66515","task_id":"B25-MY-012","text_extraction_OCR_printing_unlocking_permission_changes":false}</t>
  </si>
  <si>
    <t xml:space="preserve">delivery-batch25-20261026/group2/012-preflight.json#</t>
  </si>
  <si>
    <t xml:space="preserve">execution-evidence.json#/batches/B25/documents/group2~1012-preflight.json</t>
  </si>
  <si>
    <t xml:space="preserve">89b475f0dab3971a4a6571d28a07a3cb33bbaf4159601109c1654ce581f6d052</t>
  </si>
  <si>
    <t xml:space="preserve">{"actual_present_physical_pages":87,"all_pages_reviewed":true,"cleanup_reference":{"bytes":16566,"path":"independent-qa.json#/batches/B25/documents/group2-013-cleanup.json","sha256":"2dd3c76ac69457eb40620148be63f332b47cd6c90e547f0b14f3e9252dc5c7e7"},"current_adoption_credit":0,"execution_result_reference":{"bytes":8649,"path":"execution-evidence.json#/batches/B25/documents/group2~1013-result.json","sha256":"9b304acecb121204b38383e386172d1e70ebf245cfc7e308a6116b4accae8f33"},"file_level_primary_role_previously_accepted":true,"formal_mutations":false,"full_content_review_complete":true,"full_review_accepted":true,"gap_closure_credit":0,"independent_QA":true,"new_original":0,"new_primary":0,"new_product":0,"original_id":"regional-20261025-8f5671eac86e1734","package_complete_credit":0,"page_proof_reference":{"bytes":42628,"path":"independent-qa.json#/batches/B25/documents/group2-013-page-proof.jsonl","sha256":"b21fe93f1fe6b37851489f14cf7f216dbcae1e148f4c8097a1ff1c2385492bcb"},"prior_task_id":"B18-MY-003","qa_result_reference":{"bytes":8843,"path":"independent-qa.json#/batches/B25/documents/group2-013-result.json","sha256":"3f411a07cf42c64b1c0668568365eccebef64d49302901560f016674a7cfaa5f"},"queue_id":"PENDING-8f5671eac86e1734","region_code":"MY","review_status":"full","sha256":"8f5671eac86e1734bfb41f4d287b40d8b88d6a967e8aeb2f2bfbf1daf4c64704","source_archive_sha256":"d8dd60e6ef6061e4984143b9d891b5dd848b86f8833f800902ad758355a66515","source_insurer_preserved":"Sun Life Malaysia Takaful Berhad","strict_eligible":false,"strict_status":"needs_review","strict_verified":false,"target":"Sun PowerLife-i Master Contract","task_id":"B25-MY-013","verification_status":"needs_review"}</t>
  </si>
  <si>
    <t xml:space="preserve">{"bytes":8843,"path":"independent-qa.json#/batches/B25/documents/group2-013-result.json","sha256":"3f411a07cf42c64b1c0668568365eccebef64d49302901560f016674a7cfaa5f"}</t>
  </si>
  <si>
    <t xml:space="preserve">qa-b25-full-review-20261026/issues-and-clarifications.json#/files/12/current_QA_result</t>
  </si>
  <si>
    <t xml:space="preserve">independent-qa.json#/batches/B25/documents/issues-and-clarifications.json/files/12/current_QA_result</t>
  </si>
  <si>
    <t xml:space="preserve">c4ab3291bbefbd3b9b652f2dbac110d1efc3bef18b58259f64e39f38bafd6940</t>
  </si>
  <si>
    <t xml:space="preserve">qa-b25-full-review-20261026/issues-and-clarifications.json#/files/12/final_status</t>
  </si>
  <si>
    <t xml:space="preserve">independent-qa.json#/batches/B25/documents/issues-and-clarifications.json/files/12/final_status</t>
  </si>
  <si>
    <t xml:space="preserve">qa-b25-full-review-20261026/issues-and-clarifications.json#/files/12/independent_findings</t>
  </si>
  <si>
    <t xml:space="preserve">independent-qa.json#/batches/B25/documents/issues-and-clarifications.json/files/12/independent_findings</t>
  </si>
  <si>
    <t xml:space="preserve">qa-b25-full-review-20261026/issues-and-clarifications.json#/files/12/metadata_corrections</t>
  </si>
  <si>
    <t xml:space="preserve">independent-qa.json#/batches/B25/documents/issues-and-clarifications.json/files/12/metadata_corrections</t>
  </si>
  <si>
    <t xml:space="preserve">["Independently read all87 physical pages; actual EN32/MS34 base pages and all bilingual2018/2019/OFS endorsements present. No missing incorporated operative annexure found; personal schedule/current-adoption absence is not strict-failure basis.","216dpi confirms PA0081.1 EN second certificate year versus MS second anniversary; both tables give year2=10%/year3+=20%. 2018 changes1.3 only, so timing discrepancy remains. PA009NCD separately says second certificate anniversary in both languages; do not conflate renewal bonus with NCD.","216dpi confirms PA0101.3 trigger already reimbursed in both but deduction basis EN payable versus MS already paid. Material unresolved settlement wording; no language priority or actual payout chosen.","PA0121.3a EN at ATM itself versus MS withdrawal from that ATM, both OR within1km. Preserve spatial attachment ambiguity; do not assert a proven coverage outcome from that phrase alone. Renewal and medical differences independently support needs_review.","MS hazardous-avocation list omits explicit EN boxing but broad hazardous/unlisted-recreation exclusion remains; not evidence boxing is covered. 2018 infectious extension notwithstanding base infectious exclusions is not nullified by those base exclusions.","SID002 alone explicitly preserves proportionally reduced death after smaller infectiousTPD payment; do not generalize to PA007 accidentalTPD. 60-day grace and explicit monthly contribution tables,80%year1/70%later wakalah independently confirmed; not cross-product values.","2019 replaces whole16/17 and15.1/qard,50/50surplus afterqard and&lt;=RM10bank-first/no-bankcharity; no double-qard inference. OFS notice mislabelPA013 does not delete actualPA013weeklyincome; notice isPA014. Assignment NOT present both languages, legal literal before2years retained without enforceability opinion.","All source87page notes, clarifications, correction_basis,52zoom facts and result fields reviewed against originals. Child21/23 inclusive-definition versus attainment termination preserved. Generic source-only review, no current tax/contact/adoption/individual coverage certification."]</t>
  </si>
  <si>
    <t xml:space="preserve">qa-b25-full-review-20261026/issues-and-clarifications.json#/files/12/qa_notes</t>
  </si>
  <si>
    <t xml:space="preserve">independent-qa.json#/batches/B25/documents/issues-and-clarifications.json/files/12/qa_notes</t>
  </si>
  <si>
    <t xml:space="preserve">7330b845a75b92f6831e50403b2a85e23d92d214d013b4ca1553950b5d57aece</t>
  </si>
  <si>
    <t xml:space="preserve">qa-b25-full-review-20261026/issues-and-clarifications.json#/files/12/strict_basis</t>
  </si>
  <si>
    <t xml:space="preserve">independent-qa.json#/batches/B25/documents/issues-and-clarifications.json/files/12/strict_basis</t>
  </si>
  <si>
    <t xml:space="preserve">"B25-MY-013"</t>
  </si>
  <si>
    <t xml:space="preserve">qa-b25-full-review-20261026/issues-and-clarifications.json#/files/12/task_id</t>
  </si>
  <si>
    <t xml:space="preserve">independent-qa.json#/batches/B25/documents/issues-and-clarifications.json/files/12/task_id</t>
  </si>
  <si>
    <t xml:space="preserve">aaa3f2319a20e2924945f53afc333a5d5dcfec24478e7f9b69a35d07e53e31ef</t>
  </si>
  <si>
    <t xml:space="preserve">{"base_edition_not_explicitly_established":true,"codes_are_not_personal_holder_evidence":true,"current_adoption_not_established":true,"insurer":"Sun Life Malaysia Takaful Berhad","master_contract_codes":["CIMB-SPL001-16032016","CIMBI-SPL001-16032016"],"product":"Sun PowerLife-i (a plan under Takaful Lifestyle PA Series)"}</t>
  </si>
  <si>
    <t xml:space="preserve">delivery-batch25-20261026/group2/013-result.json#/identity</t>
  </si>
  <si>
    <t xml:space="preserve">execution-evidence.json#/batches/B25/documents/group2~1013-result.json/identity</t>
  </si>
  <si>
    <t xml:space="preserve">5f5f9bcc29a792a2539375c212672bdff59aff9552ad235e375de765540c442c</t>
  </si>
  <si>
    <t xml:space="preserve">[{"component":"bilingual02/2019 effective1July2019","pages":"1-4"},{"component":"bilingual01/2018 effective1July2018,EN5-10/MS11-17","pages":"5-17"},{"component":"bilingualundatedOFScontactendorsement","pages":"18-19"},{"component":"ENcover+printed1-32allpresent,PA001-014","pages":"20-52"},{"component":"MScover+printed1-34allpresent,PA001-014","pages":"53-87"}]</t>
  </si>
  <si>
    <t xml:space="preserve">delivery-batch25-20261026/group2/013-result.json#/component_map</t>
  </si>
  <si>
    <t xml:space="preserve">execution-evidence.json#/batches/B25/documents/group2~1013-result.json/component_map</t>
  </si>
  <si>
    <t xml:space="preserve">383e8b55c1dd712d4969fb401021cab35989f22884445208c050944c7a4a05f1</t>
  </si>
  <si>
    <t xml:space="preserve">["en","ms"]</t>
  </si>
  <si>
    <t xml:space="preserve">delivery-batch25-20261026/group2/013-result.json#/language_coverage</t>
  </si>
  <si>
    <t xml:space="preserve">execution-evidence.json#/batches/B25/documents/group2~1013-result.json/language_coverage</t>
  </si>
  <si>
    <t xml:space="preserve">095225eb11dee3078d70dfe7c380d4a761b2fae6da216d2dba0f2a4f06c125d1</t>
  </si>
  <si>
    <t xml:space="preserve">{"benefits":"8tiers100k-800kaccidentdeath/TPD,publicconveyanceadditional100%,2018specifiedinfectiondeath/TPD;medical2k-16k/year;conditionalComboAsnatch250-2000/ATM500-4000;ComboBacceleratesbasic80%earningscap350-2800/week,max104weeks/100%basic. Renewal0/10/20tablewithnotedtimingconflict;NCD20noncumsecondanniversaryliteral.","fund_and_costs":"Wakalah80%firstyear/70%thereafter;2019tabarrucontributionlesswakalah,50/50surplusafterqardsubjecteligibility,no claim/benefit;&lt;=RM10bankorno-bankcharity.","limits_and_process":"15dayfreelookrefund;60daynotice/grace,2yearreinstatement;TPD180dayspermanence/after64anniversary,death180days/disappearance365;2018TPD2maggregate/sixmonthminimum,30dayslastreinstatementexclusion,smallerTPDdeathratio;generalholderage70anniversarytermination;postfreelookcancelnextduenorefund."}</t>
  </si>
  <si>
    <t xml:space="preserve">delivery-batch25-20261026/group2/013-result.json#/operative_summary</t>
  </si>
  <si>
    <t xml:space="preserve">execution-evidence.json#/batches/B25/documents/group2~1013-result.json/operative_summary</t>
  </si>
  <si>
    <t xml:space="preserve">68cee2e87ee35fcef16be00e4305e7b0e8020eb6571b8a87a36cb02ecfd7f990</t>
  </si>
  <si>
    <t xml:space="preserve">[{"issue":"PA008renewalbonus1.1 timing: ENsecondcertificateyear vsMSsecondanniversary;both tablesyear2=10%,year3+=20%. 2018only1.3 amended.","pages":[46,81,8,14],"resolution":"Unresolved wording/timing discrepancy;do notchooseone."},{"issue":"PA010medical1.3 ENexcessoverthird-partyamountpayable vsMSalready-paid amount.","pages":[48,83],"resolution":"Unresolved settlement wording;notautomaticallyequivalent."},{"issue":"PA012ATM1.3a ENwithin30min atATMitself;MSwithin30afterwithdrawalfromATM noexpressincidentlocation. BothORwithin1km.","pages":[50,85],"resolution":"Unresolved spatialcondition difference;notinferwhichlanguageprevails."}]</t>
  </si>
  <si>
    <t xml:space="preserve">delivery-batch25-20261026/group2/013-result.json#/material_findings</t>
  </si>
  <si>
    <t xml:space="preserve">execution-evidence.json#/batches/B25/documents/group2~1013-result.json/material_findings</t>
  </si>
  <si>
    <t xml:space="preserve">e92faaabde32ef0321da2b99c09f85fb20c584b0a41586f81d0e36618a951c10</t>
  </si>
  <si>
    <t xml:space="preserve">[{"clarification":"2019explicitly replacesqarddefinition,15.1andwhole16/17. 16.4afterqard and17.1lessqard are retainedwithoutdouble-deductioninference;&lt;=RM10bank-first supersedes oldcharity-only.","pages":[1,2,3,4,37,72]},{"clarification":"2018notwithstandingadds6specifiedinfectiondeath/TPD anddiagnostictests. BaseaccidentalTPD/infectionexclusionsdonotmakeaddedcoverinvalid. SID002smallTPDdeathcontinuanceisspecificexceptionto generaltermination;noautomaticbothbenefitpayment.","pages":[5,6,8,9,10,11,12,14,15,16,17,32,41,67,77]},{"clarification":"OFSendorsement mislabels importantnotice PA013;actualnoticePA014,PA013weeklyincome. Clearcontact-replacementsubjectdoesnotdeleteweeklybenefit.","pages":[18,19,51,52,86,87]},{"clarification":"NCD1.1wholeclaimfreeyear/nextanniversary andsummaryfollowingyear coexistwith1.2firstentitlementsecondanniversary. Preserveliteral restriction;do notsilentlycallitsecondcertificateyear.","pages":[23,47,57,82]},{"clarification":"Childdefinitioninclusive21/23 differsfromspecificterminationattaining21/23;preserveboundarywording,do notassertcoverthroughwhole21st/23rdyear.","pages":[30,40,64,74]},{"clarification":"ENexplicitboxingnotnamedMS;MSstillcontainsbroadhazardous/unlistedrecreationexclusion,soomissiondoesnotestablishboxingcoverage.","pages":[41,76]},{"clarification":"2018legalproceedingsliteralbeforeexpiry2years,notafter;no2020deletionpresent. Source-reviewonly,nolegalenforceabilityopinion.","pages":[8,14]},{"clarification":"GST6%tablesaresourcehistoricalvaluesandexpresslysubjectchange;notclaimedcurrenttaxrate.","pages":[25,26,27,28,59,60,61,62]},{"clarification":"Genericschemetablesarepresent;selectedpersonalcertificate/schedule/currentadoptionnotestablished. Thatabsencealoneisnotstrictfailure.","pages":[23,24,29,56,57,58,63]}]</t>
  </si>
  <si>
    <t xml:space="preserve">delivery-batch25-20261026/group2/013-result.json#/clarifications</t>
  </si>
  <si>
    <t xml:space="preserve">execution-evidence.json#/batches/B25/documents/group2~1013-result.json/clarifications</t>
  </si>
  <si>
    <t xml:space="preserve">6432555c489d3bfca1d2c90f12642196805a0854e6db5ad2168842988546b0b9</t>
  </si>
  <si>
    <t xml:space="preserve">"All87presentpagesoriginalvisualsemanticnotes;52target216dpi confirmations includingmaterialpairs andexplicitamendments."</t>
  </si>
  <si>
    <t xml:space="preserve">delivery-batch25-20261026/group2/013-result.json#/correction_basis</t>
  </si>
  <si>
    <t xml:space="preserve">execution-evidence.json#/batches/B25/documents/group2~1013-result.json/correction_basis</t>
  </si>
  <si>
    <t xml:space="preserve">14ce1678d336795f1a5cd0829727a385f9f1505b7bcdd87273f0faa47594e5f9</t>
  </si>
  <si>
    <t xml:space="preserve">"Material bilingual renewal timing,medical settlement andATMspatialcondition discrepancies remain after completevisualreview;notpersonal-schedule/current-adoption absence. No invalidity or doublededuction inference."</t>
  </si>
  <si>
    <t xml:space="preserve">delivery-batch25-20261026/group2/013-result.json#/strict_basis</t>
  </si>
  <si>
    <t xml:space="preserve">execution-evidence.json#/batches/B25/documents/group2~1013-result.json/strict_basis</t>
  </si>
  <si>
    <t xml:space="preserve">8adea10f6098f9be34481640de4d39db8157e3ce34e10ecf1912e5e2ef643089</t>
  </si>
  <si>
    <t xml:space="preserve">false</t>
  </si>
  <si>
    <t xml:space="preserve">delivery-batch25-20261026/group2/013-result.json#/missing_incorporated_operational_component_detected</t>
  </si>
  <si>
    <t xml:space="preserve">execution-evidence.json#/batches/B25/documents/group2~1013-result.json/missing_incorporated_operational_component_detected</t>
  </si>
  <si>
    <t xml:space="preserve">fcbcf165908dd18a9e49f7ff27810176db8e9f63b4352213741664245224f8aa</t>
  </si>
  <si>
    <t xml:space="preserve">true</t>
  </si>
  <si>
    <t xml:space="preserve">delivery-batch25-20261026/group2/013-result.json#/unresolved_personal_schedule_or_adoption_is_not_strict_failure_basis</t>
  </si>
  <si>
    <t xml:space="preserve">execution-evidence.json#/batches/B25/documents/group2~1013-result.json/unresolved_personal_schedule_or_adoption_is_not_strict_failure_basis</t>
  </si>
  <si>
    <t xml:space="preserve">b5bea41b6c623f7c09f1bf24dcae58ebab3c0cdd90ad966bc43a45b44867e12b</t>
  </si>
  <si>
    <t xml:space="preserve">{"actual_present_pages":87,"all_present_pages_semantically_reviewed":true,"checked_at_utc":"2026-10-26T19:06:07.500012+00:00","copy_allowed":false,"display_denials":0,"member_bytes":1914856,"member_sha256":"8f5671eac86e1734bfb41f4d287b40d8b88d6a967e8aeb2f2bfbf1daf4c64704","metadata_matches":true,"needs_password":0,"ordinary_visual_display_pending":false,"ordinary_visual_display_succeeded":true,"pdfinfo_metadata":"Creator:         PDF-XChange Editor 6.0.322.7\nProducer:        PDF-XChange Core API SDK (6.0.322.7)\nCreationDate:    Wed Dec  4 18:45:38 2019 JST\nModDate:         Wed Dec  4 18:47:01 2019 JST\nCustom Metadata: no\nMetadata Stream: yes\nTagged:          no\nUserProperties:  no\nSuspects:        no\nForm:            none\nJavaScript:      no\nPages:           87\nEncrypted:       yes (print:yes copy:no change:no addNotes:no algorithm:RC4)\nPage size:       595.32 x 841.92 pts (A4)\nPage rot:        0\nFile size:       1914856 bytes\nOptimized:       no\nPDF version:     1.7\n","pdfinfo_returncode":0,"permissions":-3388,"permissions_unchanged":true,"print_allowed":true,"source_archive_sha256":"d8dd60e6ef6061e4984143b9d891b5dd848b86f8833f800902ad758355a66515","task_id":"B25-MY-013","text_extraction_OCR_printing_unlocking_permission_changes":false}</t>
  </si>
  <si>
    <t xml:space="preserve">delivery-batch25-20261026/group2/013-preflight.json#</t>
  </si>
  <si>
    <t xml:space="preserve">execution-evidence.json#/batches/B25/documents/group2~1013-preflight.json</t>
  </si>
  <si>
    <t xml:space="preserve">aa1b6317de9ad1305f078377925452c03446ca184ecc4b85982af6816ab1d0cc</t>
  </si>
  <si>
    <t xml:space="preserve">{"actual_present_physical_pages":86,"all_pages_reviewed":true,"cleanup_reference":{"bytes":21699,"path":"independent-qa.json#/batches/B25/documents/group1~1014-cleanup.json","sha256":"8f29edc554fd0d06a6310186a3daa1f1cd177b8d5f5fba450aeb20b16993ba9c"},"current_adoption_credit":0,"execution_result_reference":{"bytes":10476,"path":"execution-evidence.json#/batches/B25/documents/group1~1014-result.json","sha256":"fcb6fe275d447351fa179d4f2d2af4262690cdb40f80aed5579a29c4368a381c"},"file_level_primary_role_previously_accepted":true,"formal_mutations":false,"full_content_review_complete":true,"full_review_accepted":true,"gap_closure_credit":0,"independent_QA":true,"new_original":0,"new_primary":0,"new_product":0,"original_id":"regional-20261025-07e92428d49c7362","package_complete_credit":0,"page_proof_reference":{"bytes":37463,"path":"independent-qa.json#/batches/B25/documents/group1~1014-page-proof.jsonl","sha256":"9f87c948fae7aada055ee64256e70b7fb468dd7c266c227396ae6ce6000e6332"},"prior_task_id":"B18-MY-004","qa_result_reference":{"bytes":17996,"path":"independent-qa.json#/batches/B25/documents/group1~1014-result.json","sha256":"45f74e6a1a3afc53f1c1091d79b6fa45706762af559468d2aa55ff860fb15b73"},"queue_id":"PENDING-07e92428d49c7362","region_code":"MY","review_status":"full","sha256":"07e92428d49c7362196cea9dd2d5137c071a4f5d243933863dd009736b8d3a94","source_archive_sha256":"d8dd60e6ef6061e4984143b9d891b5dd848b86f8833f800902ad758355a66515","source_insurer_preserved":"Sun Life Malaysia Takaful Berhad","strict_eligible":false,"strict_status":"needs_review","strict_verified":false,"target":"Sun PowerLife Senior-i Master Contract","task_id":"B25-MY-014","verification_status":"needs_review"}</t>
  </si>
  <si>
    <t xml:space="preserve">{"bytes":17996,"path":"independent-qa.json#/batches/B25/documents/group1~1014-result.json","sha256":"45f74e6a1a3afc53f1c1091d79b6fa45706762af559468d2aa55ff860fb15b73"}</t>
  </si>
  <si>
    <t xml:space="preserve">qa-b25-full-review-20261026/issues-and-clarifications.json#/files/13/current_QA_result</t>
  </si>
  <si>
    <t xml:space="preserve">independent-qa.json#/batches/B25/documents/issues-and-clarifications.json/files/13/current_QA_result</t>
  </si>
  <si>
    <t xml:space="preserve">582ad42510dea74ddcaa7e276c83e9058046da7a9e854934197011ec9cd6e158</t>
  </si>
  <si>
    <t xml:space="preserve">qa-b25-full-review-20261026/issues-and-clarifications.json#/files/13/final_status</t>
  </si>
  <si>
    <t xml:space="preserve">independent-qa.json#/batches/B25/documents/issues-and-clarifications.json/files/13/final_status</t>
  </si>
  <si>
    <t xml:space="preserve">QA-014-F1</t>
  </si>
  <si>
    <t xml:space="preserve">[49,50,83,84]</t>
  </si>
  <si>
    <t xml:space="preserve">{"classification":"material bilingual third-party offset wording","finding":"Both languages trigger clause1.4 when wholly/partly reimbursed. English then offsets amount PAYABLE by third party; Malay offsets amount TELAH DIBAYAR (already paid). Original216dpi independently confirms both medical and ambulance clauses. No express language priority found; no actual double payment/denial or optional selection asserted.","id":"QA-014-F1","pages":[49,50,83,84]}</t>
  </si>
  <si>
    <t xml:space="preserve">qa-b25-full-review-20261026/issues-and-clarifications.json#/files/13/independent_findings/0</t>
  </si>
  <si>
    <t xml:space="preserve">independent-qa.json#/batches/B25/documents/issues-and-clarifications.json/files/13/independent_findings/0</t>
  </si>
  <si>
    <t xml:space="preserve">9312f01cda485fdf50f2dea0a8d37cc41561de8c4b8e27ce5b40f9dffa3d2ca8</t>
  </si>
  <si>
    <t xml:space="preserve">QA-014-F2</t>
  </si>
  <si>
    <t xml:space="preserve">[1,3]</t>
  </si>
  <si>
    <t xml:space="preserve">{"classification":"material bilingual fund-expense qualifier difference","finding":"2019 full clause16 replacement: EN16.3 other DIRECT CLAIMS related expenses; MS16.3 other expenses related to participants fund without direct-claims limitation. No language priority; not proof actual double charging.","id":"QA-014-F2","pages":[1,3]}</t>
  </si>
  <si>
    <t xml:space="preserve">qa-b25-full-review-20261026/issues-and-clarifications.json#/files/13/independent_findings/1</t>
  </si>
  <si>
    <t xml:space="preserve">independent-qa.json#/batches/B25/documents/issues-and-clarifications.json/files/13/independent_findings/1</t>
  </si>
  <si>
    <t xml:space="preserve">bd6b855d2cb7ac6a74e0a87996d3ae71af564d92ba234a0838e48b2e8076160b</t>
  </si>
  <si>
    <t xml:space="preserve">QA-014-F3</t>
  </si>
  <si>
    <t xml:space="preserve">[45,79,8,14,30,63]</t>
  </si>
  <si>
    <t xml:space="preserve">{"classification":"material renewal-bonus timing wording","finding":"EN1.1 starts second certificate YEAR; MS1.1 tarikh ulangtahun kedua (second ANNIVERSARY). Both tables show year1=0,year2=10,year3+=20, with paid renewal and scheme-change reset. Definition describes anniversary in subsequent year. 2018 modifies1.3 scope only, not1.1. Do not silently normalize prose/table or assert actual loss.","id":"QA-014-F3","pages":[45,79,8,14,30,63]}</t>
  </si>
  <si>
    <t xml:space="preserve">qa-b25-full-review-20261026/issues-and-clarifications.json#/files/13/independent_findings/2</t>
  </si>
  <si>
    <t xml:space="preserve">independent-qa.json#/batches/B25/documents/issues-and-clarifications.json/files/13/independent_findings/2</t>
  </si>
  <si>
    <t xml:space="preserve">da5ef725371d534ef42627ab0c52c93e0bfa163afeaecd3b14eda51e5391b789</t>
  </si>
  <si>
    <t xml:space="preserve">QA-014-C1</t>
  </si>
  <si>
    <t xml:space="preserve">[46,80]</t>
  </si>
  <si>
    <t xml:space="preserve">{"classification":"bounded first-entitlement limitation","finding":"NCD1.1 requires one full claim-free year and next anniversary;1.2 specifically first entitlement only from second anniversary. Retain both; specific first-entitlement limit can qualify general annual rule. Not independently treated as contradiction, and not rewritten to first anniversary.","id":"QA-014-C1","pages":[46,80]}</t>
  </si>
  <si>
    <t xml:space="preserve">qa-b25-full-review-20261026/issues-and-clarifications.json#/files/13/independent_findings/3</t>
  </si>
  <si>
    <t xml:space="preserve">independent-qa.json#/batches/B25/documents/issues-and-clarifications.json/files/13/independent_findings/3</t>
  </si>
  <si>
    <t xml:space="preserve">9a099aace5f399cf9f7c82e408be8e655362f7678045ce74e276d7df44fa47be</t>
  </si>
  <si>
    <t xml:space="preserve">QA-014-C2</t>
  </si>
  <si>
    <t xml:space="preserve">[9,10,16,17,44,78,39,73]</t>
  </si>
  <si>
    <t xml:space="preserve">{"classification":"specific exception scope","finding":"SID0021.3 explicitly preserves proportionate residual death sum after lower TPD payable, from onset. Do not generalize this to PA007 accidentalTPD (no such clause there). General termination read subject to specific SID exception. TPD ceases anniversary immediately after64th birthday, outercover after75, not65.","id":"QA-014-C2","pages":[9,10,16,17,44,78,39,73]}</t>
  </si>
  <si>
    <t xml:space="preserve">qa-b25-full-review-20261026/issues-and-clarifications.json#/files/13/independent_findings/4</t>
  </si>
  <si>
    <t xml:space="preserve">independent-qa.json#/batches/B25/documents/issues-and-clarifications.json/files/13/independent_findings/4</t>
  </si>
  <si>
    <t xml:space="preserve">32947ea6ab1abe91e29c017d7a1b6e2e33f88ba3e2172b5ba7d4eca452bf0390</t>
  </si>
  <si>
    <t xml:space="preserve">QA-014-C3</t>
  </si>
  <si>
    <t xml:space="preserve">[18,19,52,86]</t>
  </si>
  <si>
    <t xml:space="preserve">{"classification":"bounded wrong annexure code","finding":"Undated OFS replacement names FMB notice but callsPA013; actualPA014 notice is present in bothlanguages, PA013snatch. No missing generic notice or invented effective date.","id":"QA-014-C3","pages":[18,19,52,86]}</t>
  </si>
  <si>
    <t xml:space="preserve">qa-b25-full-review-20261026/issues-and-clarifications.json#/files/13/independent_findings/5</t>
  </si>
  <si>
    <t xml:space="preserve">independent-qa.json#/batches/B25/documents/issues-and-clarifications.json/files/13/independent_findings/5</t>
  </si>
  <si>
    <t xml:space="preserve">041b2fe2f2efbe9f83dfbfea4afe33d665751665f7673a858365603100715623</t>
  </si>
  <si>
    <t xml:space="preserve">QA-014-C4</t>
  </si>
  <si>
    <t xml:space="preserve">[40,74,47,81]</t>
  </si>
  <si>
    <t xml:space="preserve">{"classification":"bounded translation examples","finding":"ENboxing explicit example absentMS but broad unlisted/dangerous-sports exclusion remains. Broken-bones ENkneecaps vsMSlutut(knee) retained; spinalCORDinjury in both. No automatic coverage/payout conclusion.","id":"QA-014-C4","pages":[40,74,47,81]}</t>
  </si>
  <si>
    <t xml:space="preserve">qa-b25-full-review-20261026/issues-and-clarifications.json#/files/13/independent_findings/6</t>
  </si>
  <si>
    <t xml:space="preserve">independent-qa.json#/batches/B25/documents/issues-and-clarifications.json/files/13/independent_findings/6</t>
  </si>
  <si>
    <t xml:space="preserve">d9b73078c12530291056e1c7ffeeccd9f744fc9f0a63ddc6a9d18ac7cf4ecdb6</t>
  </si>
  <si>
    <t xml:space="preserve">QA-014-C5</t>
  </si>
  <si>
    <t xml:space="preserve">[1,2,3,4,6,12,8,14,34,35,68,69,38,72]</t>
  </si>
  <si>
    <t xml:space="preserve">{"classification":"replacement and literal conditions","finding":"2019 entire16/17 replaces old generalfund/surplus:50/50 afterQard,year-endnolapse/nosurrender,noclaimsbenefits,&lt;=10bankfirstelsecharity; no doubleQard assumed. SixSID acute/teruk terminology retained without extra invented severity test. Legalaction BEFORE two-year expiration, not after deadline.60daygrace/15dayfreelook/2yearreinstate;nonfraudrefund contributions SINCE LAST reinstate,notearlier. Retakaful OR reinsurance in BOTH languages; Shariahapproval specifically retakaful. EN34mode visibly struck,frequency governedcertificate.","id":"QA-014-C5","pages":[1,2,3,4,6,12,8,14,34,35,68,69,38,72]}</t>
  </si>
  <si>
    <t xml:space="preserve">qa-b25-full-review-20261026/issues-and-clarifications.json#/files/13/independent_findings/7</t>
  </si>
  <si>
    <t xml:space="preserve">independent-qa.json#/batches/B25/documents/issues-and-clarifications.json/files/13/independent_findings/7</t>
  </si>
  <si>
    <t xml:space="preserve">ca1c08a7c1469a4ec58939e73569928132599e86f01ac6982dfaac2878d7253d</t>
  </si>
  <si>
    <t xml:space="preserve">QA-014-C6</t>
  </si>
  <si>
    <t xml:space="preserve">[5,11,23,24,25,26,27,28,29,56,57,58,59,60,61,62,39,73]</t>
  </si>
  <si>
    <t xml:space="preserve">{"classification":"financial scope and no current adoption","finding":"Eight100k–800k tables, monthly contribution cells and80%firstyear/70%laterwakalah independently checked; no loan reducing-sum i-branch formula present. Rates historicalGST6%subjectchange, not currenttaxassertion. RM10stamp chargedYOU(masterholder),notoperator. No personalholder/riderselection/baseedition/currentadoption or package credit.","id":"QA-014-C6","pages":[5,11,23,24,25,26,27,28,29,56,57,58,59,60,61,62,39,73]}</t>
  </si>
  <si>
    <t xml:space="preserve">qa-b25-full-review-20261026/issues-and-clarifications.json#/files/13/independent_findings/8</t>
  </si>
  <si>
    <t xml:space="preserve">independent-qa.json#/batches/B25/documents/issues-and-clarifications.json/files/13/independent_findings/8</t>
  </si>
  <si>
    <t xml:space="preserve">9fa854345cdd7418f531b6851d6e6f16ca670ce3a2c8140420bdea114160c66e</t>
  </si>
  <si>
    <t xml:space="preserve">QA-014-C7</t>
  </si>
  <si>
    <t xml:space="preserve">[42,43,44,76,77,78,47,81,51,85]</t>
  </si>
  <si>
    <t xml:space="preserve">{"classification":"negative cross-file checks","finding":"Prior accelerated PAID deduction is present in EN andMS accidental death/publicdeath/TPD here (do not import016omission). Brokenbones andsnatch both expressly ONCE everycertificateyear inbothlanguages; do not import002withdrawn falsefrequencydifference.","id":"QA-014-C7","pages":[42,43,44,76,77,78,47,81,51,85]}</t>
  </si>
  <si>
    <t xml:space="preserve">qa-b25-full-review-20261026/issues-and-clarifications.json#/files/13/independent_findings/9</t>
  </si>
  <si>
    <t xml:space="preserve">independent-qa.json#/batches/B25/documents/issues-and-clarifications.json/files/13/independent_findings/9</t>
  </si>
  <si>
    <t xml:space="preserve">77a108382370ca73fbd9ba62f016fda4f9f77efdfe95509f4a12404862d433a0</t>
  </si>
  <si>
    <t xml:space="preserve">QA-014-M1</t>
  </si>
  <si>
    <t xml:space="preserve">[1,3,5,11,18,19]</t>
  </si>
  <si>
    <t xml:space="preserve">{"classification":"own and execution duplicate-code misread withdrawn","correction":"Independent216dpi headers clearly CIMB-SPLS001-16032016 AND CIMBI-SPLS001-16032016, in2019/2018/OFS bothlanguages. Own144dpi duplicate-ID assertions at1/3/18 are incorrect and withdrawn. Execution correction_basis/clarification correctly withdrew its initial provisional duplicate impression. No identity contradiction.","id":"QA-014-M1","original_execution_row":{"component":"Endorsement02/2019 PA003","corrected_at_utc":"2026-10-26T19:18:08.598370+00:00","correction_basis":"216dpi originalpage1 display resolves small-font final I in CIMBI; original144dpi provisional duplicate impression corrected, notsourceconflict.","display_sha256":"88e93898df44492d0c076cba5ef813a54caf926c10a9f9576763231a582ee158","initial_note_before_zoom_correction":"SunPowerLifeSenior-i effective1July2019; EnglishmasterheaderappearsduplicatedCIMB-SPLS001-16032016bothentries pendingzoom. ReplacesQarddef,15.1tabarrunetwakalah,entire16fund;16.3directclaimsrelatedexpenses,16.4afterQard50/50,16.5loanrepaidprofitability,16.6yearendeligibilitytermination26-&gt;17.","language":"en","method":"ordinary_read_only_visual_144dpi","physical_page":1,"reviewed_at_utc":"2026-10-26T18:58:29.903557+00:00","semantic_note":"SunPowerLifeSenior-i effective1July2019;216dpi confirms masterheaderCIMB-SPLS001-16032016 AND CIMBI-SPLS001-16032016, notduplicateCIMB. ReplacesQarddef,15.1tabarrunetwakalah,entire16fund;16.3directclaimsrelatedexpenses,16.4afterQard50/50,16.5loanrepaidprofitability,16.6yearendeligibilitytermination26-&gt;17.","semantic_read":true,"task_id":"B25-MY-014"},"original_own_rows":[{"image_sha256":"88e93898df44492d0c076cba5ef813a54caf926c10a9f9576763231a582ee158","independent_semantic_review":true,"method":"ordinary read-only visual 144dpi","physical_page":1,"reviewed_at":"2026-10-26T21:07:38.561594+00:00","semantic_note":"2019July1 endorsement SunPowerLifeSenior-i,duplicated CIMB-SPLS001-16032016 IDs. ReplacesQard15.1tabarru/16fund: EN otherDIRECTCLAIMSrelated,50/50afterQard,year-endnolapse/nosurrender;terminationdistribution17.","task_id":"B25-MY-014"},{"image_sha256":"cc401721c5bdf8c889b0aa6dc47049659c26c72ed6527f28d7d668f4b0c9843c","independent_semantic_review":true,"method":"ordinary read-only visual 144dpi","physical_page":3,"reviewed_at":"2026-10-26T21:07:38.562138+00:00","semantic_note":"MS2019same product/duplicatedIDs,Qard/tabarru/fund16;16.3otherrelatedexpenses lacks ENdirectclaims qualifier;50/50afterQard.","task_id":"B25-MY-014"},{"image_sha256":"8ffe3a7142fa1d9ffd4d5d4630051a1dc6a1f3a1e2dc9f37b3830abc086d1aae","independent_semantic_review":true,"method":"ordinary read-only visual 144dpi","physical_page":18,"reviewed_at":"2026-10-26T21:08:41.219749+00:00","semantic_note":"UndatedEN OFSreplacesFMB noticeheadingPA013;productnamed;IDs now CIMB-SPLS001 and CIMBI-SPLS001,unlike duplicated2019/2018IDs. Needmatchactualnoticecodebelow;no dateinvented.","task_id":"B25-MY-014"}],"pages":[1,3,5,11,18,19]}</t>
  </si>
  <si>
    <t xml:space="preserve">qa-b25-full-review-20261026/issues-and-clarifications.json#/files/13/metadata_corrections/0</t>
  </si>
  <si>
    <t xml:space="preserve">independent-qa.json#/batches/B25/documents/issues-and-clarifications.json/files/13/metadata_corrections/0</t>
  </si>
  <si>
    <t xml:space="preserve">4b00f16dc853075a63b61c1cbbe44c4d2816531ecd9a3d1d18e90ef548059b5c</t>
  </si>
  <si>
    <t xml:space="preserve">QA-014-M2</t>
  </si>
  <si>
    <t xml:space="preserve">[73]</t>
  </si>
  <si>
    <t xml:space="preserve">{"classification":"own note page attribution bounded","correction":"Ownp73note compresses adjacent termination/renewal/claim context. Onphysical73 itself: coveredterminationafter75,stampRM10,tax. Claim30 andrenewal60 are on71 (EN37), not73. No sourcechange.","id":"QA-014-M2","original_own_row":{"image_sha256":"710aba6bf9370ac57d2136d0d872eb29beefe0c32dfc962b0a162d1724cbd174","independent_semantic_review":true,"method":"ordinary read-only visual 144dpi","physical_page":73,"reviewed_at":"2026-10-26T21:17:42.074428+00:00","semantic_note":"MS termination/cancellation/renewal continuation: after75 anniversary outer contract termination,30day claim notice/proof,RM10 stamp chargedmasterholder notoperator; nonguaranteed annualrenewal60dayratenotice. Read withSID002specificlowerTPDresidual, notallbenefits.","task_id":"B25-MY-014"},"pages":[73]}</t>
  </si>
  <si>
    <t xml:space="preserve">qa-b25-full-review-20261026/issues-and-clarifications.json#/files/13/metadata_corrections/1</t>
  </si>
  <si>
    <t xml:space="preserve">independent-qa.json#/batches/B25/documents/issues-and-clarifications.json/files/13/metadata_corrections/1</t>
  </si>
  <si>
    <t xml:space="preserve">b58b5d16268e0e40f49061e521e1e85fa966eccf99101cf1bd7fe56b5d18d779</t>
  </si>
  <si>
    <t xml:space="preserve">qa-b25-full-review-20261026/issues-and-clarifications.json#/files/13/qa_notes</t>
  </si>
  <si>
    <t xml:space="preserve">independent-qa.json#/batches/B25/documents/issues-and-clarifications.json/files/13/qa_notes</t>
  </si>
  <si>
    <t xml:space="preserve">"All86presentpages independentlyreviewed; three material bilingual fundexpense,third-partyoffset,renewalbonustiming differences remain without languagepriority. Not individualcertificate/adoption absence."</t>
  </si>
  <si>
    <t xml:space="preserve">qa-b25-full-review-20261026/issues-and-clarifications.json#/files/13/strict_basis</t>
  </si>
  <si>
    <t xml:space="preserve">independent-qa.json#/batches/B25/documents/issues-and-clarifications.json/files/13/strict_basis</t>
  </si>
  <si>
    <t xml:space="preserve">9a89d43b2f5bbc5aee24bf9bbfd7b2a6fc96a048077286bda80a5ed73976a6c8</t>
  </si>
  <si>
    <t xml:space="preserve">"B25-MY-014"</t>
  </si>
  <si>
    <t xml:space="preserve">qa-b25-full-review-20261026/issues-and-clarifications.json#/files/13/task_id</t>
  </si>
  <si>
    <t xml:space="preserve">independent-qa.json#/batches/B25/documents/issues-and-clarifications.json/files/13/task_id</t>
  </si>
  <si>
    <t xml:space="preserve">59a0413f799344e4319df6c493a75998cf5a9e4b23a497ed524c7ebfbcbad281</t>
  </si>
  <si>
    <t xml:space="preserve">{"base_edition":null,"code_not_date":"16032016 preserved in identifiers, not independently inferred issue date","issuer":"Sun Life Malaysia Takaful Berhad","master_contract_numbers":["CIMB-SPLS001-16032016","CIMBI-SPLS001-16032016"],"named_master_holder":null,"product":"Sun PowerLife Senior-i (a plan under Takaful LifeStyle PA series)"}</t>
  </si>
  <si>
    <t xml:space="preserve">delivery-batch25-20261026/group1/014-result.json#/observed_identity</t>
  </si>
  <si>
    <t xml:space="preserve">execution-evidence.json#/batches/B25/documents/group1~1014-result.json/observed_identity</t>
  </si>
  <si>
    <t xml:space="preserve">cfcc97d15837b40c49c81672cec348b5a539d865c28c1449612673a78a34c4ac</t>
  </si>
  <si>
    <t xml:space="preserve">[{"component":"English/Malay Endorsement02/2019 effective2019-07-01 replacesPA003Qarddefinition,15.1,entire16/17","pages":[1,2,3,4]},{"component":"English/Malay Endorsement01/2018 effective2018-07-01 addsSIDschedule,definitions/generalprovisions,SID001/SID002;amendsPA0081.3","pages":[5,6,7,8,9,10,11,12,13,14,15,16,17]},{"component":"UndatedEnglish/MalayOFSreplacementofFMB; miscitesPA013 butactualnoticePA014locatable","pages":[18,19]},{"component":"Englishcover/contents/PA001–014;printed1–32;PA002benefit/contribution/wakalahschedules","pages":[20,21,22,23,24,25,26,27,28,29,30,31,32,33,34,35,36,37,38,39,40,41,42,43,44,45,46,47,48,49,50,51,52]},{"component":"Malaycover/contents/PA001–014;printed1–33;translationpaginationdiffers","pages":[53,54,55,56,57,58,59,60,61,62,63,64,65,66,67,68,69,70,71,72,73,74,75,76,77,78,79,80,81,82,83,84,85,86]}]</t>
  </si>
  <si>
    <t xml:space="preserve">delivery-batch25-20261026/group1/014-result.json#/components</t>
  </si>
  <si>
    <t xml:space="preserve">execution-evidence.json#/batches/B25/documents/group1~1014-result.json/components</t>
  </si>
  <si>
    <t xml:space="preserve">230079a371ade0fbab11df56785ec66bc4c6e3fbd358b4f4aed8dd4a1cd0bd68</t>
  </si>
  <si>
    <t xml:space="preserve">["All86 presentpages semanticallyreadEnglish/Malay including2019fundendorsement,2018sixspecifiedinfectionaddition,undatedOFSandfullbasePA001–014.","Eightbenefitlevels100k–800k;accidentaldeath/TPD,publicadditional100%;specifiedinfectiondeathTPDsameamounts. Optionalmedical/ambulance/snatch requirecertificateinclusion. Allmonthlycontributiontables144dpiand216dpi confirmedbilingual; historicalGST6%notcurrenttax.","Wakalah80%year1/70%later;renewal0/10/20%year1/2/3+tablebutMalaytimingwordingdiffers;NCD20%noncumulative;annualbones/medical/ambulance/snatchlimits. SIDTPDcapRM2m andspecificresidualdeathcontinuation."]</t>
  </si>
  <si>
    <t xml:space="preserve">delivery-batch25-20261026/group1/014-result.json#/content_summary</t>
  </si>
  <si>
    <t xml:space="preserve">execution-evidence.json#/batches/B25/documents/group1~1014-result.json/content_summary</t>
  </si>
  <si>
    <t xml:space="preserve">07d5b8bb65da1c88c50367b5def5367d12c4ceaefd9cbd0386d7472ce0b965ad</t>
  </si>
  <si>
    <t xml:space="preserve">[{"disposition":"needs_review;do notassumeactualdoublepayment/denial.","finding_id":"B25-014-F1","observation":"PA011/PA0121.4 bothtriggerwhenalreadyreimbursedwholly/partly;EnglishoffsetamountPAYABLEbythirdparty,MalayamountALREADYPAID. No expresslanguagepriorityfound.","pages":[49,50,83,84],"severity":"material_bilingual_third_party_offset_difference"},{"disposition":"needs_review;notproofactualdoublecharging.","finding_id":"B25-014-F2","observation":"2019PA00316.3EnglishadditionalDIRECTCLAIMSrelatedexpenses;Malayotherexpensesrelatedtofund withoutdirectclaimsqualifier.","pages":[1,3],"severity":"bilingual_fund_expense_scope_difference"},{"disposition":"needs_review;preservetimingnotnormalize.","finding_id":"B25-014-F3","observation":"PA0081.1EnglishstartssecondCERTIFICATEYEAR;MalaysecondANNIVERSARY(tarikhulangtahunkedua). Bothtablesyear1=0%,2=10%,3+=20%;Malayproseversustableunreconciled. 2018amends1.3onlynot1.1.","pages":[45,79],"severity":"material_bilingual_renewal_bonus_timing_difference"}]</t>
  </si>
  <si>
    <t xml:space="preserve">delivery-batch25-20261026/group1/014-result.json#/substantive_findings</t>
  </si>
  <si>
    <t xml:space="preserve">execution-evidence.json#/batches/B25/documents/group1~1014-result.json/substantive_findings</t>
  </si>
  <si>
    <t xml:space="preserve">b3e49161a0c9bc8b47700a21899c0314b69ad6e1f27b555cea23bb4f4162b404</t>
  </si>
  <si>
    <t xml:space="preserve">[{"observation":"216dpi correctsinitialp1provisionalduplicateCIMBimpression:secondcodeCIMBI;bothlanguagesconsistent. Initialnotepreservedwithcorrectionbasis.","pages":[1,3,5,11,18,19]},{"observation":"2019explicitreplacementofentire16/17;50/50afterQardand17allocationreadtogether,notdoubleQarddeduction. &lt;=RM10bankfirstelsecharityreplacesoldautomaticcharity.","pages":[1,2,3,4,36,37,70]},{"observation":"LegalproceedingsliteralNOactionBEFOREexpiration2yearsfromevent,notanAFTER2yearsdeadline. Noopiniononenforceability.","pages":[8,14]},{"observation":"SixspecifiedinfectionsEnglishacute vsMalayteruk(severe)terminologyretained;sameidentifieddiseases/vectors/diagnostictests. Do notinventaseparateunwrittenseveritytest.","pages":[6,12]},{"observation":"SpecificSIDlowerTPDproportionateresidualdeathcontinuationreadwithgeneraltermination;notautomaticoperativecontradiction.","pages":[9,10,16,17,38,39,72,73]},{"observation":"OFSendorsementmiscitesPA013importantnotice;actualnoticePA014withnamedFMBreplacementtargetlocatable. PA013actuallysnatchbenefit. Boundedcodeerrornotmissingcomponent.","pages":[18,19,52,86]},{"observation":"NCD1.1onefullclaim-freeyearnextanniversary;1.2explicitfirstentitlementonlysecondanniversary. Keepbothliteralconditions;1.2maylimitfirstentitlement,notassertindependentcontradictionoroverwriteasfirstanniversary.","pages":[46,80]},{"observation":"EnglishboxingexampleomittedMalaybutbroadunlisted/hazardoussportsclausesremain;notautomaticboxingcoverage.","pages":[40,74]},{"observation":"Spinalcordinjuryconfirmedbothlanguages;EnglishkneecapsexclusionversusMalaylutut(knee)retainedboundedtranslationissue,notmedicalcoverageopinion.","pages":[47,81]},{"observation":"Allcontributioncellsconfirmedincludingcrowded500k/600krows;historical6%GSTtablesretainedwithoutcurrenttax/rateadoptionclaim.","pages":[25,26,27,28,58,59,60,61]}]</t>
  </si>
  <si>
    <t xml:space="preserve">delivery-batch25-20261026/group1/014-result.json#/clarifications</t>
  </si>
  <si>
    <t xml:space="preserve">execution-evidence.json#/batches/B25/documents/group1~1014-result.json/clarifications</t>
  </si>
  <si>
    <t xml:space="preserve">ec69b7c3f3d887098ea09983d5726cbc8f2a7f27a813fb57894f01f0c6a24fa4</t>
  </si>
  <si>
    <t xml:space="preserve">"Page1 initial144dpi provisionalduplicateCIMB impression correctedat216dpi toCIMB+CIMBI; originalnoteandtimestampretained. Englishrenewal1.1secondYEARversusMalaysecondANNIVERSARYconfirmedat216dpi. 50 targetedpagechecks recorded; allotherclarificationsretainliteralwordingandexplicitreplacementscope."</t>
  </si>
  <si>
    <t xml:space="preserve">delivery-batch25-20261026/group1/014-result.json#/correction_basis</t>
  </si>
  <si>
    <t xml:space="preserve">execution-evidence.json#/batches/B25/documents/group1~1014-result.json/correction_basis</t>
  </si>
  <si>
    <t xml:space="preserve">3b10a4952a74501b36b4e9dd390102b9202b196a63ba7b39679c872d1340c5cc</t>
  </si>
  <si>
    <t xml:space="preserve">["Currentadoption/personalholder/certificate/optionalriderselection/baseeditionnotestablished;notfileprimaryblockbyitself.","Unresolvedoperativebilingualfundexpense,medical/ambulanceoffsetandrenewalbonustiming;noexpresslanguagepriority.","UndatedOFSdate,externalcurrenttax/law/contactvalidityandactualclaimoutcomenotverified."]</t>
  </si>
  <si>
    <t xml:space="preserve">delivery-batch25-20261026/group1/014-result.json#/preserved_uncertainties</t>
  </si>
  <si>
    <t xml:space="preserve">execution-evidence.json#/batches/B25/documents/group1~1014-result.json/preserved_uncertainties</t>
  </si>
  <si>
    <t xml:space="preserve">1d906b6de27e157b91fdac82b80b3499dfe29c4a49c4d818e1ceca5a463965f9</t>
  </si>
  <si>
    <t xml:space="preserve">"Materialunresolvedoperativebilingualoffset/expense/bonustiming differences;notpersonalcertificateorcurrentadoptionabsence."</t>
  </si>
  <si>
    <t xml:space="preserve">delivery-batch25-20261026/group1/014-result.json#/strict_blocker_basis</t>
  </si>
  <si>
    <t xml:space="preserve">execution-evidence.json#/batches/B25/documents/group1~1014-result.json/strict_blocker_basis</t>
  </si>
  <si>
    <t xml:space="preserve">6cf3dc0d2fa038c3faa2d0abc9440ff8c7bd49d6f1dc41c831206649e11cec56</t>
  </si>
  <si>
    <t xml:space="preserve">{"actual_present_pages":86,"all_present_pages_semantically_reviewed":true,"checked_at_utc":"2026-10-26T18:57:15.476484+00:00","copy_allowed":false,"display_denials":0,"member_bytes":1877079,"member_sha256":"07e92428d49c7362196cea9dd2d5137c071a4f5d243933863dd009736b8d3a94","metadata_matches":true,"needs_password":0,"ordinary_visual_display_pending":false,"ordinary_visual_display_succeeded":true,"pdfinfo_metadata":"Creator:         PDF-XChange Editor 6.0.322.7\nProducer:        PDF-XChange Core API SDK (6.0.322.7)\nCreationDate:    Wed Dec  4 18:51:00 2019 JST\nModDate:         Wed Dec  4 18:52:13 2019 JST\nCustom Metadata: no\nMetadata Stream: yes\nTagged:          no\nUserProperties:  no\nSuspects:        no\nForm:            none\nJavaScript:      no\nPages:           86\nEncrypted:       yes (print:yes copy:no change:no addNotes:no algorithm:RC4)\nPage size:       595.32 x 841.92 pts (A4)\nPage rot:        0\nFile size:       1877079 bytes\nOptimized:       no\nPDF version:     1.7\n","pdfinfo_returncode":0,"permissions":-3388,"permissions_unchanged":true,"print_allowed":true,"source_archive_sha256":"d8dd60e6ef6061e4984143b9d891b5dd848b86f8833f800902ad758355a66515","task_id":"B25-MY-014","text_extraction_OCR_printing_unlocking_permission_changes":false}</t>
  </si>
  <si>
    <t xml:space="preserve">delivery-batch25-20261026/group1/014-preflight.json#</t>
  </si>
  <si>
    <t xml:space="preserve">execution-evidence.json#/batches/B25/documents/group1~1014-preflight.json</t>
  </si>
  <si>
    <t xml:space="preserve">797aaf4adcc24d70bc9aa9abf85b8cca81d983adde99bfa326f9cda2f37b5748</t>
  </si>
  <si>
    <t xml:space="preserve">{"actual_present_physical_pages":74,"all_pages_reviewed":true,"cleanup_reference":{"bytes":18552,"path":"independent-qa.json#/batches/B25/documents/group3~1015-cleanup.json","sha256":"6586ac937b9b11065c5e919154e4fba652279aa5852b6537a7e78c60e45404fb"},"current_adoption_credit":0,"execution_result_reference":{"bytes":13610,"path":"execution-evidence.json#/batches/B25/documents/group3~1015-result.json","sha256":"e74299a8c16acfbb99e4db73e86629bee2e9cedf865e1b044496e78f07bb5a4a"},"file_level_primary_role_previously_accepted":true,"formal_mutations":false,"full_content_review_complete":true,"full_review_accepted":true,"gap_closure_credit":0,"independent_QA":true,"new_original":0,"new_primary":0,"new_product":0,"original_id":"regional-20261025-5c9d9aea70f4e52f","package_complete_credit":0,"page_proof_reference":{"bytes":32107,"path":"independent-qa.json#/batches/B25/documents/group3~1015-page-proof.jsonl","sha256":"7b4004258cb7b459282d220350daf9a8833148777a55c09d2e67c27a5846ffd6"},"prior_task_id":"B18-MY-005","qa_result_reference":{"bytes":12493,"path":"independent-qa.json#/batches/B25/documents/group3~1015-result.json","sha256":"b217dd4c2fbb976f252a5d436adc933cbdeae2ea1342498936e5808823af1c35"},"queue_id":"PENDING-5c9d9aea70f4e52f","region_code":"MY","review_status":"full","sha256":"5c9d9aea70f4e52f5d2e22e6e4db67319521fb603799f0d244151003d90e7903","source_archive_sha256":"d8dd60e6ef6061e4984143b9d891b5dd848b86f8833f800902ad758355a66515","source_insurer_preserved":"Sun Life Malaysia Takaful Berhad","strict_eligible":false,"strict_status":"needs_review","strict_verified":false,"target":"Sun Power Secure Master Contract","task_id":"B25-MY-015","verification_status":"needs_review"}</t>
  </si>
  <si>
    <t xml:space="preserve">{"bytes":12493,"path":"independent-qa.json#/batches/B25/documents/group3~1015-result.json","sha256":"b217dd4c2fbb976f252a5d436adc933cbdeae2ea1342498936e5808823af1c35"}</t>
  </si>
  <si>
    <t xml:space="preserve">qa-b25-full-review-20261026/issues-and-clarifications.json#/files/14/current_QA_result</t>
  </si>
  <si>
    <t xml:space="preserve">independent-qa.json#/batches/B25/documents/issues-and-clarifications.json/files/14/current_QA_result</t>
  </si>
  <si>
    <t xml:space="preserve">14247477cd6af45f9f39082ccb629cc96da40ce21e9a25b85fd0ff83d805d7ed</t>
  </si>
  <si>
    <t xml:space="preserve">qa-b25-full-review-20261026/issues-and-clarifications.json#/files/14/final_status</t>
  </si>
  <si>
    <t xml:space="preserve">independent-qa.json#/batches/B25/documents/issues-and-clarifications.json/files/14/final_status</t>
  </si>
  <si>
    <t xml:space="preserve">[{"blocking":true,"finding":"2019 PA00316.3 EN other DIRECT CLAIMS-related expenses; MS other expenses related to fund omits directclaims qualifier. Same replacement layer/no languagepriority seen; expense scope remains unresolved, no actual impropercharge alleged.","id":"015-QA-F1","pages":[1,3]},{"blocking":true,"finding":"PA0101.3 after whole/partialreimbursement trigger EN thirdparty amount PAYABLE versus MS TELAH DIBAYAR alreadyPAID. Partially paid claim with further owedbalance can produce differingoffsets; no priority/correction.","id":"015-QA-F2","pages":[44,72]},{"blocking":true,"finding":"PA0081.1 EN 10% from second certificate YEAR versus MS second ANNIVERSARY. Both tables year1=0/year2=10/year3+=20. At year2 afterfirstanniversary prose/table can differ; no precedence or correctiveendorsement. 2018 onlyreplaces1.3 scope,not1.1. This is actual competing sameperiodbonus,not merely designintent.","id":"015-QA-F3","pages":[42,70,8,14]},{"blocking":false,"finding":"NCD not renewalbonus: both expressly FIRSTentitlement secondanniversary, generalnextanniv subjectthat specificfirsteligibility. Do not conflate withF3 or silentlycallNCDsecondyear.","id":"015-QA-C1","pages":[43,71]},{"blocking":false,"finding":"OFSendorsement callsPA013 but uniqueimportantnotice/FMB component isPA012. Boundedcodeerror,notmissingcomponent. Endorsementundated/currentcontactadoptionunknownnotsoleveto.","id":"015-QA-C2","pages":[18,19,46,74]},{"blocking":false,"finding":"2019wholefund/surplus readsequentially; no doubleQard inference.50/50afterQard/yearendnonlapsednonsurrendered/no claimorbenefit/&lt;=10bankelsecharity.","id":"015-QA-C3","pages":[1,2,3,4]},{"blocking":false,"finding":"2018notwithstanding infectiondeath/TPD specificgrant overrides oldaccidentcause/infectionexclusions; not impossiblecover. SID30daywindow ONLYLASTREINSTATEMENT;TPD2m/expresslowerTPDproportionatedeathresidual;180daysdefinition/sixmonthsproofretainedliterally. ENacute/MSteruk andENdirectdeath/MSdue preservednonidenticaldescriptors,no inventedseveritythreshold/indirectcover.","id":"015-QA-C4","pages":[5,6,8,9,10,11,12,14,15,16,28,29,56,57]},{"blocking":false,"finding":"Both NOTMORE104weeks.1.7 ENpaid reducesbasic/MSyangAKANdibayar willbepaid; preservetense nuance,no automaticseparateunpaid-entitlementoffset assumed. Bothacceleratebasic/cap100/terminationbenefitpaid.","id":"015-QA-C5","pages":[45,73]},{"blocking":false,"finding":"BoxingwordonlyEN butunlistedsports/hazardcatchallboth; no inferredboxingcoverage. Genericbenefit/monthlycontribution/wakalah tablespresent;60daygrace/fullfreelookrefund15 confirmed; personalcert/adoptionunknownnotsoleveto.","id":"015-QA-C6","pages":[37,65,23,24,25,50,51,52,31,59]}]</t>
  </si>
  <si>
    <t xml:space="preserve">qa-b25-full-review-20261026/issues-and-clarifications.json#/files/14/independent_findings</t>
  </si>
  <si>
    <t xml:space="preserve">independent-qa.json#/batches/B25/documents/issues-and-clarifications.json/files/14/independent_findings</t>
  </si>
  <si>
    <t xml:space="preserve">e7a6938177916e500616c694f7dd34f78c86e151c5d4aa22b9c896e30eab7fc3</t>
  </si>
  <si>
    <t xml:space="preserve">[{"basis":"Own216p34/62","correction":"FullclauseallowsretakafulORreinsurance; approvalspecifictoRETAKAFUL inthisfile. Do notextendapprovalsentence tobothorimportreinsuranceonlyfromotherproducts.","field":"015-page-proof.jsonl p34/p62","original":"retakaful/reinsuranceShariahapproval / retakafulShariahapproval"},{"basis":"Own216p8/14/15/16","correction":"Malayopeningp14 says akibat(due), notexplicitsecara langsung; p15continuesamount. DirectlyexplicitEN8 andMS16TPD. Preserveboundednuancenotbroaderindirectcoverinference.","field":"015-zoom-confirmation.json p15 and pageproof p15","original":"Directspecifiedinfectiondeath"},{"basis":"Own216p42/70 and2018p8/14","correction":"Independentlyconfirmedoriginalandcorrectedfacts; tablealone didnotcaptureoperative1.1difference. Retaininitialnoteandexecutioncorrectionwithouteditingfrozeninput; acceptF3.","field":"executioninitial/correction fields p42 and correction-register","original":"Initialtableyear1zero/year2ten/year3onward20 note subsequently expandedwithYEAR/ANNIVERSARYdifference"},{"basis":"74ownsemanticproofs and47own216 confirmations","correction":"Allcheckedagainstindependentoriginalread; execution3findingsacceptedwithboundedanalysisabove,6clarificationsretainedqualifiedasabove. No sourcechanges.","field":"all execution metadata/non-note fact audit","original":"Allresultfields,74sourcepageproofrows includinginitial/clarification/correction_basis,53sourcezoomfacts and015registerentry"}]</t>
  </si>
  <si>
    <t xml:space="preserve">qa-b25-full-review-20261026/issues-and-clarifications.json#/files/14/metadata_corrections</t>
  </si>
  <si>
    <t xml:space="preserve">independent-qa.json#/batches/B25/documents/issues-and-clarifications.json/files/14/metadata_corrections</t>
  </si>
  <si>
    <t xml:space="preserve">505d5c978c3082b3759f38107a5324d808ff26fd859e775bee0fc30633ba7e5e</t>
  </si>
  <si>
    <t xml:space="preserve">qa-b25-full-review-20261026/issues-and-clarifications.json#/files/14/qa_notes</t>
  </si>
  <si>
    <t xml:space="preserve">independent-qa.json#/batches/B25/documents/issues-and-clarifications.json/files/14/qa_notes</t>
  </si>
  <si>
    <t xml:space="preserve">"74actualpages independentlyread. Unresolved expensequalifier, thirdpartyoffset and renewalprosetiming differences warrantreview. Personalcertificate/currentadoption absence notsoleblock;genericfee/benefitschedulespresent."</t>
  </si>
  <si>
    <t xml:space="preserve">qa-b25-full-review-20261026/issues-and-clarifications.json#/files/14/strict_basis</t>
  </si>
  <si>
    <t xml:space="preserve">independent-qa.json#/batches/B25/documents/issues-and-clarifications.json/files/14/strict_basis</t>
  </si>
  <si>
    <t xml:space="preserve">080e44dd7f96009b1e97db7852ea238e51e4694bb442f4aaada5acdceee68aef</t>
  </si>
  <si>
    <t xml:space="preserve">"B25-MY-015"</t>
  </si>
  <si>
    <t xml:space="preserve">qa-b25-full-review-20261026/issues-and-clarifications.json#/files/14/task_id</t>
  </si>
  <si>
    <t xml:space="preserve">independent-qa.json#/batches/B25/documents/issues-and-clarifications.json/files/14/task_id</t>
  </si>
  <si>
    <t xml:space="preserve">6168ac0b2356fd99c2820f4824a141cd32063d33e7c31e88f8f976c70fc8eaf3</t>
  </si>
  <si>
    <t xml:space="preserve">{"code_limitation":"Master number retained literally, not presumed revisiondate.","document_title":"Sun Power Secure (A plan under Takaful LifeStyle PA series)","master_contract_number":"TUNE-SPS001-11042016","operator":"Sun Life Malaysia Takaful Berhad"}</t>
  </si>
  <si>
    <t xml:space="preserve">delivery-batch25-20261026/group3/015-result.json#/observed_identity</t>
  </si>
  <si>
    <t xml:space="preserve">execution-evidence.json#/batches/B25/documents/group3~1015-result.json/observed_identity</t>
  </si>
  <si>
    <t xml:space="preserve">3ddc4d38ebfe4523f90c2909c2aafe78e7a1a163f23e3d270b26f5712d8feede</t>
  </si>
  <si>
    <t xml:space="preserve">[{"component":"Endorsement02/2019 effective1July2019","languages":"English/Malay","physical_pages":"1–4","replacement":"PA003Qard definition,15.1 netwakalah transfer,whole16fund and17surplus replace base."},{"component":"Endorsement01/2018 effective1July2018","languages":"English/Malay","physical_pages":"5–17","replacement":"PA002 infectiousdeath/TPD benefits; PA003 specifiedinfection definition/interpretation/permissibleinterest/incontestability/changes/assignment/law/jurisdiction; PA0081.3 scope expanded; SID001infectiousdeath andSID002infectiousTPD added."},{"component":"Undated importantnotice endorsement","languages":"English/Malay","physical_pages":"18–19","replacement":"FMB replacedOFS, target wronglycodedPA013 while unique actualimportantnotice PA012present."},{"component":"Cover+printed1–26 basePA001–012 incl3pagePA002benefit/contribution/wakalahschedule","languages":"English","physical_pages":"20–46","replacement":"Read subjectexpress2018/2019 replacements."},{"component":"Cover+printed1–27 basePA001–012 incl3pagePA002schedule","languages":"Malay","physical_pages":"47–74","replacement":"Read subjectexpress2018/2019 replacements."}]</t>
  </si>
  <si>
    <t xml:space="preserve">delivery-batch25-20261026/group3/015-result.json#/components</t>
  </si>
  <si>
    <t xml:space="preserve">execution-evidence.json#/batches/B25/documents/group3~1015-result.json/components</t>
  </si>
  <si>
    <t xml:space="preserve">fdddcfe5f40df5f1751bad504729605b0dca844f762f76d7f678ec075d4bec23</t>
  </si>
  <si>
    <t xml:space="preserve">[1,2,3,4,33,60,61]</t>
  </si>
  <si>
    <t xml:space="preserve">{"fact":"2019 netwakalah contributions to riskfund; deficitQard repaidonprofitability; distributablesurplus afterQard shared50/50operator/owners; claimfree owner eligibility andnotlapsed/notsurrenderedbeforeyearend, annual&lt;=RM10 latestbankelseapprovedcharity. Sequentialclauses do notestablish doubleQarddeduction.","pages":[1,2,3,4,33,60,61]}</t>
  </si>
  <si>
    <t xml:space="preserve">delivery-batch25-20261026/group3/015-result.json#/content_summary/0</t>
  </si>
  <si>
    <t xml:space="preserve">execution-evidence.json#/batches/B25/documents/group3~1015-result.json/content_summary/0</t>
  </si>
  <si>
    <t xml:space="preserve">7bb3585144302141ad0b675936e50cb26fec669c40b2172923a936e460d5c401</t>
  </si>
  <si>
    <t xml:space="preserve">[5,6,8,9,10,11,12,14,15,16,17]</t>
  </si>
  <si>
    <t xml:space="preserve">{"fact":"2018 addsinfectiousdeath/TPD100k/200k/300k; avianH5N1/H7N9 PCR,chikungunyaIgM/PCR,dengueIgM/PCR,JapaneseencephalitisIgM,malariaparasite,ZikaPCR diagnosis/equivalenttest; directcausationanddoctorproof. Lastreinstatement30daywaiting, nonlistedcause/preexistingexcluded. InfectiousTPDaggregatealloperatorRM2m; lowerTPDpreservesproportionaldeathcover;6monthminimumduration,30daynotice,proofclaimantcost/examoperatorcost.","pages":[5,6,8,9,10,11,12,14,15,16,17]}</t>
  </si>
  <si>
    <t xml:space="preserve">delivery-batch25-20261026/group3/015-result.json#/content_summary/1</t>
  </si>
  <si>
    <t xml:space="preserve">execution-evidence.json#/batches/B25/documents/group3~1015-result.json/content_summary/1</t>
  </si>
  <si>
    <t xml:space="preserve">7da477568316b51988fb91dd69540a997e2f44eb506556a443187bdb62c428d3</t>
  </si>
  <si>
    <t xml:space="preserve">[7,8,13,14]</t>
  </si>
  <si>
    <t xml:space="preserve">{"fact":"2018 permissibleinterestproof/transfer; IFSA2013Schedule9onlymisrepremedies;2yearincontestabilityexceptfraud/nonpayment/reinstatement; regulatorynotice/authorizedendorsement; registeredassignment,operatorfirstcharge/setoff; Malaysialaw/courts. Literal nolegalaction BEFORE expiry2yearsfromevent in bothlanguages, not after-deadline rule; no legalvalidityopinion.","pages":[7,8,13,14]}</t>
  </si>
  <si>
    <t xml:space="preserve">delivery-batch25-20261026/group3/015-result.json#/content_summary/2</t>
  </si>
  <si>
    <t xml:space="preserve">execution-evidence.json#/batches/B25/documents/group3~1015-result.json/content_summary/2</t>
  </si>
  <si>
    <t xml:space="preserve">9d7383933f1e8eaa5cdfc0c69418e4aa2f614c3833b53b75dd3de71cae596fc1</t>
  </si>
  <si>
    <t xml:space="preserve">[23,24,25,50,51,52]</t>
  </si>
  <si>
    <t xml:space="preserve">{"fact":"PresentPA002schedule: accidentaldeath/TPD100k/200k/300k; publicconveyanceadditional100%; renewalmax20%; noclaim20%; RiderAmedicalannual2k/4k/6k; weekly80%earningscap350/700/1050. Allmonthlyprincipal/spouse/familybasicandRiderA pricecells readbothlanguages, historicGST6%inclusive/exclusivevalues retainednotcurrenttaxassertion. Wakalahyear1=80%,thereafter70%.","pages":[23,24,25,50,51,52]}</t>
  </si>
  <si>
    <t xml:space="preserve">delivery-batch25-20261026/group3/015-result.json#/content_summary/3</t>
  </si>
  <si>
    <t xml:space="preserve">execution-evidence.json#/batches/B25/documents/group3~1015-result.json/content_summary/3</t>
  </si>
  <si>
    <t xml:space="preserve">6f5912ebc4279255ce49d98c5bccfe60cfda989c55f1f0ebd4d73fdff6a3cb5d</t>
  </si>
  <si>
    <t xml:space="preserve">[26,27,28,29,53,54,55,56,57]</t>
  </si>
  <si>
    <t xml:space="preserve">{"fact":"Accident soleexternalviolentvisiblecause; TPD180daysownorotherfittedwork/specifiedirreversibleloss, nonworkingage&gt;=6 threeof6ADLs; endsannivafter64birthday. 2018notwithstandinginfectioncover overrides accidentcause andoldinfectionexclusions forspecifiedbenefit; not impossibility. Publicconveyance regularlicensedpayingtransport inclscheduledairportlimousine; hospital6hroomchargeand24hnursing/surgerycriteria.","pages":[26,27,28,29,53,54,55,56,57]}</t>
  </si>
  <si>
    <t xml:space="preserve">delivery-batch25-20261026/group3/015-result.json#/content_summary/4</t>
  </si>
  <si>
    <t xml:space="preserve">execution-evidence.json#/batches/B25/documents/group3~1015-result.json/content_summary/4</t>
  </si>
  <si>
    <t xml:space="preserve">b588d687aedaa9576c0d870e9eb0be83d8fcf9bded881cbffdc72cb86e5f0ee3</t>
  </si>
  <si>
    <t xml:space="preserve">[30,31,32,57,58,59,60]</t>
  </si>
  <si>
    <t xml:space="preserve">{"fact":"Disclosurecare/update; approvedschemechange nextanniv; childcovermin30days; holderrights; freelook15daysdeliveryrefund; ratesnextanniv60daynotice;60dayinclusivegracecoverinforce thenlapsewithoutvalue; debtsetoff. Reinstatementdiscretionwithin2years arrears/form/info; wrongageoutsideeligible claimlimitedcontrib; nominee&gt;=16executor/conditionalhibah.","pages":[30,31,32,57,58,59,60]}</t>
  </si>
  <si>
    <t xml:space="preserve">delivery-batch25-20261026/group3/015-result.json#/content_summary/5</t>
  </si>
  <si>
    <t xml:space="preserve">execution-evidence.json#/batches/B25/documents/group3~1015-result.json/content_summary/5</t>
  </si>
  <si>
    <t xml:space="preserve">eb4212e402c98572615d6c330684407fc2a41b27ee6ba2bc97a94d1f696d4a2a</t>
  </si>
  <si>
    <t xml:space="preserve">[34,35,36,61,62,63,64]</t>
  </si>
  <si>
    <t xml:space="preserve">{"fact":"Conditionalannualrenewal/ratesnonguaranteed60daynotice; productwithdrawalcontinueuntilnextanniv; claimnotice30daysevent/proof30afternotice. Recreationspecifiedonly, norace/speed/duration/professional; grades1–2canoe/kayak/raft andlistedconditions. Cancellationpostfreelooknextcontributiondate no refund; certificateendsprincipaldeath/TPD/nonpay/cancel/annivafter70; childterminationattaining21or23fulltimestudy readasspecificlimit.","pages":[34,35,36,61,62,63,64]}</t>
  </si>
  <si>
    <t xml:space="preserve">delivery-batch25-20261026/group3/015-result.json#/content_summary/6</t>
  </si>
  <si>
    <t xml:space="preserve">execution-evidence.json#/batches/B25/documents/group3~1015-result.json/content_summary/6</t>
  </si>
  <si>
    <t xml:space="preserve">1e933a7099b0673a0e4a89b2c74bf46e5bd5a75625bf0267c5fa5ff62d0279a4</t>
  </si>
  <si>
    <t xml:space="preserve">[37,38,65,66]</t>
  </si>
  <si>
    <t xml:space="preserve">{"fact":"Base excludes selfharmanymentalstate,intox/crime/brawl,war/terrorvictim,underwater&gt;30m,aircraft exceptscheduledfarepayingcommercial,businessmotorcycling,unlistedsport/hazards inclwork&gt;15m,radioactivity,disease/pregnancy/AIDS/preexisting,mosquito/infections; specific2018infectionaddition governscontraryoldterms. Spouselegal/stepfamilyconditions andfulltimestudy21–23.","pages":[37,38,65,66]}</t>
  </si>
  <si>
    <t xml:space="preserve">delivery-batch25-20261026/group3/015-result.json#/content_summary/7</t>
  </si>
  <si>
    <t xml:space="preserve">execution-evidence.json#/batches/B25/documents/group3~1015-result.json/content_summary/7</t>
  </si>
  <si>
    <t xml:space="preserve">a6512d9aabf0dacf6d5e6ac62999378379ed53f0a7f58a8c0ce1a420a9a46251</t>
  </si>
  <si>
    <t xml:space="preserve">[39,40,41,67,68,69]</t>
  </si>
  <si>
    <t xml:space="preserve">{"fact":"Accidentaldeathwithin180days,sumlessdebt/prioracceleratedbenefit; disappearance365days+accidentevidence/refundifalive. Publicsameaccidentadditional100%. AccidentalTPDwithin180days, accidentage&gt;=6; terminationTPD/eligibility/annivafter64.","pages":[39,40,41,67,68,69]}</t>
  </si>
  <si>
    <t xml:space="preserve">delivery-batch25-20261026/group3/015-result.json#/content_summary/8</t>
  </si>
  <si>
    <t xml:space="preserve">execution-evidence.json#/batches/B25/documents/group3~1015-result.json/content_summary/8</t>
  </si>
  <si>
    <t xml:space="preserve">3596c6bd7c21a949e18f001e17c5a289f844d39e038fceedc1fa65ece1fcabda</t>
  </si>
  <si>
    <t xml:space="preserve">[42,43,70,71]</t>
  </si>
  <si>
    <t xml:space="preserve">{"fact":"Renewal tables year1zero/year2ten/year3+20%, paidrenewal andschemereset. 2018 expandsbasicbenefits viaPA0081.3only. Noclaimallpersonsclaimfreefullyear20%nextanniv, noncum; firstentitlement expresslySECONDanniversarybothlanguages, changedplan/schemeorapprovedclaimremovesnextanniv.","pages":[42,43,70,71]}</t>
  </si>
  <si>
    <t xml:space="preserve">delivery-batch25-20261026/group3/015-result.json#/content_summary/9</t>
  </si>
  <si>
    <t xml:space="preserve">execution-evidence.json#/batches/B25/documents/group3~1015-result.json/content_summary/9</t>
  </si>
  <si>
    <t xml:space="preserve">99087d959d3c2c215cda5b844353376c7a6d843dbad80ff9422fd004f5c1daf4</t>
  </si>
  <si>
    <t xml:space="preserve">[44,45,72,73]</t>
  </si>
  <si>
    <t xml:space="preserve">{"fact":"OptionalRiderAmedical: firstcare48h/subsequent180days, medicallynecessaryusualreasonable,originalbills,annualnoncumreinstatement; thirdpartyoffset issue preserved. Weeklyoptionalacceleratesbasicsum; TTDonset20days,80%weeklyearningscap,NOTMORETHAN104weeks/injuryfromfirstdoctor, total&lt;=100%basic, oneclaim/event, futurebasicreduced. Claimremovesnoclaimdiscountnextanniv.","pages":[44,45,72,73]}</t>
  </si>
  <si>
    <t xml:space="preserve">delivery-batch25-20261026/group3/015-result.json#/content_summary/10</t>
  </si>
  <si>
    <t xml:space="preserve">execution-evidence.json#/batches/B25/documents/group3~1015-result.json/content_summary/10</t>
  </si>
  <si>
    <t xml:space="preserve">0c44dffddf0e7249c9988aad0cfa978db3c033799fdba833187799aa72a28442</t>
  </si>
  <si>
    <t xml:space="preserve">[{"finding_id":"015-F1","impact":"Unresolved same-layer fundexpense scope; no expresslanguagepriority found.","issue":"2019PA00316.3 English other DIRECT CLAIMS RELATED expenses; Malay other expenses relatedtoriskfund without directclaims qualifier.","physical_pages":[1,3]},{"finding_id":"015-F2","impact":"Potential different coordination-of-benefit amount; no priority/correction found.","issue":"PA0101.3 English offset amount PAYABLE bythirdparty afterwholly/part reimbursement trigger; Malay offset amount ALREADYPAID (telahdibayar).","physical_pages":[44,72]},{"finding_id":"015-F3","impact":"Table corroboratesyearscale but operativeMalaytiming remainsuncorrected; authoritativeclarification needed ratherthansilentrewrite.","issue":"PA0081.1 English10%fromsecondcertificateYEAR; MalaysecondANNIVERSARY. Bothtablesyear2=10%year3+=20%;2018onlyreplaces1.3.","physical_pages":[42,70]}]</t>
  </si>
  <si>
    <t xml:space="preserve">delivery-batch25-20261026/group3/015-result.json#/substantive_findings</t>
  </si>
  <si>
    <t xml:space="preserve">execution-evidence.json#/batches/B25/documents/group3~1015-result.json/substantive_findings</t>
  </si>
  <si>
    <t xml:space="preserve">de9f7c9b24c1f17bde9f85346a596f427694d928d2afad40c2e2f1a25edba972</t>
  </si>
  <si>
    <t xml:space="preserve">[{"clarification":"Importantnotice endorsement PA013code differsactualPA012; uniqueheadingandFMBentityidentify intendedpresentcomponent, boundedcross-reference defect notmissingcomponent.","pages":[18,19,46,74]},{"clarification":"2018notwithstandingaddition coversspecifiedinfectiondeath/TPD notwithstandingoldaccidentdefinition/infectionexclusions; no impossiblecover orinvalidity inferred.","pages":[5,6,9,10,11,12,16,17,28,29,38,56,57,66]},{"clarification":"Fundsurplus/Qard clauses readsequentially; no doubleQarddeduction inferred.","pages":[1,2,3,4]},{"clarification":"Malay hazardavocationlist omitsEnglishboxingword, but nonlistedrecreations/generalhazardexclusion remains; not independentmaterialcoverageconflict.","pages":[37,65,35,63]},{"clarification":"English PA0081.1 says second certificate YEAR; Malay p70 says second ANNIVERSARY, although both tables show year2=10%,year3+=20%. Table does not expressly correct operative prose.","correction_basis":"Independent216dpi comparison of physical42/70 and2018replacementscope PA0081.3 only.","pages":[42,70]},{"clarification":"Bothlanguages capweeklybenefit NOTMORETHAN104weeks; no negation mismatch.","pages":[45,73]}]</t>
  </si>
  <si>
    <t xml:space="preserve">delivery-batch25-20261026/group3/015-result.json#/clarifications</t>
  </si>
  <si>
    <t xml:space="preserve">execution-evidence.json#/batches/B25/documents/group3~1015-result.json/clarifications</t>
  </si>
  <si>
    <t xml:space="preserve">069166e8d865d2b008c3d1f00e913acc29b952243dbd47a56c9aad8b09e6881e</t>
  </si>
  <si>
    <t xml:space="preserve">[{"clarification":"English PA0081.1 says second certificate YEAR; Malay p70 says second ANNIVERSARY, although both tables show year2=10%,year3+=20%. Table does not expressly correct operative prose.","correction_basis":"Independent216dpi comparison of physical42/70 and2018replacementscope PA0081.3 only.","initial_note_before_zoom_correction":"Year1zero/year2ten/year3onward20%bonuslevelthereafter,renewalcontributionpaid;schemechangeresetsfirstyear.1.3benefitlist expresslyexpanded2018toinfectiondeath/TPD.","pages":[42,70]}]</t>
  </si>
  <si>
    <t xml:space="preserve">delivery-batch25-20261026/group3/015-result.json#/correction_basis</t>
  </si>
  <si>
    <t xml:space="preserve">execution-evidence.json#/batches/B25/documents/group3~1015-result.json/correction_basis</t>
  </si>
  <si>
    <t xml:space="preserve">f54f8bc5e8693e65b7a5da5e902919f2b4a35a0b45a774d799939678510afdd4</t>
  </si>
  <si>
    <t xml:space="preserve">["Sourceeditioncurrentadoption andindividualissuedcertificate notestablished; basebenefitschedule ispresent butnotpersonalcertificate.","No expressEnglish/Malaylanguagepriorityfound.","Mastercode suffixnotpresumeddate; undatedOFSendorsement effectivedate unspecified.","HistoricGST/statutoryreferences readasdocumenttext notexternallyvalidatedcurrentlaw."]</t>
  </si>
  <si>
    <t xml:space="preserve">delivery-batch25-20261026/group3/015-result.json#/preserved_uncertainties</t>
  </si>
  <si>
    <t xml:space="preserve">execution-evidence.json#/batches/B25/documents/group3~1015-result.json/preserved_uncertainties</t>
  </si>
  <si>
    <t xml:space="preserve">ba51afbf4b47023ccdf8bee13612d6a714003b5df39adc5fe25637fc1f873ecf</t>
  </si>
  <si>
    <t xml:space="preserve">["015-F1fundexpensequalification and015-F2thirdpartyoffset remain materiallydifferentbilingualoperativewording.","015-F3renewalprosetiming conflictswithparallelwording/table without expresscorrection."]</t>
  </si>
  <si>
    <t xml:space="preserve">delivery-batch25-20261026/group3/015-result.json#/strict_blocker_basis</t>
  </si>
  <si>
    <t xml:space="preserve">execution-evidence.json#/batches/B25/documents/group3~1015-result.json/strict_blocker_basis</t>
  </si>
  <si>
    <t xml:space="preserve">7d825898dd4f72dc217cd261b574595a6dc0a3e055ba2349d86c2350a72b3656</t>
  </si>
  <si>
    <t xml:space="preserve">{"actual_present_pages":74,"all_present_pages_semantically_reviewed":true,"checked_at_utc":"2026-10-26T19:36:26.101211+00:00","copy_allowed":false,"display_denials":0,"member_bytes":1827316,"member_sha256":"5c9d9aea70f4e52f5d2e22e6e4db67319521fb603799f0d244151003d90e7903","metadata_matches":true,"needs_password":0,"ordinary_visual_display_pending":false,"ordinary_visual_display_succeeded":true,"pdfinfo_metadata":"Creator:         PDF-XChange Editor 6.0.322.7\nProducer:        PDF-XChange Core API SDK (6.0.322.7)\nCreationDate:    Wed Dec  4 19:01:27 2019 JST\nModDate:         Wed Dec  4 19:04:00 2019 JST\nCustom Metadata: no\nMetadata Stream: yes\nTagged:          no\nUserProperties:  no\nSuspects:        no\nForm:            none\nJavaScript:      no\nPages:           74\nEncrypted:       yes (print:yes copy:no change:no addNotes:no algorithm:RC4)\nPage size:       595.32 x 841.92 pts (A4)\nPage rot:        0\nFile size:       1827316 bytes\nOptimized:       no\nPDF version:     1.7\n","pdfinfo_returncode":0,"permissions":-3388,"permissions_unchanged":true,"print_allowed":true,"source_archive_sha256":"d8dd60e6ef6061e4984143b9d891b5dd848b86f8833f800902ad758355a66515","task_id":"B25-MY-015","text_extraction_OCR_printing_unlocking_permission_changes":false}</t>
  </si>
  <si>
    <t xml:space="preserve">delivery-batch25-20261026/group3/015-preflight.json#</t>
  </si>
  <si>
    <t xml:space="preserve">execution-evidence.json#/batches/B25/documents/group3~1015-preflight.json</t>
  </si>
  <si>
    <t xml:space="preserve">f565efa9c2cbba3646f472ac8acbd6001ad8dcaa413b9c7642d0beda779efaa4</t>
  </si>
  <si>
    <t xml:space="preserve">{"actual_present_physical_pages":71,"all_pages_reviewed":true,"cleanup_reference":{"bytes":13748,"path":"independent-qa.json#/batches/B25/documents/group2-016-cleanup.json","sha256":"f2b811be7f4f4053c913c4de8359c67137d607058cf279fadbef2850e7eb229c"},"current_adoption_credit":0,"execution_result_reference":{"bytes":8737,"path":"execution-evidence.json#/batches/B25/documents/group2~1016-result.json","sha256":"3a348d7d74c2a244c13ed52de4d21ceb02ae20ec04608855791dfc6c60d35e38"},"file_level_primary_role_previously_accepted":true,"formal_mutations":false,"full_content_review_complete":true,"full_review_accepted":true,"gap_closure_credit":0,"independent_QA":true,"new_original":0,"new_primary":0,"new_product":0,"original_id":"regional-20261025-111bfab404a84d24","package_complete_credit":0,"page_proof_reference":{"bytes":33124,"path":"independent-qa.json#/batches/B25/documents/group2-016-page-proof.jsonl","sha256":"898307383fc1a7fd78d72ebc47e9ead82ade0bc3b9db34723781e0294a64cdf4"},"prior_task_id":"B18-MY-006","qa_result_reference":{"bytes":8640,"path":"independent-qa.json#/batches/B25/documents/group2-016-result.json","sha256":"d24929b94fb6105931c65babe5d8bf327fe1aa0d3c18ac236c5c78c3317cbb9e"},"queue_id":"PENDING-111bfab404a84d24","region_code":"MY","review_status":"full","sha256":"111bfab404a84d24abba9bd6c35b54789c4a9328d04cf48f0382d0fab9ed94ec","source_archive_sha256":"d8dd60e6ef6061e4984143b9d891b5dd848b86f8833f800902ad758355a66515","source_insurer_preserved":"Sun Life Malaysia Takaful Berhad","strict_eligible":false,"strict_status":"needs_review","strict_verified":false,"target":"Sun Power Shield-i Master Contract","task_id":"B25-MY-016","verification_status":"needs_review"}</t>
  </si>
  <si>
    <t xml:space="preserve">{"bytes":8640,"path":"independent-qa.json#/batches/B25/documents/group2-016-result.json","sha256":"d24929b94fb6105931c65babe5d8bf327fe1aa0d3c18ac236c5c78c3317cbb9e"}</t>
  </si>
  <si>
    <t xml:space="preserve">qa-b25-full-review-20261026/issues-and-clarifications.json#/files/15/current_QA_result</t>
  </si>
  <si>
    <t xml:space="preserve">independent-qa.json#/batches/B25/documents/issues-and-clarifications.json/files/15/current_QA_result</t>
  </si>
  <si>
    <t xml:space="preserve">c7ebf61a14b07d820fd6fadbed49cc9327bb835f0056bfe5cb805923fb2af321</t>
  </si>
  <si>
    <t xml:space="preserve">qa-b25-full-review-20261026/issues-and-clarifications.json#/files/15/final_status</t>
  </si>
  <si>
    <t xml:space="preserve">independent-qa.json#/batches/B25/documents/issues-and-clarifications.json/files/15/final_status</t>
  </si>
  <si>
    <t xml:space="preserve">qa-b25-full-review-20261026/issues-and-clarifications.json#/files/15/independent_findings</t>
  </si>
  <si>
    <t xml:space="preserve">independent-qa.json#/batches/B25/documents/issues-and-clarifications.json/files/15/independent_findings</t>
  </si>
  <si>
    <t xml:space="preserve">qa-b25-full-review-20261026/issues-and-clarifications.json#/files/15/metadata_corrections</t>
  </si>
  <si>
    <t xml:space="preserve">independent-qa.json#/batches/B25/documents/issues-and-clarifications.json/files/15/metadata_corrections</t>
  </si>
  <si>
    <t xml:space="preserve">["Full71physicalpages independently read; all source71page metadata including nonnote/prior/clarification/correction fields and37zoom confirmations reviewed against independent originals. Own targeted crops are not extra physical pages.","Needs_review: renewal PA0081.1 EN second certificate year versus MS second anniversary while both tables year2 ten percent, year3+twenty; 2018 changes only1.3, not1.1. NCD PA009 first second anniversary in BOTH, not automatically second year.","Needs_review: reinstatement EN10.3 reliance-only, MS10.3 explicitly false/withheld information -&gt; set aside/termination; EN10.4 incomplete do-this antecedent and10.5 refund still present. Do not infer no legal remedy.","Needs_review: PA011/012/013 clause1.4 BOTH begin already-reimbursed trigger; offset EN third-party payable vs MS already-paid. Independent216dpi39-41/68-70.","Additional scope: PA005/006/007 EN1.1 deduct debt AND prior accelerated optional benefit where applicable, MS1.1 debt only (33-35/62-64). Execution identifies PA005 only. No selected accelerated rider established and no actual payout/double-payment inference.","Independent lower-resolution apparent EN23 is gainfully employed mismatch WITHDRAWN:216dpi confirms is NOT gainfully employed matching MS52. Prior notes preserved in independent pageproof23/52. Execution earlier apparent missing EN6 SID002 exclusions also WITHDRAWN: all three present matching MS12; no missing exclusions issue.","2018July1SLM-SPS001-16032016 adds six specified infections100k/200k; SID002 only lower-TPD residual death ratio from onset, RM2m aggregate and disability minimum6months; no generic PA007 residual-death import.30days exclusions from last reinstatement, not inception. Legal before2years remains; no2020deletion in file.","No2019fund amendment in file: surplus50% afterqard/no claim or benefit; &lt;=RM10 charity only, do not import bank-first rule. 60daygrace/15freelook/2yrreinstate. Monthly contribution tables20/47 fully match inclusive historical6%GST, not current tax conclusion. Wakalah80first/70later.","OFS endorsement wrong PA013 identifier is bounded notice-contact error: actual PA013 corrective surgery and PA014 notice; not deletion of surgery. Boxing explicit EN vs absent named MS but broad hazardous-sports catchall prevents covered inference; child21/23 inclusive definition vs attaining termination retained. Full EN1-26/MS1-28 sequences.","Schedule/currentadoption unknown not sole strictfailure. No new original/primary/product/current adoption/package/gap credit. No formal source or index changes; only own temporary copies removed."]</t>
  </si>
  <si>
    <t xml:space="preserve">qa-b25-full-review-20261026/issues-and-clarifications.json#/files/15/qa_notes</t>
  </si>
  <si>
    <t xml:space="preserve">independent-qa.json#/batches/B25/documents/issues-and-clarifications.json/files/15/qa_notes</t>
  </si>
  <si>
    <t xml:space="preserve">1b845485e3944e02d5236e5c28a6054ca83448614baa7148c267cd5dcaf74a3f</t>
  </si>
  <si>
    <t xml:space="preserve">qa-b25-full-review-20261026/issues-and-clarifications.json#/files/15/strict_basis</t>
  </si>
  <si>
    <t xml:space="preserve">independent-qa.json#/batches/B25/documents/issues-and-clarifications.json/files/15/strict_basis</t>
  </si>
  <si>
    <t xml:space="preserve">"B25-MY-016"</t>
  </si>
  <si>
    <t xml:space="preserve">qa-b25-full-review-20261026/issues-and-clarifications.json#/files/15/task_id</t>
  </si>
  <si>
    <t xml:space="preserve">independent-qa.json#/batches/B25/documents/issues-and-clarifications.json/files/15/task_id</t>
  </si>
  <si>
    <t xml:space="preserve">24ca96db817b916d8f6d571e981bdc2e632f1a9d3a4487c782e7606e70c2a2b7</t>
  </si>
  <si>
    <t xml:space="preserve">{"base_edition_not_explicitly_established":true,"codes_are_not_personal_holder_evidence":true,"current_adoption_not_established":true,"insurer":"Sun Life Malaysia Takaful Berhad","master_contract_codes":["SLM-SPS001-16032016"],"product":"Sun PowerShield-i (a plan under Takaful Lifestyle PA Series)"}</t>
  </si>
  <si>
    <t xml:space="preserve">delivery-batch25-20261026/group2/016-result.json#/identity</t>
  </si>
  <si>
    <t xml:space="preserve">execution-evidence.json#/batches/B25/documents/group2~1016-result.json/identity</t>
  </si>
  <si>
    <t xml:space="preserve">004ba5358f8f8ebf264c47aaa1a662818c7818413e3e5da22b1bef3f42682dde</t>
  </si>
  <si>
    <t xml:space="preserve">[{"component":"bilingual01/2018effective1July2018,EN1-6/MS7-13","pages":"1-13"},{"component":"bilingualundatedOFScontactendorsement","pages":"14-15"},{"component":"ENcover+printed1-26allpresent,PA001-014","pages":"16-42"},{"component":"MScover+printed1-28allpresent,PA001-014","pages":"43-71"}]</t>
  </si>
  <si>
    <t xml:space="preserve">delivery-batch25-20261026/group2/016-result.json#/component_map</t>
  </si>
  <si>
    <t xml:space="preserve">execution-evidence.json#/batches/B25/documents/group2~1016-result.json/component_map</t>
  </si>
  <si>
    <t xml:space="preserve">05eaf5e5097d2fa363673114759df1204533bc2fe313934e6149897af0aeb4e8</t>
  </si>
  <si>
    <t xml:space="preserve">delivery-batch25-20261026/group2/016-result.json#/language_coverage</t>
  </si>
  <si>
    <t xml:space="preserve">execution-evidence.json#/batches/B25/documents/group2~1016-result.json/language_coverage</t>
  </si>
  <si>
    <t xml:space="preserve">{"benefits":"Two100k/200ktiersdeath/TPD,additionalpublictransportonesum;2018specifiedinfectiondeath/TPD. Basicsnatch250/500;conditionalridermedical2k/4k,ambulance500/1000,surgery1000/2000peryear. Renewal0/10/20tablewithtimingconflict;NCD20noncumfirstsecondanniversaryliteral.","fund_and_costs":"Wakalah80%year1/70%after;tabarrucontributionlesswakalah;generalfundinterestfreeqard;eligible50%surplusafterqard,no claim/benefit,&lt;=10charityonly.","limits_and_process":"15dayfreelookrefund,60daygrace/notice,2yearreinstate;TPD180dayspermanence/after64anniversary;death180days/disappearance365;infectionTPD2maggregate/sixmonthminimum,30dayslastreinstatementexclusion,smallerTPDdeathratio;medical48h/180days,ambulance180days,surgery18inclusive/180days;general70anniversarytermination."}</t>
  </si>
  <si>
    <t xml:space="preserve">delivery-batch25-20261026/group2/016-result.json#/operative_summary</t>
  </si>
  <si>
    <t xml:space="preserve">execution-evidence.json#/batches/B25/documents/group2~1016-result.json/operative_summary</t>
  </si>
  <si>
    <t xml:space="preserve">7bbdf5142bce7656ba0bec56d8d600e8465d11ec2035c078665719ef34c5e671</t>
  </si>
  <si>
    <t xml:space="preserve">[{"issue":"PA0081.1 ENsecondcertificateyear versusMSsecondanniversary;both tablesyear2=10%,year3+=20%. 2018only1.3revised.","pages":[36,65,4,10],"resolution":"Unresolved renewal timing;do notchooseone."},{"issue":"PA011/012/0131.4 bothlanguagesstartwithalready-reimbursedexpenses;ENexcessmeasureisthird-partyamountpayable,MSalready-paid amount.","pages":[39,40,41,68,69,70],"resolution":"Unresolved offset measure for medical/ambulance/surgery,notabsenceofreimbursementtrigger."},{"issue":"Reinstatement10.3ENtruth-reliance statement lacks explicit false/withheld-information set-aside/termination sentence presentMS;EN10.4has incomplete do-this antecedent.","pages":[26,55],"resolution":"Unresolved operative wording;neither no-remedies nor invalidity inferred."},{"issue":"Accidental-deathPA0051.1ENdeductsdebts andprioracceleratedoptionalbenefitswhereapplicable;MSexpresslydebts only.","pages":[33,62],"resolution":"Preserve discrepancy subjecttoactualapplicablerider;noactualacceleratedpayment/doublebenefitinferred."}]</t>
  </si>
  <si>
    <t xml:space="preserve">delivery-batch25-20261026/group2/016-result.json#/material_findings</t>
  </si>
  <si>
    <t xml:space="preserve">execution-evidence.json#/batches/B25/documents/group2~1016-result.json/material_findings</t>
  </si>
  <si>
    <t xml:space="preserve">837cbab3e316a216727be51467fce148011d06b5fde95ada71bb8353632d7548</t>
  </si>
  <si>
    <t xml:space="preserve">[{"clarification":"216dpi confirms EnglishSID002threeexclusionlimbsandheadingareallpresentandmatchMalay. Lower-resolutionapparentomissionwithdrawn;notamissingcomponent.","correction_basis":"Direct enlarged ordinaryvisual6/12;pageproofpriornote retained.","pages":[6,12]},{"clarification":"2018notwithstandingaddssixinfectiondeath/TPD;accident-onlydefinition/baseinfectionexclusionsdonotnullifyaddition. SmallerTPDdeathcontinuanceisspecificexceptiontogeneraltermination.","pages":[1,4,5,6,7,10,11,12,13,23,31,51,61]},{"clarification":"OFSendorsementmislabelsnoticePA013;actualPA013correctivesurgery,noticePA014. Clearcontactreplacementdoesnotdelete surgerybenefit.","pages":[14,15,41,42,70,71]},{"clarification":"No2019endorsementpresent. Thisfilehasgeneralfundqardand&lt;=RM10charity-onlysurplus;donotimportbank-firsttermsfromotherfiles. Qardrepaymentisnotdouble deduction.","pages":[28,57]},{"clarification":"NCDfirsteligibilitysecondanniversaryliteralcoexistswithwholeclaimfreeyear/nextanniversary;notsecondcertificateyear.","pages":[37,66]},{"clarification":"Inclusivechilddefinition21/23andspecificterminationattaining21/23bothretained;noassumedextrayear.","pages":[21,30,49,59,61]},{"clarification":"BoxingexplicitENnotnamedMS,butMSbroadhazardous/unlistedrecreationexclusionsremain;notcoveredinference.","pages":[31,60]},{"clarification":"Legalproceedingsliteralbeforeexpiry2years,notafter;no2020deletionpresent. Nolegalenforceabilityopinion.","pages":[4,10]},{"clarification":"GST6%issourcehistoricalandsubjectchange,notcurrenttaxadvice.","pages":[20,47]},{"clarification":"Genericbenefit/contribution/wakalahschedulespresent;personalcertificate,selectedschemeandcurrentadoptionnotestablished. Thataloneisnotstrictfailure.","pages":[19,20,46,47,48]}]</t>
  </si>
  <si>
    <t xml:space="preserve">delivery-batch25-20261026/group2/016-result.json#/clarifications</t>
  </si>
  <si>
    <t xml:space="preserve">execution-evidence.json#/batches/B25/documents/group2~1016-result.json/clarifications</t>
  </si>
  <si>
    <t xml:space="preserve">60a0489c744bc1d47e51ac08cc2fe76683ce29284caa5db988b7ec3c954d9d2f</t>
  </si>
  <si>
    <t xml:space="preserve">"All71presentpagesoriginalvisualsemanticnotes;37 targeted216dpi confirmations;falsemissingexclusionssuspicionswithdrawnwithpriornote preserved."</t>
  </si>
  <si>
    <t xml:space="preserve">delivery-batch25-20261026/group2/016-result.json#/correction_basis</t>
  </si>
  <si>
    <t xml:space="preserve">execution-evidence.json#/batches/B25/documents/group2~1016-result.json/correction_basis</t>
  </si>
  <si>
    <t xml:space="preserve">5f9a5937fb4548324355409ab588e5327aae005f4f81183eceb20d8f2422fc87</t>
  </si>
  <si>
    <t xml:space="preserve">"Unresolved material bilingual renewal timing,expense offset measure,reinstatement antecedent andconditionalprioraccelerateddeathdeduction differences;notpersonal schedule/currentadoptionabsence."</t>
  </si>
  <si>
    <t xml:space="preserve">delivery-batch25-20261026/group2/016-result.json#/strict_basis</t>
  </si>
  <si>
    <t xml:space="preserve">execution-evidence.json#/batches/B25/documents/group2~1016-result.json/strict_basis</t>
  </si>
  <si>
    <t xml:space="preserve">7d25d89168374ccf4b9a150e074ce5eb0a6fea90bc3e539b194a52e9a7b75ba3</t>
  </si>
  <si>
    <t xml:space="preserve">delivery-batch25-20261026/group2/016-result.json#/missing_incorporated_operational_component_detected</t>
  </si>
  <si>
    <t xml:space="preserve">execution-evidence.json#/batches/B25/documents/group2~1016-result.json/missing_incorporated_operational_component_detected</t>
  </si>
  <si>
    <t xml:space="preserve">delivery-batch25-20261026/group2/016-result.json#/unresolved_personal_schedule_or_adoption_is_not_strict_failure_basis</t>
  </si>
  <si>
    <t xml:space="preserve">execution-evidence.json#/batches/B25/documents/group2~1016-result.json/unresolved_personal_schedule_or_adoption_is_not_strict_failure_basis</t>
  </si>
  <si>
    <t xml:space="preserve">{"actual_present_pages":71,"all_present_pages_semantically_reviewed":true,"checked_at_utc":"2026-10-26T19:23:01.152191+00:00","copy_allowed":false,"display_denials":0,"member_bytes":1108652,"member_sha256":"111bfab404a84d24abba9bd6c35b54789c4a9328d04cf48f0382d0fab9ed94ec","metadata_matches":true,"needs_password":0,"ordinary_visual_display_pending":false,"ordinary_visual_display_succeeded":true,"pdfinfo_metadata":"Creator:         Nitro Pro 9\nCreationDate:    Mon Jun 25 19:01:26 2018 JST\nModDate:         Mon Jun 25 19:01:46 2018 JST\nCustom Metadata: no\nMetadata Stream: yes\nTagged:          no\nUserProperties:  no\nSuspects:        no\nForm:            none\nJavaScript:      no\nPages:           71\nEncrypted:       yes (print:yes copy:no change:no addNotes:no algorithm:AES)\nPage size:       841.92 x 595.32 pts (A4)\nPage rot:        0\nFile size:       1108652 bytes\nOptimized:       no\nPDF version:     1.7\n","pdfinfo_returncode":0,"permissions":-3388,"permissions_unchanged":true,"print_allowed":true,"source_archive_sha256":"d8dd60e6ef6061e4984143b9d891b5dd848b86f8833f800902ad758355a66515","task_id":"B25-MY-016","text_extraction_OCR_printing_unlocking_permission_changes":false}</t>
  </si>
  <si>
    <t xml:space="preserve">delivery-batch25-20261026/group2/016-preflight.json#</t>
  </si>
  <si>
    <t xml:space="preserve">execution-evidence.json#/batches/B25/documents/group2~1016-preflight.json</t>
  </si>
  <si>
    <t xml:space="preserve">742b1baa5d25bbe37b1412ea35313f3dc7e25cd4ebd5f717ef90933bc233186d</t>
  </si>
  <si>
    <t xml:space="preserve">{"actual_present_physical_pages":96,"all_pages_reviewed":true,"cleanup_reference":{"bytes":24555,"path":"independent-qa.json#/batches/B25/documents/group3~1017-cleanup.json","sha256":"4f00c7cf5d4e27a96d2d31b300afad71a2496051167391c22eb8f454fb7d9cd1"},"current_adoption_credit":0,"execution_result_reference":{"bytes":10234,"path":"execution-evidence.json#/batches/B25/documents/group3~1017-result.json","sha256":"a4a327f66a8fd28dc7a90a92d3c0a4c27840e2391a4798bc5f840403c69dc1b5"},"file_level_primary_role_previously_accepted":true,"formal_mutations":false,"full_content_review_complete":true,"full_review_accepted":true,"gap_closure_credit":0,"independent_QA":true,"new_original":0,"new_primary":0,"new_product":0,"original_id":"regional-20261025-d1ff89cba0202900","package_complete_credit":0,"page_proof_reference":{"bytes":48262,"path":"independent-qa.json#/batches/B25/documents/group3~1017-page-proof.jsonl","sha256":"d90f880cf5ad5e1c6c7927de8e55ed0a781fbddfc14972d120c45fd8f57140f8"},"prior_task_id":"B18-MY-007","qa_result_reference":{"bytes":18663,"path":"independent-qa.json#/batches/B25/documents/group3~1017-result.json","sha256":"5edc5c210903155a026b413fdbae17d2c8e753462e2ed22d7ac875dcdad78dd9"},"queue_id":"PENDING-d1ff89cba0202900","region_code":"MY","review_status":"full","sha256":"d1ff89cba020290072599fc2a8e2086eed2882834a2bf7f1ab299fcec7b1c1e7","source_archive_sha256":"d8dd60e6ef6061e4984143b9d891b5dd848b86f8833f800902ad758355a66515","source_insurer_preserved":"Sun Life Malaysia Takaful Berhad","strict_eligible":false,"strict_status":"needs_review","strict_verified":false,"target":"Sun Raudhah Master Contract","task_id":"B25-MY-017","verification_status":"needs_review"}</t>
  </si>
  <si>
    <t xml:space="preserve">{"bytes":18663,"path":"independent-qa.json#/batches/B25/documents/group3~1017-result.json","sha256":"5edc5c210903155a026b413fdbae17d2c8e753462e2ed22d7ac875dcdad78dd9"}</t>
  </si>
  <si>
    <t xml:space="preserve">qa-b25-full-review-20261026/issues-and-clarifications.json#/files/16/current_QA_result</t>
  </si>
  <si>
    <t xml:space="preserve">independent-qa.json#/batches/B25/documents/issues-and-clarifications.json/files/16/current_QA_result</t>
  </si>
  <si>
    <t xml:space="preserve">961d2a53f8e259475e54d5b6a367f53bdc37eb20d295277ecfb4999935255383</t>
  </si>
  <si>
    <t xml:space="preserve">qa-b25-full-review-20261026/issues-and-clarifications.json#/files/16/final_status</t>
  </si>
  <si>
    <t xml:space="preserve">independent-qa.json#/batches/B25/documents/issues-and-clarifications.json/files/16/final_status</t>
  </si>
  <si>
    <t xml:space="preserve">017-QA-F1</t>
  </si>
  <si>
    <t xml:space="preserve">[5,6,9,10]</t>
  </si>
  <si>
    <t xml:space="preserve">{"blocking":true,"finding":"2020 whole age/gender lower-tabarru adjustment: EN explicitly refunds DIFFERENCE; MS says refund tabarru without difference qualifier. Same amendment/no languagepriority identified. Refund basis unresolved; do NOT infer full historical tabarru/contribution refund.","id":"017-QA-F1","pages":[5,6,9,10]}</t>
  </si>
  <si>
    <t xml:space="preserve">qa-b25-full-review-20261026/issues-and-clarifications.json#/files/16/independent_findings/0</t>
  </si>
  <si>
    <t xml:space="preserve">independent-qa.json#/batches/B25/documents/issues-and-clarifications.json/files/16/independent_findings/0</t>
  </si>
  <si>
    <t xml:space="preserve">8b1ee3c52368e11f1de67c6eb187e0bf74bce2b4695cd16d57ae0e4140531e1d</t>
  </si>
  <si>
    <t xml:space="preserve">017-QA-F2</t>
  </si>
  <si>
    <t xml:space="preserve">[7,12]</t>
  </si>
  <si>
    <t xml:space="preserve">{"blocking":true,"finding":"2020 fund27.4 EN other DIRECTLY claims-related expenses vs MS other claims-related expenses without direct qualifier. Same operative replacement; no languagepriority found. Expense scope needs clarification, not an allegation of actual impropercharge.","id":"017-QA-F2","pages":[7,12]}</t>
  </si>
  <si>
    <t xml:space="preserve">qa-b25-full-review-20261026/issues-and-clarifications.json#/files/16/independent_findings/1</t>
  </si>
  <si>
    <t xml:space="preserve">independent-qa.json#/batches/B25/documents/issues-and-clarifications.json/files/16/independent_findings/1</t>
  </si>
  <si>
    <t xml:space="preserve">168faecf643745482b4bdbac13eb5836e0505ec34a4ddcc1fc5eb5d9695bdc6f</t>
  </si>
  <si>
    <t xml:space="preserve">017-QA-F3</t>
  </si>
  <si>
    <t xml:space="preserve">[23,63]</t>
  </si>
  <si>
    <t xml:space="preserve">{"blocking":true,"finding":"Preexistingcondition EN1.1(u) has12month lookback PRIOR latest commencement/reinstatement; MS definition has no12month priorlookback. Distinct from benefit exclusion for first12months AFTER start/restore. 2019/2020 amendments do not replace thisdefinition.","id":"017-QA-F3","pages":[23,63]}</t>
  </si>
  <si>
    <t xml:space="preserve">qa-b25-full-review-20261026/issues-and-clarifications.json#/files/16/independent_findings/2</t>
  </si>
  <si>
    <t xml:space="preserve">independent-qa.json#/batches/B25/documents/issues-and-clarifications.json/files/16/independent_findings/2</t>
  </si>
  <si>
    <t xml:space="preserve">5cc1e2eb05918e9e41442c4cc2afb16ea22860a01f08924f617827d40e7c3df0</t>
  </si>
  <si>
    <t xml:space="preserve">017-QA-F4</t>
  </si>
  <si>
    <t xml:space="preserve">[40,80,8,12]</t>
  </si>
  <si>
    <t xml:space="preserve">{"blocking":true,"finding":"Badal1.2 cashfallback EN provider unavailable AND/OR costexceeds; MS onlycostexceeds. Provider unavailable with costnotexceeding has explicitEN trigger absentMS. 2020 addsalterationssection2, not replacement1.2; subsequentclauses renumbered, so no cure of trigger.","id":"017-QA-F4","pages":[40,80,8,12]}</t>
  </si>
  <si>
    <t xml:space="preserve">qa-b25-full-review-20261026/issues-and-clarifications.json#/files/16/independent_findings/3</t>
  </si>
  <si>
    <t xml:space="preserve">independent-qa.json#/batches/B25/documents/issues-and-clarifications.json/files/16/independent_findings/3</t>
  </si>
  <si>
    <t xml:space="preserve">bdd66d3d3e56cfc5d46e620addd6d0a629e6f762f2841aaa07e85ec75e2c8191</t>
  </si>
  <si>
    <t xml:space="preserve">017-QA-F5</t>
  </si>
  <si>
    <t xml:space="preserve">[43,83,23,62,44,84]</t>
  </si>
  <si>
    <t xml:space="preserve">{"blocking":false,"finding":"Hospital1.2 EN AND vs MS ATAU(OR) before periodcondition independently confirmed. Existing hospitalization definition already requires medicalnecessity and2.1(c) excludes outsideperiod, so do NOT infer nonnecessary/outsideperiod cover. Exact conjunction/minimum6hour combination still merits clarification; classification does not depend solely on this phrasing difference.","id":"017-QA-F5","pages":[43,83,23,62,44,84]}</t>
  </si>
  <si>
    <t xml:space="preserve">qa-b25-full-review-20261026/issues-and-clarifications.json#/files/16/independent_findings/4</t>
  </si>
  <si>
    <t xml:space="preserve">independent-qa.json#/batches/B25/documents/issues-and-clarifications.json/files/16/independent_findings/4</t>
  </si>
  <si>
    <t xml:space="preserve">ad7d981392b04423e6f87158cf5d2dc32fef14ee10550f27b71440bf865ab667</t>
  </si>
  <si>
    <t xml:space="preserve">017-QA-F6</t>
  </si>
  <si>
    <t xml:space="preserve">[52,92,93]</t>
  </si>
  <si>
    <t xml:space="preserve">{"blocking":true,"finding":"Transfusion-HIV2.18(c) EN source established from transfusinginstitution AND institution able totrace origin; MS links with ATAU(OR). Intro ALLconditions and subsequent(d)/(e) conjunction do not erase internal(c) difference. No languagepriority. This is source-proofcondition, not imported crossproduct observation.","id":"017-QA-F6","pages":[52,92,93]}</t>
  </si>
  <si>
    <t xml:space="preserve">qa-b25-full-review-20261026/issues-and-clarifications.json#/files/16/independent_findings/5</t>
  </si>
  <si>
    <t xml:space="preserve">independent-qa.json#/batches/B25/documents/issues-and-clarifications.json/files/16/independent_findings/5</t>
  </si>
  <si>
    <t xml:space="preserve">4c498ea4853d3b820da3bd84578c69bd7763d12bc0203b5fbb55323fe333d409</t>
  </si>
  <si>
    <t xml:space="preserve">017-QA-C1</t>
  </si>
  <si>
    <t xml:space="preserve">[32,36,39,42,45,72,76,79,82,85]</t>
  </si>
  <si>
    <t xml:space="preserve">{"blocking":false,"finding":"General26.8 specifically preserves cover despite accountdepletion when contributions current/continuous; benefitannexes subjectmasterterms. Broaddepletion termination readwith specificexception; no automaticlapse asserted.","id":"017-QA-C1","pages":[32,36,39,42,45,72,76,79,82,85]}</t>
  </si>
  <si>
    <t xml:space="preserve">qa-b25-full-review-20261026/issues-and-clarifications.json#/files/16/independent_findings/6</t>
  </si>
  <si>
    <t xml:space="preserve">independent-qa.json#/batches/B25/documents/issues-and-clarifications.json/files/16/independent_findings/6</t>
  </si>
  <si>
    <t xml:space="preserve">a79c855ea6ad17e8e05c378065b153977a4ecc59542875569049adcefe844df3</t>
  </si>
  <si>
    <t xml:space="preserve">017-QA-C2</t>
  </si>
  <si>
    <t xml:space="preserve">[41,52,81,92,93]</t>
  </si>
  <si>
    <t xml:space="preserve">{"blocking":false,"finding":"GeneralCIHIV exclusion readwith specifictransfusion-HIV definition ratherthan assuming impossiblecoverage/voidcontract. F6 remains independent bilingualproof issue.","id":"017-QA-C2","pages":[41,52,81,92,93]}</t>
  </si>
  <si>
    <t xml:space="preserve">qa-b25-full-review-20261026/issues-and-clarifications.json#/files/16/independent_findings/7</t>
  </si>
  <si>
    <t xml:space="preserve">independent-qa.json#/batches/B25/documents/issues-and-clarifications.json/files/16/independent_findings/7</t>
  </si>
  <si>
    <t xml:space="preserve">ddb66b804b11798425ab0a476b715f780c6b4b234ef7871710ade0e8c03bc7e2</t>
  </si>
  <si>
    <t xml:space="preserve">017-QA-C3</t>
  </si>
  <si>
    <t xml:space="preserve">[10,28,67]</t>
  </si>
  <si>
    <t xml:space="preserve">{"blocking":false,"finding":"MS2020wakalahintro26 vsheading24/24.3/24.4 uniquely identifies target, bounded referenceerror. SurrenderENnextcontributionduedate vsMScontributionanniversary/due wording retained as timing nuance, no automaticyear-delay inference andnotsoleveto.","id":"017-QA-C3","pages":[10,28,67]}</t>
  </si>
  <si>
    <t xml:space="preserve">qa-b25-full-review-20261026/issues-and-clarifications.json#/files/16/independent_findings/8</t>
  </si>
  <si>
    <t xml:space="preserve">independent-qa.json#/batches/B25/documents/issues-and-clarifications.json/files/16/independent_findings/8</t>
  </si>
  <si>
    <t xml:space="preserve">06970b3eeb7206c13c92a2f2344fbd111465a8142356fdd55509934e9da61136</t>
  </si>
  <si>
    <t xml:space="preserve">017-QA-C4</t>
  </si>
  <si>
    <t xml:space="preserve">[13,14,15,16,17,20,21,56,59,60]</t>
  </si>
  <si>
    <t xml:space="preserve">{"blocking":false,"finding":"2019TPDdefinition expressly only newissuesfrom2019-07-01; not retrospectively imposed. Genericfiveplanbenefit and100-cellwakalahtables present and bilinguallychecked. Printed4/personalschedule absence and unknown currentadoption notsoleveto. SSI1117 code not inferredissuedate; covers unnumbered.","id":"017-QA-C4","pages":[13,14,15,16,17,20,21,56,59,60]}</t>
  </si>
  <si>
    <t xml:space="preserve">qa-b25-full-review-20261026/issues-and-clarifications.json#/files/16/independent_findings/9</t>
  </si>
  <si>
    <t xml:space="preserve">independent-qa.json#/batches/B25/documents/issues-and-clarifications.json/files/16/independent_findings/9</t>
  </si>
  <si>
    <t xml:space="preserve">d0d5746d680c705938d760731494d606156690b9975f121fac50a5d78fbb00cc</t>
  </si>
  <si>
    <t xml:space="preserve">017-QA-C5</t>
  </si>
  <si>
    <t xml:space="preserve">[37,77,38,79,26,65,49,89,53,94]</t>
  </si>
  <si>
    <t xml:space="preserve">{"blocking":false,"finding":"This017 expressly retains proportionateresidualdeath whenTPDlower than deathsum; do not generalize toothercontracts. Grace60/free15/fullrefund;TPDminimum6monthsduration isnotproofdeadline. CancerENhavingmalignantpotential/MSpotensimalignan BOTH lackLOW; dystrophyminimum12LASTbirthday inBOTH. Do not import024 findings.","id":"017-QA-C5","pages":[37,77,38,79,26,65,49,89,53,94]}</t>
  </si>
  <si>
    <t xml:space="preserve">qa-b25-full-review-20261026/issues-and-clarifications.json#/files/16/independent_findings/10</t>
  </si>
  <si>
    <t xml:space="preserve">independent-qa.json#/batches/B25/documents/issues-and-clarifications.json/files/16/independent_findings/10</t>
  </si>
  <si>
    <t xml:space="preserve">14b034403272f3366cfadeeccd3e282b6d7c04c4e7ebf6ed480f5d3672b36c59</t>
  </si>
  <si>
    <t xml:space="preserve">017-QA-C6</t>
  </si>
  <si>
    <t xml:space="preserve">[46,86,43,83]</t>
  </si>
  <si>
    <t xml:space="preserve">{"blocking":false,"finding":"FuneralEN payable vsMS dibayar retained as tense nuance; MS does NOT say TELAH DIBAYAR/already-paid. Do not assert additional completed-payment prerequisite as in separate001/015offset clauses. HospitalEN1.1direct accidentalbodilyinjury vsMSbodyomission boundedbyaccidentheading/table; no inferred unrestricted sicknesscover.","id":"017-QA-C6","pages":[46,86,43,83]}</t>
  </si>
  <si>
    <t xml:space="preserve">qa-b25-full-review-20261026/issues-and-clarifications.json#/files/16/independent_findings/11</t>
  </si>
  <si>
    <t xml:space="preserve">independent-qa.json#/batches/B25/documents/issues-and-clarifications.json/files/16/independent_findings/11</t>
  </si>
  <si>
    <t xml:space="preserve">cc9704348ffbf4b1e7348e1c4513d612e179fad7e1ae5cb5d7ca90827f3bb6f5</t>
  </si>
  <si>
    <t xml:space="preserve">{"basis":"Own216p38 andp79 confirm exact duration wording; retract initial proof6months shorthand.","correction":"TPD exclusions: AIDS/HIV, drugs/crime with innocent-party exception, aircraft scheduled-flight exception, hazards with footrace exception, selfinjury/suicide, war and preexisting disability; additional Hajj12month wait except accident, borders/transit24hours/outsideSaudi/coverageperiod. Notice30days without express delay exception; satisfactory proof before claimconsideration. Clause3.3 does NOT consider disability lasting LESS than6months: this is disability duration, NOT a sixmonth proof-filing deadline. Operator pays requested examination cost.","field":"own017-page-proof p38","original":"TPD AIDS/HIV, drugs/crime innocent-party exception, aircraft scheduled exception, hazards footrace exception, selfinjury/suicide, war and preexistingdisability exclusions; Hajj12months except accident/borders24hours/outsideSaudi/time; notice30days no expressdelayexception, proof6months; operator exam cost."}</t>
  </si>
  <si>
    <t xml:space="preserve">qa-b25-full-review-20261026/issues-and-clarifications.json#/files/16/metadata_corrections/0</t>
  </si>
  <si>
    <t xml:space="preserve">independent-qa.json#/batches/B25/documents/issues-and-clarifications.json/files/16/metadata_corrections/0</t>
  </si>
  <si>
    <t xml:space="preserve">8ebef64658abb7053a76e6606127fae4811c986e697f7eef7dd5ee8d070220eb</t>
  </si>
  <si>
    <t xml:space="preserve">{"basis":"Own216p8/12 explicitly says subsequentclauses renumbered accordingly, not merelyold2→3.","correction":"Badal termination death/fullTPD equaldeath paid; lowerTPD residualdeath continues; end/depletion/lapse/surrender/cancel/monthlyafter70 exceptTPDafter65. 2020p8/12 expressly addssection2 and renumbers subsequentclauses accordingly, so original2/3/4 become3/4/5. Earlier caveat that onlysection2 renumbered is withdrawn.","field":"own017-page-proof p42","original":"Badal termination death/fullTPD equaldeath paid, lowerTPD deathcontinues; end/depletion/lapse/surrender/cancel/monthlyafter70 except TPDafter65; original section4 becomes5 under2020 addition/renumbering? 2020 states oldsection2→3 only, preserve literal targeted numbering rather than infer all renumbering."}</t>
  </si>
  <si>
    <t xml:space="preserve">qa-b25-full-review-20261026/issues-and-clarifications.json#/files/16/metadata_corrections/1</t>
  </si>
  <si>
    <t xml:space="preserve">independent-qa.json#/batches/B25/documents/issues-and-clarifications.json/files/16/metadata_corrections/1</t>
  </si>
  <si>
    <t xml:space="preserve">923854b870e881aaa8c2c0766eb7300105b2376ec6245b119ec046a40e237995</t>
  </si>
  <si>
    <t xml:space="preserve">{"basis":"Ownoriginal144 all96 and216p57/20/21/59/60","correction":"Covers physical17/56 are UNNUMBERED, not visually printed1. Contents18/57 printed2; genericbenefit/fee20/21,59/60 present. Printed4 absent noted as schedulecontext, not genericbodygap proof.","field":"executioncomponents baseprintedpage ranges","original":"printed1–40/printed1–42 with4absent"}</t>
  </si>
  <si>
    <t xml:space="preserve">qa-b25-full-review-20261026/issues-and-clarifications.json#/files/16/metadata_corrections/2</t>
  </si>
  <si>
    <t xml:space="preserve">independent-qa.json#/batches/B25/documents/issues-and-clarifications.json/files/16/metadata_corrections/2</t>
  </si>
  <si>
    <t xml:space="preserve">9b64a8e88fbd6e774d1986ce294a7bbaabded00b3cf5b43316ea2275bdf39516</t>
  </si>
  <si>
    <t xml:space="preserve">{"basis":"Own216p41/81/82","correction":"Actualwaitinglist says coronaryheartdisease requiring surgery. Do not substitute narrower literal CABG label as quotation; individualCIdefinition applies.","field":"executionzoom41/81 waitinglist CABG shorthand","original":"CABG"}</t>
  </si>
  <si>
    <t xml:space="preserve">qa-b25-full-review-20261026/issues-and-clarifications.json#/files/16/metadata_corrections/3</t>
  </si>
  <si>
    <t xml:space="preserve">independent-qa.json#/batches/B25/documents/issues-and-clarifications.json/files/16/metadata_corrections/3</t>
  </si>
  <si>
    <t xml:space="preserve">628deb039d7e71e81378f9d1f31a673434c00c656f1ad68a5220155f0b9275f8</t>
  </si>
  <si>
    <t xml:space="preserve">{"basis":"Own216p51/52/92","correction":"All pain/ECG/biomarkerevidence required, but0.5ng/ml threshold applies toTroponinT/I; alternativeCPK-MB above generallyacceptednormal lab level. Do not impose0.5 onallmarkers.","field":"executionzoom52/92/93 biomarker shorthand","original":"AMI all / biomarker&gt;=0.5"}</t>
  </si>
  <si>
    <t xml:space="preserve">qa-b25-full-review-20261026/issues-and-clarifications.json#/files/16/metadata_corrections/4</t>
  </si>
  <si>
    <t xml:space="preserve">independent-qa.json#/batches/B25/documents/issues-and-clarifications.json/files/16/metadata_corrections/4</t>
  </si>
  <si>
    <t xml:space="preserve">9932e8336bab2f74f65630301e59c8981dbfe832e2474c0110e3e9dc0762e577</t>
  </si>
  <si>
    <t xml:space="preserve">{"basis":"Ownall96visualread and216p54/89/94","correction":"BlindENactual48 vsMS89; paralysis/ParkinsonENactual54 vsMS94. Groupedcomparison notes may spanadjacentpages; not newmissingpages or falsebodyomissions.","field":"executionzoom grouped page attributions","original":"p49/89 blind3/60; p53/94 paralysis/Parkinson"}</t>
  </si>
  <si>
    <t xml:space="preserve">qa-b25-full-review-20261026/issues-and-clarifications.json#/files/16/metadata_corrections/5</t>
  </si>
  <si>
    <t xml:space="preserve">independent-qa.json#/batches/B25/documents/issues-and-clarifications.json/files/16/metadata_corrections/5</t>
  </si>
  <si>
    <t xml:space="preserve">4db374cf268481068bb573853386b573ee18b9bcf634cb11daa0001aec78160e</t>
  </si>
  <si>
    <t xml:space="preserve">{"basis":"Own216p46/86","correction":"MSdibayar notTELAHDIBAYAR; ENpayable. Preserveboundedtense ratherthan alleging explicit already-paid prerequisite.","field":"executionpageproof86 funeral paid shorthand","original":"ONLYifdeathbenefitpaid"}</t>
  </si>
  <si>
    <t xml:space="preserve">qa-b25-full-review-20261026/issues-and-clarifications.json#/files/16/metadata_corrections/6</t>
  </si>
  <si>
    <t xml:space="preserve">independent-qa.json#/batches/B25/documents/issues-and-clarifications.json/files/16/metadata_corrections/6</t>
  </si>
  <si>
    <t xml:space="preserve">0d1d396beb83d4c79378bd59160cbfe4f4e723c82c0953fd92d1456e0659ac25</t>
  </si>
  <si>
    <t xml:space="preserve">{"basis":"Own216p40/80/43/83/52/92/93","correction":"Pendingp80 resolved and retained; p83 AND/ATAU andp92 internalAND/ATAU confirmed. Originalandcorrectedexecutionnotes retainedunchanged; hospitalconsequence boundedbydefinition andperiodexclusion asF5.","field":"executioninitial/correction fields p80,p83,p92 and correction-register","original":"p80 pendingconfirmation; p83 initialflattenedhospitalconditions; p92 initialsource-traced summary"}</t>
  </si>
  <si>
    <t xml:space="preserve">qa-b25-full-review-20261026/issues-and-clarifications.json#/files/16/metadata_corrections/7</t>
  </si>
  <si>
    <t xml:space="preserve">independent-qa.json#/batches/B25/documents/issues-and-clarifications.json/files/16/metadata_corrections/7</t>
  </si>
  <si>
    <t xml:space="preserve">e9d279f754bc42336329cc39975b7279e49238f9cd1481024bd72366d4dbcf86</t>
  </si>
  <si>
    <t xml:space="preserve">{"basis":"96ownsemanticproofs and65own216confirmations","correction":"All auditedagainst independentoriginalread. Sixexecutionfindings confirmed aswording facts; five independentlyclassificationblocking, hospitalconjunction retainedqualifiednotsoleveto. Allfiveclarifications independentlycheckedwith limitsabove.","field":"all execution metadata/non-note fact audit","original":"All017resultfields,96sourcepageproofrows including nonnoteinitial/clarification/correction_basis,62sourcezoomfacts and017correctionregisterentry"}</t>
  </si>
  <si>
    <t xml:space="preserve">qa-b25-full-review-20261026/issues-and-clarifications.json#/files/16/metadata_corrections/8</t>
  </si>
  <si>
    <t xml:space="preserve">independent-qa.json#/batches/B25/documents/issues-and-clarifications.json/files/16/metadata_corrections/8</t>
  </si>
  <si>
    <t xml:space="preserve">5ff9362572ab6b9a9bff9d7d7991dd12da328f073cd9aa8f27462aa9d31d8021</t>
  </si>
  <si>
    <t xml:space="preserve">qa-b25-full-review-20261026/issues-and-clarifications.json#/files/16/qa_notes</t>
  </si>
  <si>
    <t xml:space="preserve">independent-qa.json#/batches/B25/documents/issues-and-clarifications.json/files/16/qa_notes</t>
  </si>
  <si>
    <t xml:space="preserve">"All96actualpages independentlyread. Operative age/genderrefund qualifier, fundexpense qualifier, priorpreexistinglookback, Badalcashtrigger and transfusion-HIVproof differences unresolved without languagepriority. HospitalAND/OR independentlyconfirmed but bounded, notsoleveto. Personalschedule/currentadoption absence notsoleblock."</t>
  </si>
  <si>
    <t xml:space="preserve">qa-b25-full-review-20261026/issues-and-clarifications.json#/files/16/strict_basis</t>
  </si>
  <si>
    <t xml:space="preserve">independent-qa.json#/batches/B25/documents/issues-and-clarifications.json/files/16/strict_basis</t>
  </si>
  <si>
    <t xml:space="preserve">5c35d320cdda5eebe4de9a0e8b702f29cd974a4d2e5f6ac5c4a40a9a6ae86dd8</t>
  </si>
  <si>
    <t xml:space="preserve">"B25-MY-017"</t>
  </si>
  <si>
    <t xml:space="preserve">qa-b25-full-review-20261026/issues-and-clarifications.json#/files/16/task_id</t>
  </si>
  <si>
    <t xml:space="preserve">independent-qa.json#/batches/B25/documents/issues-and-clarifications.json/files/16/task_id</t>
  </si>
  <si>
    <t xml:space="preserve">a731befaa20c2e42d549ea08011f58d3d907653bbad89dca77d9bda4928b583e</t>
  </si>
  <si>
    <t xml:space="preserve">{"base_code":"SSI1117 (code, not inferred issue/effective date)","issuer":"Sun Life Malaysia Takaful Berhad","master_holder":"CIMB Bank Berhad explicitly in endorsements","product":"Sun Raudhah"}</t>
  </si>
  <si>
    <t xml:space="preserve">delivery-batch25-20261026/group3/017-result.json#/observed_identity</t>
  </si>
  <si>
    <t xml:space="preserve">execution-evidence.json#/batches/B25/documents/group3~1017-result.json/observed_identity</t>
  </si>
  <si>
    <t xml:space="preserve">4adc2bed5cd8abf7ac84f095373b35839af56232181e621f57368bb239ef962e</t>
  </si>
  <si>
    <t xml:space="preserve">[{"component":"2025-07-01 sanction34 addition","language":"English/Malay","pages":[1,2]},{"component":"2022-09-02 nominee23 whole replacement","language":"English/Malay","pages":[3,4]},{"component":"2020-07-01 principles/age/gender/reinstatement/wakalah/tabarru/account/fund/Badal alterations amendments; legal16 deleted","language":"English/Malay","pages":[5,12]},{"component":"2019-07-01 issue-cohort TPD definition, small balances and eligibility amendments","language":"English/Malay","pages":[13,16]},{"component":"Base cover/contents/introduction/benefit and wakalah schedules/general/death/TPD/Badal Hajj/hospital/funeral/36CI definitions; printed1–40 with4 absent","language":"English","pages":[17,55]},{"component":"Independent Malay base all present pages; printed1–42 with4 absent","language":"Malay","pages":[56,96]}]</t>
  </si>
  <si>
    <t xml:space="preserve">delivery-batch25-20261026/group3/017-result.json#/components</t>
  </si>
  <si>
    <t xml:space="preserve">execution-evidence.json#/batches/B25/documents/group3~1017-result.json/components</t>
  </si>
  <si>
    <t xml:space="preserve">c6616ad4678871957902322fc3788cbe6071558190b55ded107abb3d213a24c6</t>
  </si>
  <si>
    <t xml:space="preserve">["Death/TPD sum plus participant account; Hajj/Umrah additional100%, shorter45/15days or actualtrip, transit&lt;=24h; TPD aggregateRM2m and residualdeath proportion ifTPDlower.","Badal Hajj service provider or stated cashfallback on death/TPD/36CI; onebenefit. CI30daywaiting except four named60dayconditions. Accidental Hajj hospital6h/30daysannual and funeral onlyifdeathbenefitpayable.","Five-plan benefit and20-row wakalah tables all cells independently bilingualread. Free-look15days, grace60days, restore1year. Contribution/tabarru/wakalah changes90daynotice annualanniversary;2019smallbalance&lt;=RM10 latestbankelsecharity.","2020 accountprofit10/90 and fundQard then surplus50/50; no assumed doubleQarddeduction. Full36CI bilingual definitions with numeric thresholds and exclusions individually understood."]</t>
  </si>
  <si>
    <t xml:space="preserve">delivery-batch25-20261026/group3/017-result.json#/content_summary</t>
  </si>
  <si>
    <t xml:space="preserve">execution-evidence.json#/batches/B25/documents/group3~1017-result.json/content_summary</t>
  </si>
  <si>
    <t xml:space="preserve">f45bb90e1b5e62e44b9abaeb0e1ad2b7c59ac452e178a62f9d7b5b5579085a8f</t>
  </si>
  <si>
    <t xml:space="preserve">[{"basis":"English explicitly refunds the difference; Malay says refund tabarru without the difference qualifier. No language-priority rule found.","id":"017-F1","issue":"2020 age/gender lower tabarru correction refund amount basis differs bilingually.","limitation":"Do not infer Malay necessarily grants full historical contributions/tabarru refund.","pages":[5,6,9,10]},{"basis":"English other directly claims-related expenses; Malay other claims-related expenses without direct qualifier. Operative replacement same date; no language priority.","id":"017-F2","issue":"2020 fund27.4 other-expense scope differs bilingually.","pages":[7,12]},{"basis":"English1.1(u) expressly12months before latest commencement/reinstatement; Malay corresponding definition does not include that lookback duration. Neither2020 nor2019 replacement corrects this definition.","id":"017-F3","issue":"Preexisting-condition lookback differs bilingually.","pages":[23,63]},{"basis":"English SSI0061.2 allows provider unavailable and/or cost exceeding sum; Malay only cost exceeding amount. 2020 adds clause2, not1.2 replacement.","id":"017-F4","issue":"Badal Hajj cash substitute trigger differs bilingually.","pages":[40,80]},{"basis":"English1.2 joins medically necessary and coverageperiod with AND; Malay says ATAU(OR). Other exclusions still constrainperiod; exact medicalnecessity/minimumconfinement combination not silently resolved.","id":"017-F5","issue":"Hospital qualifying-condition conjunction differs.","pages":[43,83]},{"basis":"English SSI0092.18(c) requires source established from transfusing institution AND institution able to trace origin; Malay connects these with ATAU(OR). No overriding language priority found.","id":"017-F6","issue":"Transfusion-HIV infection-source proof conjunction differs.","pages":[52,92]}]</t>
  </si>
  <si>
    <t xml:space="preserve">delivery-batch25-20261026/group3/017-result.json#/substantive_findings</t>
  </si>
  <si>
    <t xml:space="preserve">execution-evidence.json#/batches/B25/documents/group3~1017-result.json/substantive_findings</t>
  </si>
  <si>
    <t xml:space="preserve">a142a66d010ada33b314129f6a06097eac7016f519b098db580f528d5a416ec4</t>
  </si>
  <si>
    <t xml:space="preserve">[{"clarification":"Do not infer automatic lapse from accountdepletion.26.8 specifically preserves cover if contributions current/continuous; benefit terms subject master terms. Treat as specific exception to broad termination wording, not independent strict blocker.","correction_basis":"216dpi26.8 and death/TPD termination comparisons plus wholecontract subject-to wording.","initial_candidate":"General26.8 continuation versus annex accountdepletion termination considered as candidate conflict.","pages":[32,36,39,42,45,72,76,79,82,85]},{"clarification":"General CIHIV exclusion and specific transfusion-HIV definition require specific-cover reading; do not infer impossible coverage or void contract. Separate bilingual source-proof conjunction is F6.","correction_basis":"Both operative clauses individually read; distinct specific definition limits exception.","pages":[41,52,81,92,93]},{"clarification":"Malay2020wakalah intro references26 but heading24 and added24.3/24.4 uniquely identify target; bounded reference error, not missing component.","correction_basis":"Bilingual2020clauses and base24 checked.","pages":[10]},{"clarification":"Surrender English next contribution due date versus Malay contribution-anniversary/due wording retained as timing ambiguity; no inference of automaticyear delay.","correction_basis":"216dpi bilingual13.1.","pages":[28,67]},{"clarification":"Initial short notes omitted AND/ATAU differences; original notes retained with corrections inpageproof.","correction_basis":"216dpi43/83 and52/92 exactconjunction review.","pages":[83,92]}]</t>
  </si>
  <si>
    <t xml:space="preserve">delivery-batch25-20261026/group3/017-result.json#/clarifications</t>
  </si>
  <si>
    <t xml:space="preserve">execution-evidence.json#/batches/B25/documents/group3~1017-result.json/clarifications</t>
  </si>
  <si>
    <t xml:space="preserve">99f490a21035dd7b2366da61dcb17c48e654e8caa97443c71c348f069caaedf4</t>
  </si>
  <si>
    <t xml:space="preserve">["All substantive findings confirmed by independent216dpi language-paired display, not extraction/OCR.","No initial classification reversal; candidate accountdepletion and generalHIV readings bounded before classification. Page83/92 initial flattened notes preserved."]</t>
  </si>
  <si>
    <t xml:space="preserve">delivery-batch25-20261026/group3/017-result.json#/correction_basis</t>
  </si>
  <si>
    <t xml:space="preserve">execution-evidence.json#/batches/B25/documents/group3~1017-result.json/correction_basis</t>
  </si>
  <si>
    <t xml:space="preserve">6afd24d15da5ceea7ab23d4a3488a8ca7df0c2a2bcf6cdf87dc4b73b96051eee</t>
  </si>
  <si>
    <t xml:space="preserve">["Current adoption and personal certificate/applications/medical disclosure pack not established; SSI002printed4absent inbothlanguages is schedulecontext, notautomaticdocument-levelblocker.","2019TPDdefinition onlynewissuesfrom2019-07-01, not retroactively assigned to alloldcertificates.","No existing languagepriority found; differences remain pendingindependentQA rather than legal determination.","No sourcevalidity/currentbenefit/packagecompletion claims."]</t>
  </si>
  <si>
    <t xml:space="preserve">delivery-batch25-20261026/group3/017-result.json#/preserved_uncertainties</t>
  </si>
  <si>
    <t xml:space="preserve">execution-evidence.json#/batches/B25/documents/group3~1017-result.json/preserved_uncertainties</t>
  </si>
  <si>
    <t xml:space="preserve">e02c30a98d3eaeb3fe37912395a67ebd6a18e3137ed6f190c82bcdea529f68be</t>
  </si>
  <si>
    <t xml:space="preserve">"Six source-internal operative bilingual benefit/refund/expense/exclusion/evidence differences; not missing personal schedule or current adoption alone."</t>
  </si>
  <si>
    <t xml:space="preserve">delivery-batch25-20261026/group3/017-result.json#/strict_blocker_basis</t>
  </si>
  <si>
    <t xml:space="preserve">execution-evidence.json#/batches/B25/documents/group3~1017-result.json/strict_blocker_basis</t>
  </si>
  <si>
    <t xml:space="preserve">10577160619b55fe35f808ae079cdb82e69db3b98192f1cda79d74806989add5</t>
  </si>
  <si>
    <t xml:space="preserve">{"actual_present_pages":96,"all_present_pages_semantically_reviewed":true,"checked_at_utc":"2026-10-26T19:53:43.139037+00:00","copy_allowed":false,"display_denials":0,"member_bytes":2169845,"member_sha256":"d1ff89cba020290072599fc2a8e2086eed2882834a2bf7f1ab299fcec7b1c1e7","metadata_matches":true,"needs_password":0,"ordinary_visual_display_pending":false,"ordinary_visual_display_succeeded":true,"pdfinfo_metadata":"Creator:         PDF-XChange Editor 6.0.322.7\nProducer:        PDF-XChange Core API SDK (6.0.322.7)\nCreationDate:    Thu Jul  2 11:58:39 2020 JST\nModDate:         Wed Jan  7 15:07:49 2026 JST\nCustom Metadata: no\nMetadata Stream: yes\nTagged:          no\nUserProperties:  no\nSuspects:        no\nForm:            none\nJavaScript:      no\nPages:           96\nEncrypted:       yes (print:no copy:no change:no addNotes:no algorithm:RC4)\nPage size:       594.75 x 842.25 pts (A4)\nPage rot:        0\nFile size:       2169845 bytes\nOptimized:       no\nPDF version:     1.7\n","pdfinfo_returncode":0,"permissions":-3392,"permissions_unchanged":true,"print_allowed":false,"source_archive_sha256":"d8dd60e6ef6061e4984143b9d891b5dd848b86f8833f800902ad758355a66515","task_id":"B25-MY-017","text_extraction_OCR_printing_unlocking_permission_changes":false}</t>
  </si>
  <si>
    <t xml:space="preserve">delivery-batch25-20261026/group3/017-preflight.json#</t>
  </si>
  <si>
    <t xml:space="preserve">execution-evidence.json#/batches/B25/documents/group3~1017-preflight.json</t>
  </si>
  <si>
    <t xml:space="preserve">48132249ac2252e67bba75e87ed8ebb0f79c44e13d5c3663940b6381c5540f40</t>
  </si>
  <si>
    <t xml:space="preserve">{"actual_present_physical_pages":74,"all_pages_reviewed":true,"cleanup_reference":{"bytes":19752,"path":"independent-qa.json#/batches/B25/documents/group1~1018-cleanup.json","sha256":"13f6aaaf50fba5d2933e9302901866430a565270e7de9577b6bea36e6db1dc04"},"current_adoption_credit":0,"execution_result_reference":{"bytes":10177,"path":"execution-evidence.json#/batches/B25/documents/group1~1018-result.json","sha256":"3337914c195dd37affe17263bc45ab9acccf15832ef5c2c47e520cdba7f7fa5d"},"file_level_primary_role_previously_accepted":true,"formal_mutations":false,"full_content_review_complete":true,"full_review_accepted":true,"gap_closure_credit":0,"independent_QA":true,"new_original":0,"new_primary":0,"new_product":0,"original_id":"regional-20261025-8098fa1d3e7de478","package_complete_credit":0,"page_proof_reference":{"bytes":32046,"path":"independent-qa.json#/batches/B25/documents/group1~1018-page-proof.jsonl","sha256":"d99b558c69641f89812974f57f9cdf7fe58e9867e9077774193cef9382487997"},"prior_task_id":"B18-MY-008","qa_result_reference":{"bytes":14665,"path":"independent-qa.json#/batches/B25/documents/group1~1018-result.json","sha256":"20dcbec0859466a2941856a67c015ff4e684802f6bb83f4131ee39d2ebae69d5"},"queue_id":"PENDING-8098fa1d3e7de478","region_code":"MY","review_status":"full","sha256":"8098fa1d3e7de4784adc8304f0e40adca9fe431fd3ce0a253f6eab2ddb0b7b90","source_archive_sha256":"d8dd60e6ef6061e4984143b9d891b5dd848b86f8833f800902ad758355a66515","source_insurer_preserved":"Sun Life Malaysia Takaful Berhad","strict_eligible":false,"strict_status":"needs_review","strict_verified":false,"target":"Takaful Al Hakeem Master Contract","task_id":"B25-MY-018","verification_status":"needs_review"}</t>
  </si>
  <si>
    <t xml:space="preserve">{"bytes":14665,"path":"independent-qa.json#/batches/B25/documents/group1~1018-result.json","sha256":"20dcbec0859466a2941856a67c015ff4e684802f6bb83f4131ee39d2ebae69d5"}</t>
  </si>
  <si>
    <t xml:space="preserve">qa-b25-full-review-20261026/issues-and-clarifications.json#/files/17/current_QA_result</t>
  </si>
  <si>
    <t xml:space="preserve">independent-qa.json#/batches/B25/documents/issues-and-clarifications.json/files/17/current_QA_result</t>
  </si>
  <si>
    <t xml:space="preserve">069aa725776327c193794170f93183c4b3f5c20f05f194fffc0d369a87aa0384</t>
  </si>
  <si>
    <t xml:space="preserve">qa-b25-full-review-20261026/issues-and-clarifications.json#/files/17/final_status</t>
  </si>
  <si>
    <t xml:space="preserve">independent-qa.json#/batches/B25/documents/issues-and-clarifications.json/files/17/final_status</t>
  </si>
  <si>
    <t xml:space="preserve">QA018F1</t>
  </si>
  <si>
    <t xml:space="preserve">{"classification":"material_bilingual_difference","disposition":"needs_review","id":"QA018F1","observation":"PA010/PA011 cl1.3 in both languages first require whole/partial third-party reimbursement; English then offsets amount PAYABLE whereas Malay offsets amount already PAID (telah dibayar). No express language-priority provision found. No actual double payment or claim denial inferred.","pages":[42,43,70,71]}</t>
  </si>
  <si>
    <t xml:space="preserve">qa-b25-full-review-20261026/issues-and-clarifications.json#/files/17/independent_findings/0</t>
  </si>
  <si>
    <t xml:space="preserve">independent-qa.json#/batches/B25/documents/issues-and-clarifications.json/files/17/independent_findings/0</t>
  </si>
  <si>
    <t xml:space="preserve">2ee63ec7cdb12b5131c009c733b2ede2aeb979ccc33a6b1607b96c390af9fec6</t>
  </si>
  <si>
    <t xml:space="preserve">QA018F2</t>
  </si>
  <si>
    <t xml:space="preserve">{"classification":"material_bilingual_difference","disposition":"needs_review","id":"QA018F2","observation":"2019 replacement PA00316.3 permits other DIRECT CLAIMS related expenses in English; Malay refers to other fund-related expenses without that qualifier. Not an allegation of actual charging.","pages":[1,3]}</t>
  </si>
  <si>
    <t xml:space="preserve">qa-b25-full-review-20261026/issues-and-clarifications.json#/files/17/independent_findings/1</t>
  </si>
  <si>
    <t xml:space="preserve">independent-qa.json#/batches/B25/documents/issues-and-clarifications.json/files/17/independent_findings/1</t>
  </si>
  <si>
    <t xml:space="preserve">e89ef91ff36df24216585c616582589d4f624fd53d456f9641b087c6f36491e8</t>
  </si>
  <si>
    <t xml:space="preserve">QA018F3</t>
  </si>
  <si>
    <t xml:space="preserve">[8,14,25,40,52,68]</t>
  </si>
  <si>
    <t xml:space="preserve">{"classification":"material_bilingual_timing_difference","disposition":"needs_review","id":"QA018F3","observation":"PA0081.1 English starts second certificate YEAR; Malay tarikh ulangtahun kedua means second ANNIVERSARY. Anniversary is a subsequent-year date, and both tables allocate year2 ten percent/year3 onward twenty. 2018 alters1.3 scope only, not1.1; no silent harmonization.","pages":[8,14,25,40,52,68]}</t>
  </si>
  <si>
    <t xml:space="preserve">qa-b25-full-review-20261026/issues-and-clarifications.json#/files/17/independent_findings/2</t>
  </si>
  <si>
    <t xml:space="preserve">independent-qa.json#/batches/B25/documents/issues-and-clarifications.json/files/17/independent_findings/2</t>
  </si>
  <si>
    <t xml:space="preserve">8c3080cd86c504dfabf769d5a1915b1a3798a3650c35b70fc0370158f8c3e7a1</t>
  </si>
  <si>
    <t xml:space="preserve">QA018F4</t>
  </si>
  <si>
    <t xml:space="preserve">{"classification":"material_bilingual_expiry_difference","disposition":"needs_review","id":"QA018F4","observation":"English PA0123.1 expressly expires bones eligibility on anniversary immediately after49th birthday; Malay death/TPD/ineligibility provision has no49/anniversary criterion. Only parenthetical acronym(TPD) is visibly struck; full Malay disability words remain. No language priority or specific replacement resolves age omission; no automatic extended cover/void benefit inferred.","pages":[45,73]}</t>
  </si>
  <si>
    <t xml:space="preserve">qa-b25-full-review-20261026/issues-and-clarifications.json#/files/17/independent_findings/3</t>
  </si>
  <si>
    <t xml:space="preserve">independent-qa.json#/batches/B25/documents/issues-and-clarifications.json/files/17/independent_findings/3</t>
  </si>
  <si>
    <t xml:space="preserve">075a018d0fb11c8d07537eb7f36580f021a46d8d25be85d609adc348cd1ed9de</t>
  </si>
  <si>
    <t xml:space="preserve">QA018C1</t>
  </si>
  <si>
    <t xml:space="preserve">[1,2,3,4,9,10,16,17,39,41,67,69]</t>
  </si>
  <si>
    <t xml:space="preserve">{"classification":"bounded_clarification","disposition":"clarification_only","id":"QA018C1","observation":"2019 entire16/17 replacement yields50/50 afterQard with year-end eligibility and&lt;=RM10 bank-first/charity fallback, not doubleQard. Explicit SID002 lowerTPD proportional residual death dates from onset; do not generalize it to PA007 accidentTPD, where no such clause occurs. NCD first-entitlement-only second anniversary qualifies general next-anniversary rule in both languages, not separate veto.","pages":[1,2,3,4,9,10,16,17,39,41,67,69]}</t>
  </si>
  <si>
    <t xml:space="preserve">qa-b25-full-review-20261026/issues-and-clarifications.json#/files/17/independent_findings/4</t>
  </si>
  <si>
    <t xml:space="preserve">independent-qa.json#/batches/B25/documents/issues-and-clarifications.json/files/17/independent_findings/4</t>
  </si>
  <si>
    <t xml:space="preserve">1c6e1befabb61d7b71e7d5f54b285905236e762b27eaa8a7f4a0d452917bb173</t>
  </si>
  <si>
    <t xml:space="preserve">QA018C2</t>
  </si>
  <si>
    <t xml:space="preserve">[6,7,8,12,13,14,18,19,35,44,46,63,72,74]</t>
  </si>
  <si>
    <t xml:space="preserve">{"classification":"bounded_clarification","disposition":"clarification_only","id":"QA018C2","observation":"Acute/teruk retained without invented severity test; legal proceeding bar is BEFORE expiry2years, not after deadline. Assignment NOT accepted unless registered. OFS PA013 reference is correct in this file; do not import PA013/014 mismatch. Boxing unlisted in Malay examples but broad hazardous/unlisted sport exclusions remain; knee/lutut versus kneecap remains bounded terminology. Both bones frequency clauses expressly once per certificate year.","pages":[6,7,8,12,13,14,18,19,35,44,46,63,72,74]}</t>
  </si>
  <si>
    <t xml:space="preserve">qa-b25-full-review-20261026/issues-and-clarifications.json#/files/17/independent_findings/5</t>
  </si>
  <si>
    <t xml:space="preserve">independent-qa.json#/batches/B25/documents/issues-and-clarifications.json/files/17/independent_findings/5</t>
  </si>
  <si>
    <t xml:space="preserve">a1a3e14528392e3f2b4c0e0aa86aca3f9a01d47bdfa7497de16bc9b15a94d6ec</t>
  </si>
  <si>
    <t xml:space="preserve">QA018C3</t>
  </si>
  <si>
    <t xml:space="preserve">[23,24,29,30,33,37,38,39,50,51,57,58,61,65,66,67]</t>
  </si>
  <si>
    <t xml:space="preserve">{"classification":"financial_and_negation_scope","disposition":"clarification_only","id":"QA018C3","observation":"Three plans100/200/300k; public death additional100%; all monthly principal/couple contribution cells and historical6%GST/wakalah80/70 confirmed. Grace60days, free-look15, reinstate2years and last-reinstatement-only nonfraud refund. Retakaful OR reinsurance in both; approval sentence expressly retakaful. Prior accelerated PAID deduction present in all three accidental death/publicdeath/TPD clauses both languages. No reducing-loan12n formula or zero/positive-rate branch in this PA file; no imported month-boundary blocker.","pages":[23,24,29,30,33,37,38,39,50,51,57,58,61,65,66,67]}</t>
  </si>
  <si>
    <t xml:space="preserve">qa-b25-full-review-20261026/issues-and-clarifications.json#/files/17/independent_findings/6</t>
  </si>
  <si>
    <t xml:space="preserve">independent-qa.json#/batches/B25/documents/issues-and-clarifications.json/files/17/independent_findings/6</t>
  </si>
  <si>
    <t xml:space="preserve">cdfc3567bf1ea9fab3e0191017d01d93a61d4d722dbec4f988b475e84a60e109</t>
  </si>
  <si>
    <t xml:space="preserve">[{"correction":"These compressed labels refer to a positive severability provision: invalidity or unenforceability of a provision does NOT affect legality/validity/enforceability of remainder. They do not mean severability is absent. Original notes preserved.","evidence":"Independently reread ordinary216dpi pages7/13.","id":"QA018M1","kind":"own_note_precision_correction","original_note13":"MSNOTseverability","original_note7":"SeverabilityCANNOT","pages":[7,13]},{"correction":"Both conditions are negative: NOT lapsed AND NOT surrendered before financial year end. Original note preserved.","evidence":"Independent216dpi page3 and continuation4.","id":"QA018M2","kind":"own_note_precision_correction","original_note":"yearendnolapse/surrender","pages":[3]},{"correction":"Full clauses allow retakaful OR reinsurance; second sentence specifically makes retakaful subject to Shariah approval. Compressed notes are not proof reinsurance absent or approval sentence expressly covers both.","evidence":"Independent216dpi pages33/61.","id":"QA018M3","kind":"execution_compression_clarification","original_execution_notes":"Shariah-approved retakaful / retakafulShariah","pages":[33,61]},{"correction":"Four execution substantive findings independently confirmed. No material reversal needed. Page73 only-acronym strike-through confirmed; actual age49 omission distinct. Execution originals unchanged.","id":"QA018M4","kind":"execution_fact_audit","scope":"All74page notes including appended page73 clarification/correction_basis;40executionzoom assertions;all result fields including10clarifications and correction_basis;both task-specific correction-register entries."}]</t>
  </si>
  <si>
    <t xml:space="preserve">qa-b25-full-review-20261026/issues-and-clarifications.json#/files/17/metadata_corrections</t>
  </si>
  <si>
    <t xml:space="preserve">independent-qa.json#/batches/B25/documents/issues-and-clarifications.json/files/17/metadata_corrections</t>
  </si>
  <si>
    <t xml:space="preserve">69f4810525d0fcde19c0d27d715e96623b0d324cccd82b76552349b3826e7730</t>
  </si>
  <si>
    <t xml:space="preserve">qa-b25-full-review-20261026/issues-and-clarifications.json#/files/17/qa_notes</t>
  </si>
  <si>
    <t xml:space="preserve">independent-qa.json#/batches/B25/documents/issues-and-clarifications.json/files/17/qa_notes</t>
  </si>
  <si>
    <t xml:space="preserve">"Four unresolved operative bilingual differences in third-party offsets, fund expense scope, renewal timing and bones expiry; not personal schedule/current adoption alone."</t>
  </si>
  <si>
    <t xml:space="preserve">qa-b25-full-review-20261026/issues-and-clarifications.json#/files/17/strict_basis</t>
  </si>
  <si>
    <t xml:space="preserve">independent-qa.json#/batches/B25/documents/issues-and-clarifications.json/files/17/strict_basis</t>
  </si>
  <si>
    <t xml:space="preserve">21209524526e217f371ecd44ad9cb2a35788d9016d0a89ccc53c3107238ff813</t>
  </si>
  <si>
    <t xml:space="preserve">"B25-MY-018"</t>
  </si>
  <si>
    <t xml:space="preserve">qa-b25-full-review-20261026/issues-and-clarifications.json#/files/17/task_id</t>
  </si>
  <si>
    <t xml:space="preserve">independent-qa.json#/batches/B25/documents/issues-and-clarifications.json/files/17/task_id</t>
  </si>
  <si>
    <t xml:space="preserve">92ddf74584775cf32058e6b7714e3c82fea13e86be97ba6d064439c1908fc792</t>
  </si>
  <si>
    <t xml:space="preserve">{"base_edition":null,"code_not_date":"05042016 retained in identifier, not inferred issue date","issuer":"Sun Life Malaysia Takaful Berhad","master_contract_numbers":["MBSB-TAH001-05042016"],"product":"Takaful Al Hakeem (a plan under Takaful LifeStyle PA series)"}</t>
  </si>
  <si>
    <t xml:space="preserve">delivery-batch25-20261026/group1/018-result.json#/observed_identity</t>
  </si>
  <si>
    <t xml:space="preserve">execution-evidence.json#/batches/B25/documents/group1~1018-result.json/observed_identity</t>
  </si>
  <si>
    <t xml:space="preserve">6db95e17cc4b8ab7d608c3e37373b44f7bd24189c24325981c1180586ec4a20f</t>
  </si>
  <si>
    <t xml:space="preserve">[{"component":"BilingualEndorsement02/2019 effective2019-07-01 replacesPA003Qarddefinition,15.1,entire16and17","pages":[1,2,3,4]},{"component":"BilingualEndorsement01/2018 effective2018-07-01 addsSIDschedule/definitions/general/SID001andSID002;amendsPA0081.3","pages":[5,6,7,8,9,10,11,12,13,14,15,16,17]},{"component":"UndatedbilingualOFSreplacementofFMB correctlyidentifiedPA013","pages":[18,19]},{"component":"Englishcover/contents/PA001–013 printed1–26","pages":[20,21,22,23,24,25,26,27,28,29,30,31,32,33,34,35,36,37,38,39,40,41,42,43,44,45,46]},{"component":"Malaycover/contents/PA001–013 printed1–27","pages":[47,48,49,50,51,52,53,54,55,56,57,58,59,60,61,62,63,64,65,66,67,68,69,70,71,72,73,74]}]</t>
  </si>
  <si>
    <t xml:space="preserve">delivery-batch25-20261026/group1/018-result.json#/components</t>
  </si>
  <si>
    <t xml:space="preserve">execution-evidence.json#/batches/B25/documents/group1~1018-result.json/components</t>
  </si>
  <si>
    <t xml:space="preserve">d38254a2b2224b6186770df57e9391af008d8089978114cab0b56ef5dfef052b</t>
  </si>
  <si>
    <t xml:space="preserve">["All74presentpages readEnglish/Malay; no missing substantive annexureidentified. Three100k/200k/300k death/TPDlevels,publicconveyanceadditional100%;2018specifiedinfectiondeath/TPDsameamounts.","Annualbones1k/2k/3k,medical2k/4k/6k,ambulance500/1000/1500;renewal0/10/20%table;NCD20%noncumulative;wakalah80%year1/70%later. Allmonthlycontributioncellsbilingualconfirmed216dpi.","TPD180daysownorreasonablyfittedwork orloss/lossofuse,3ADLsnonworkingage6;TPDannivafter64/generalafter75. SIDaggregateTPDcapRM2m,specificlowerTPDresidualdeathcontinuation. HistoricalGST6%notcurrenttax."]</t>
  </si>
  <si>
    <t xml:space="preserve">delivery-batch25-20261026/group1/018-result.json#/content_summary</t>
  </si>
  <si>
    <t xml:space="preserve">execution-evidence.json#/batches/B25/documents/group1~1018-result.json/content_summary</t>
  </si>
  <si>
    <t xml:space="preserve">0aa6485a1258b58b09d704850f598db20711391d573bb888105e4edff4fb536a</t>
  </si>
  <si>
    <t xml:space="preserve">[{"disposition":"needs_review;notassumptionactualdoublepayment/denial","finding_id":"B25-018-F1","observation":"PA010medical/PA011ambulance1.3 bothtriggeralreadyreimbursedwholly/partly;EnglishoffsetamountPAYABLEbythirdparty,MalayamountALREADYPAID(telahdibayar). Noexpresslanguagepriorityfound.","pages":[42,43,70,71],"severity":"material_bilingual_third_party_offset_difference"},{"disposition":"needs_review;notproofactualdoublecharging","finding_id":"B25-018-F2","observation":"2019PA00316.3Englishadditionaldirectclaimsrelatedexpenses;Malayotherexpensesrelatedfundwithoutdirectclaimsqualifier.","pages":[1,3],"severity":"bilingual_fund_expense_scope_difference"},{"disposition":"needs_review;do notnormalizetiming","finding_id":"B25-018-F3","observation":"PA0081.1EnglishsecondcertificateYEARversusMalaysecondANNIVERSARY(tarikhulangtahunkedua). Bothyear1=0%,2=10%,3+=20%table.2018amends1.3scopeonly.","pages":[40,68],"severity":"material_bilingual_renewal_bonus_timing_difference"},{"disposition":"needs_review;do notinferwholebenefitvoidorautomaticextendedcover","finding_id":"B25-018-F4","observation":"PA0123.1Englishendseligibilityonanniversaryimmediatelyafter49;Malaydeath/TPD/ineligibilitywordingomits49/anniversarycriterionentirely. Onlyparenthetical(TPD)visiblystruck,fullMalaydisabilitywordingremains. No specificreplacement/languagepriorityresolvesage.","pages":[45,73],"severity":"material_bilingual_broken_bones_expiry_difference"}]</t>
  </si>
  <si>
    <t xml:space="preserve">delivery-batch25-20261026/group1/018-result.json#/substantive_findings</t>
  </si>
  <si>
    <t xml:space="preserve">execution-evidence.json#/batches/B25/documents/group1~1018-result.json/substantive_findings</t>
  </si>
  <si>
    <t xml:space="preserve">482a6064630867adbbae999938472a8fa8ed8b0724bd93c2af9480470f025f9b</t>
  </si>
  <si>
    <t xml:space="preserve">[{"observation":"2019explicitreplacementofentire16/17,50/50afterQardreadwith17notdoubleQard;&lt;=RM10bankfirstelsecharityreplacesoldautomaticcharity.","pages":[1,2,3,4,31,32,59,60]},{"observation":"LegalproceedingsliteralNOactionBEFOREexpiration2yearsfromevent,notafter2yeardeadline;noenforceabilityopinion.","pages":[8,14]},{"observation":"EnglishacutevsMalayteruk(severe)retainedwithsamediseases/vectors/diagnostictests;noinventedunwrittenseveritytest.","pages":[6,12]},{"observation":"SpecificSIDlowerTPDproportionateresidualdeathcontinuationreadwithgeneraltermination;notautomaticoperativeconflict.","pages":[9,10,16,17,34,62]},{"observation":"OFSendorsementPA013referencecorrectlylocatesactualnotice;explicitFMBreplacementpresent;effectivecalendar dateunstated.","pages":[18,19,46,74]},{"observation":"NCDonefullclaimfreeyearnextanniversarywithspecificfirstentitlementonlysecondanniversary;bothlanguagesmatch,retainqualificationratherthanrewritefirstanniversary.","pages":[41,69]},{"observation":"EnglishboxingexampleomittedMalaybutbroadunlisted/hazardoussportsremain;notautomaticboxingcoverage.","pages":[35,63]},{"observation":"Spinalcordinjuryconfirmedboth;EnglishkneecapsexclusionvsMalaylutut(knee)boundedtranslationdifference retained,notmedicalcoverageopinion.","pages":[44,72]},{"observation":"Allbenefit/contribution/feeamountsbilingualconfirmed216dpi;6%GSThistoricalsubjectchange;monthlyprincipal/coupleexGST53/98,64/118,75/139,incl56.18/103.88,67.84/125.08,79.50/147.34.","pages":[23,24,50,51]},{"observation":"216dpi confirmsMalayparenthetical(TPD)struck-throughonly;not deletionofwholeTPDterminationphrase;age49omissionisdistinctsubstantivefinding.","pages":[45,73]}]</t>
  </si>
  <si>
    <t xml:space="preserve">delivery-batch25-20261026/group1/018-result.json#/clarifications</t>
  </si>
  <si>
    <t xml:space="preserve">execution-evidence.json#/batches/B25/documents/group1~1018-result.json/clarifications</t>
  </si>
  <si>
    <t xml:space="preserve">9801828e5a190aff4e09a1f93b9ffa0aec0b84695f61c99b3a5b6b7682fc40b8</t>
  </si>
  <si>
    <t xml:space="preserve">"No initial semantic reversal required. Page73 provisionalstrike-through observation confirmed216dpi and clarificationappendedwithoutoverwritinginitialnote.40targetedpageconfirmations preserve explicitreplacementscopes,negations,amounts,codes and bilingualdifferences."</t>
  </si>
  <si>
    <t xml:space="preserve">delivery-batch25-20261026/group1/018-result.json#/correction_basis</t>
  </si>
  <si>
    <t xml:space="preserve">execution-evidence.json#/batches/B25/documents/group1~1018-result.json/correction_basis</t>
  </si>
  <si>
    <t xml:space="preserve">fc1243baca32125a598c572c7272a3c4623d8f8dd5bd9073ebd7c03a8c8ce869</t>
  </si>
  <si>
    <t xml:space="preserve">["Currentadoption/personalcertificate/holder/selectedscheme/baseeditionnotestablished;notfilelevelprimaryblockalone.","Unresolvedoperativebilingualoffset,fundexpense,renewaltimingandbonesexpiry;noexpresslanguagepriority.","Externalcurrentlaw/tax/contactvalidity,actualclaims/charges and undatedOFSdate notverified."]</t>
  </si>
  <si>
    <t xml:space="preserve">delivery-batch25-20261026/group1/018-result.json#/preserved_uncertainties</t>
  </si>
  <si>
    <t xml:space="preserve">execution-evidence.json#/batches/B25/documents/group1~1018-result.json/preserved_uncertainties</t>
  </si>
  <si>
    <t xml:space="preserve">77e4f8276753788652ad918ab0ca602d0ea2f205e2f2b4e523196148325ddc5b</t>
  </si>
  <si>
    <t xml:space="preserve">"Unresolvedmaterialoperativebilingualdifferences,notpersonalcertificate/currentadoptionabsence."</t>
  </si>
  <si>
    <t xml:space="preserve">delivery-batch25-20261026/group1/018-result.json#/strict_blocker_basis</t>
  </si>
  <si>
    <t xml:space="preserve">execution-evidence.json#/batches/B25/documents/group1~1018-result.json/strict_blocker_basis</t>
  </si>
  <si>
    <t xml:space="preserve">01c20acc0c88a93c70430d83cd123ba4f73c7e80e5d47436f8c6260de5a31f49</t>
  </si>
  <si>
    <t xml:space="preserve">{"actual_present_pages":74,"all_present_pages_semantically_reviewed":true,"checked_at_utc":"2026-10-26T19:18:09.672356+00:00","copy_allowed":false,"display_denials":0,"member_bytes":1800288,"member_sha256":"8098fa1d3e7de4784adc8304f0e40adca9fe431fd3ce0a253f6eab2ddb0b7b90","metadata_matches":true,"needs_password":0,"ordinary_visual_display_pending":false,"ordinary_visual_display_succeeded":true,"pdfinfo_metadata":"Creator:         PDF-XChange Editor 6.0.322.7\nProducer:        PDF-XChange Core API SDK (6.0.322.7)\nCreationDate:    Wed Dec  4 18:54:41 2019 JST\nModDate:         Wed Dec  4 18:55:44 2019 JST\nCustom Metadata: no\nMetadata Stream: yes\nTagged:          no\nUserProperties:  no\nSuspects:        no\nForm:            none\nJavaScript:      no\nPages:           74\nEncrypted:       yes (print:yes copy:no change:no addNotes:no algorithm:RC4)\nPage size:       595.32 x 841.92 pts (A4)\nPage rot:        0\nFile size:       1800288 bytes\nOptimized:       no\nPDF version:     1.7\n","pdfinfo_returncode":0,"permissions":-3388,"permissions_unchanged":true,"print_allowed":true,"source_archive_sha256":"d8dd60e6ef6061e4984143b9d891b5dd848b86f8833f800902ad758355a66515","task_id":"B25-MY-018","text_extraction_OCR_printing_unlocking_permission_changes":false}</t>
  </si>
  <si>
    <t xml:space="preserve">delivery-batch25-20261026/group1/018-preflight.json#</t>
  </si>
  <si>
    <t xml:space="preserve">execution-evidence.json#/batches/B25/documents/group1~1018-preflight.json</t>
  </si>
  <si>
    <t xml:space="preserve">cf7e2819c1310a95b3204d561d6aea99e335009f6ebc186ff5b65da2ee92c902</t>
  </si>
  <si>
    <t xml:space="preserve">{"actual_present_physical_pages":98,"all_pages_reviewed":true,"cleanup_reference":{"bytes":19870,"path":"independent-qa.json#/batches/B25/documents/group2-019-cleanup.json","sha256":"479ec8a8a74a8b85bf48b5804f2079f965774a005bdac0d2c3cf4c9dade6302b"},"current_adoption_credit":0,"execution_result_reference":{"bytes":8976,"path":"execution-evidence.json#/batches/B25/documents/group2~1019-result.json","sha256":"c6a97efcd4b370ac384ca1c3405060d85f027c0f2faa7c4e430fffd249b4bd6f"},"file_level_primary_role_previously_accepted":true,"formal_mutations":false,"full_content_review_complete":true,"full_review_accepted":true,"gap_closure_credit":0,"independent_QA":true,"new_original":0,"new_primary":0,"new_product":0,"original_id":"regional-20261025-4ffdb311ade64271","package_complete_credit":0,"page_proof_reference":{"bytes":46633,"path":"independent-qa.json#/batches/B25/documents/group2-019-page-proof.jsonl","sha256":"5e0498a6d27dcc2375eccd8b3e6a2a4cf5c2ab146c406d22c12d817d78333e4e"},"prior_task_id":"B18-MY-009","qa_result_reference":{"bytes":11740,"path":"independent-qa.json#/batches/B25/documents/group2-019-result.json","sha256":"bc6d0b7613de5a8d2954fda5c03fdc601272856ffef7e8b0206e39e9568e7510"},"queue_id":"PENDING-4ffdb311ade64271","region_code":"MY","review_status":"full","sha256":"4ffdb311ade642716189e0d8cb707b04df31741e234d35beefc6f0fa95527995","source_archive_sha256":"d8dd60e6ef6061e4984143b9d891b5dd848b86f8833f800902ad758355a66515","source_insurer_preserved":"Sun Life Malaysia Takaful Berhad","strict_eligible":false,"strict_status":"needs_review","strict_verified":false,"target":"Xpress Cash Awam-i Protector Plan Contract","task_id":"B25-MY-019","verification_status":"needs_review"}</t>
  </si>
  <si>
    <t xml:space="preserve">{"bytes":11740,"path":"independent-qa.json#/batches/B25/documents/group2-019-result.json","sha256":"bc6d0b7613de5a8d2954fda5c03fdc601272856ffef7e8b0206e39e9568e7510"}</t>
  </si>
  <si>
    <t xml:space="preserve">qa-b25-full-review-20261026/issues-and-clarifications.json#/files/18/current_QA_result</t>
  </si>
  <si>
    <t xml:space="preserve">independent-qa.json#/batches/B25/documents/issues-and-clarifications.json/files/18/current_QA_result</t>
  </si>
  <si>
    <t xml:space="preserve">f727db60b668411dda10c76da19ac75d77e159b97960ae05c79917b060a4b08d</t>
  </si>
  <si>
    <t xml:space="preserve">qa-b25-full-review-20261026/issues-and-clarifications.json#/files/18/final_status</t>
  </si>
  <si>
    <t xml:space="preserve">independent-qa.json#/batches/B25/documents/issues-and-clarifications.json/files/18/final_status</t>
  </si>
  <si>
    <t xml:space="preserve">qa-b25-full-review-20261026/issues-and-clarifications.json#/files/18/independent_findings</t>
  </si>
  <si>
    <t xml:space="preserve">independent-qa.json#/batches/B25/documents/issues-and-clarifications.json/files/18/independent_findings</t>
  </si>
  <si>
    <t xml:space="preserve">qa-b25-full-review-20261026/issues-and-clarifications.json#/files/18/metadata_corrections</t>
  </si>
  <si>
    <t xml:space="preserve">independent-qa.json#/batches/B25/documents/issues-and-clarifications.json/files/18/metadata_corrections</t>
  </si>
  <si>
    <t xml:space="preserve">["98/98 physicalpages independently read; all execution page semantic/prior notes, clarifications/correction_basis/metadata_corrections,37zoom confirmations and result facts reviewed. Strict needs_review for actual incorporated missingcomponent and material internal tables; notpersonalSchedule/currentadoption.","2013Aug19 namechange links CIMBAviva historicalsource;001/2011eff21Mar2011 updates eligibility18–60LASTbirthday, debtfirstholder/excesslivingpersonestate,deathsuicide/preexisting1yearcashII,TPDpreexisting1year andotherexclusions;preexistinglookback1yr beforedisbursementletter. No currentadoption inferred.","Explicit incorporation AppendixIII rates/wakalah and2011replacementB missing bothlanguages:2011printed12→17,ENbaseII18→IV21,MSbaseII19→IV22. Whole98 inventory confirms absence;notmerelypersonalSchedule. WF/rates/fundsplitunestablished;cashII itselfpresentnotmissing.","216dpi confirms A19/20year endmonth216153.51/195.83 repeats193 after21557.02/104.17. Final21752.63/100 through19yr2284.39,20yr2404.17 positive atnominalmaturity;one-monthshift inference relativeearlierendmonthsequence,not repaired. Bothlanguages same.","216dpi confirms C19yrmonth2284.67% repeats217 after227.43%;20yr239.41%/240blank. Conflictwithcashn-tformula at n=t zero;bothlanguages. No inventedrecomputedpayout.","NEW QA WITHDRAWALS: sourceasserted MS31 17yr130326.75 false: BOTH362.75 (216+432dpi). SourceassertedEN63heading145to80 false:145to180 at216dpi. Preserve prior executiontrail via independentcorrectionsfile; notinherit eitherfalseissue.","Executionpreviouswithdrawals independentlyconfirmed:18yr149310.19 BOTH;16yrcash105/10638.39/37.99 BOTH;17yrcash12932.03 BOTH. No revived numericerrors.","Englishprecedence28.3 existsboth56/82. PreexistingENsought/MSrecommended(receivedalternativeboth) and employedENhisoccupation/MSsebaranganyoccupation lexicalliteral differences remain bounded;notautomaticcoverageoutcome. ADLs six despiteMSvii–xii.","Base3.2operatorcomputesRSC but29.1hholdercomputes (bothversions); bothAppendixI,administrativeroleinconsistency notassumeddifferentformula. RSCmaydifferfinancingbalance.","CashII64/91:CV(t+x)=x/m*CSV(t+1)+(m-x)/m*CSV(t);actualdays inclsurrenderday. CSVt=.75*C*annuitydue(n-t)/annuitydue(n);annuitydue(k)=[1-(1+i)^(-k)]/[1-(1+i)^(-1)],i=.2466% stated3%pa,nrepaymentMONTHS. Positivefixedi boundaries.75C at0/0 atn;no12n-(t-1)/zero-ratebranch imported. PTF=(1-WF)/.75*CashSurrenderValue,operatorresidual. EarlysettlementONLY. MissingIIIWFnotassumed.","9.2 nonpayableTPD specifically continuesdeathsubjectterms while removesTPD;notlowerpaidTPDresidualratiofromotherproducts. 6mcontinuousTPD/RM2magg/30notice/ASAPproof/justifiedlatesaving/operatorpaidexam. General20.1TPDterminationreadwithspecific9.2.","No profit/surplusentitlementcl18;fundqardrepayment no50/50 or2019bankfirstimport.15dayfreelookfromfinancingletterDELIVERY;90dayfee/rate/tabarruchange;60daymastercancelpreservesindividual;&lt;=RM20cashwaived. LegalactionliteralBEFORE2yrbarnotdeadline;noenforceabilityopinion. AssignmentcoveredpersonCANNOT both55/82;noNOTfalseissue.","Base15yearcash vs2011replacement20yeartables small.01 rounding/value differences retained asversionupdate, notcurrentconflict. Baseprintedcashmaturityzero vs2011shadedblanknotautomaticallyblank=positive. Originalsourceunchanged;zeroacquisition/product/adoption/package/gapcredit."]</t>
  </si>
  <si>
    <t xml:space="preserve">qa-b25-full-review-20261026/issues-and-clarifications.json#/files/18/qa_notes</t>
  </si>
  <si>
    <t xml:space="preserve">independent-qa.json#/batches/B25/documents/issues-and-clarifications.json/files/18/qa_notes</t>
  </si>
  <si>
    <t xml:space="preserve">f515038cc1d4e655965618a02e9cae8af37d3b02061295c2f61fce7ae17b8fe4</t>
  </si>
  <si>
    <t xml:space="preserve">qa-b25-full-review-20261026/issues-and-clarifications.json#/files/18/strict_basis</t>
  </si>
  <si>
    <t xml:space="preserve">independent-qa.json#/batches/B25/documents/issues-and-clarifications.json/files/18/strict_basis</t>
  </si>
  <si>
    <t xml:space="preserve">"B25-MY-019"</t>
  </si>
  <si>
    <t xml:space="preserve">qa-b25-full-review-20261026/issues-and-clarifications.json#/files/18/task_id</t>
  </si>
  <si>
    <t xml:space="preserve">independent-qa.json#/batches/B25/documents/issues-and-clarifications.json/files/18/task_id</t>
  </si>
  <si>
    <t xml:space="preserve">2d2e18db4b66b7ccbdfd17b67210dd87a6af7e16a40c0c6cc5c42c9bf1b8481e</t>
  </si>
  <si>
    <t xml:space="preserve">{"current_adoption_not_established":true,"endorsement_code":"001/2011","endorsement_effective":"2011-03-21","insurer":"Sun Life Malaysia Takaful Berhad, historical CIMB Aviva Takaful Berhad source","name_change_notice_effective":"2013-08-19","product":"Xpress Cash Awam-i Protector Plan"}</t>
  </si>
  <si>
    <t xml:space="preserve">delivery-batch25-20261026/group2/019-result.json#/identity</t>
  </si>
  <si>
    <t xml:space="preserve">execution-evidence.json#/batches/B25/documents/group2~1019-result.json/identity</t>
  </si>
  <si>
    <t xml:space="preserve">9cd516eb653c57e8361a9546745a79d344dd335d67c93a7ddf0177d2024643c2</t>
  </si>
  <si>
    <t xml:space="preserve">[{"component":"bilingual2013namechangenotice","pages":"1"},{"component":"EN001/2011;general1-2,Aprinted3-12,Cprinted17-26;B13-16absent","pages":"2-23"},{"component":"MS001/2011;sameA/CandmissingB13-16","pages":"24-45"},{"component":"ENbasecover+printed1-18,21-27;III19-20absent","pages":"46-71"},{"component":"MSbasecover+printed1-19,22-28;III20-21absent","pages":"72-98"}]</t>
  </si>
  <si>
    <t xml:space="preserve">delivery-batch25-20261026/group2/019-result.json#/component_map</t>
  </si>
  <si>
    <t xml:space="preserve">execution-evidence.json#/batches/B25/documents/group2~1019-result.json/component_map</t>
  </si>
  <si>
    <t xml:space="preserve">15803032219f2005439f2adcd0e60e122b50504ca91ef9b5fb1a3bb7b9fab424</t>
  </si>
  <si>
    <t xml:space="preserve">delivery-batch25-20261026/group2/019-result.json#/language_coverage</t>
  </si>
  <si>
    <t xml:space="preserve">execution-evidence.json#/batches/B25/documents/group2~1019-result.json/language_coverage</t>
  </si>
  <si>
    <t xml:space="preserve">{"benefits":"Singlecontributiongroupfamilyreducingtermdeath/TPD,benefitperRM1000financing,2011termsupto20years. Eligibility18–60lastbirthday. Holderreceivesbenefit,debtfirst,excesstolivingcoveredorestate. Benefitmaydifferfromloanbalance.","cash_formula":"CV(t+x)=x/m*CSV(t+1)+(m-x)/m*CSV(t); CSV(t)=.75*C*[1-(1+i)^(-(n-t))]/[1-(1+i)^(-n)],i=.2466%monthly(3%pa); xincludes surrenderdate,mactualmonthdays. Tabarrushare=(1-WF)/.75*CSV,operatorCSVminusfundshare;earlysettlementonly. WF/ratesnotestablishedduemissingIII.","fund":"Contributionlesswakalah→tabarrufund;interestfreeqardwheninsufficient/nootherfundassets,repaidfromsurplus;noentitlementtoprofit/surplus.","limits_and_process":"TPD6continuousmonths/employedown-or-suitablework/unemployed3of6ADLs orspecifiedloss;aggregateRM2m. Death/TPDnotice30dayswithreasonablelateevidencesaving.2011preexisting/suicidewithin1year;preexistinglookback1yearbeforeletter.15dayfreelook,90dayrate/fee/tabarruchange,60daymasterterminationpreservesindividual,&lt;=RM20surrenderwaived."}</t>
  </si>
  <si>
    <t xml:space="preserve">delivery-batch25-20261026/group2/019-result.json#/operative_summary</t>
  </si>
  <si>
    <t xml:space="preserve">execution-evidence.json#/batches/B25/documents/group2~1019-result.json/operative_summary</t>
  </si>
  <si>
    <t xml:space="preserve">aa7b19d82905013d32eeeccbe4810919f1e2a5301cdcc2761a03b9c3cbdd2978</t>
  </si>
  <si>
    <t xml:space="preserve">[{"issue":"Explicitly incorporated AppendixIII contribution-rate/wakalah schedule and2011replacementAttachmentB are absent inbothlanguages. OnlyAandCattachmentsappear;all98presentpagesreviewed.","pages":[3,25,52,64,65,79,91,92,98],"resolution":"Missing operativecomponent;cannotdeterminefee/rates/fundsplitfromfile. Not merelypersonalholderSchedule;noinvalidityinferred."},{"issue":"2011Amonth21619/20year153.51/195.83repeatmonth193after21557.02/104.17. Finalpage21719/20year52.63/100,19year2284.39,20year2404.17 remainspositive at nominalmaturity and appears one-monthshifted relativeearlierendmonthsequence.","pages":[12,13,34,35],"resolution":"Unresolved numeric table discontinuity;sourcevaluespreserved,notrepairedbyinferredformula."},{"issue":"2011C19yearmonth2284.67% repeats217after2270.43%; differsfrommonotonecashformula expectedzeroatn=t.","pages":[23,45,64,91],"resolution":"Unresolved suppliedcashsample/formula inconsistency;noassumedpayoutorcorrection."}]</t>
  </si>
  <si>
    <t xml:space="preserve">delivery-batch25-20261026/group2/019-result.json#/material_findings</t>
  </si>
  <si>
    <t xml:space="preserve">execution-evidence.json#/batches/B25/documents/group2~1019-result.json/material_findings</t>
  </si>
  <si>
    <t xml:space="preserve">96b3bb5576e1819b99e272ca4bd7daf505045ebeb3087199348e175d0d9c783a</t>
  </si>
  <si>
    <t xml:space="preserve">[{"clarification":"2011A17yearmonth130 EN362.75 versusMS326.75confirmed. Bothversions28.3expressEnglishprevails; preservebilingualerrorandpriority,donotclaimpriorityabsent.","pages":[9,31,56,82]},{"clarification":"216dpi WITHDRAWS three144dpisuspicions:18year149both310.19;16yearcash105/106both38.39%/37.99%;17yearcash129both32.03%. No suchmismatches;priornotes/correctiontrailpreserved.","correction_basis":"Direct paired216dpi ordinaryvisual;notautomatictext/numericalsubstitution.","pages":[10,32,18,40,19,41]},{"clarification":"PreexistingENsought/MSrecommended(receivedalternativeboth)and employedTPDENhisoccupation/MSanyoccupation differ lexically;Englishprioritypresent. Neitheraloneusedtodenyscopeorfileidentity.","pages":[3,25,49,76,56,82]},{"clarification":"3.2operatorcomputesbenefitwhile29.1hholdercomputes;bothreferenceI. Preserveadministrativeroleinconsistencywithoutassumingdifferentbenefitformula.","pages":[48,56,74,83]},{"clarification":"Specific9.2deathcontinuanceafter nonpayableTPD retainedovergeneralTPDtermination;notwhollyuncoveredinference.","pages":[51,54,77,80]},{"clarification":"LegalactionliteralBEFOREexpiry2years,notafterdeadline;noenforceabilityopinion.","pages":[54,81]},{"clarification":"No profit/surplusrightcl18;fundqardrepaymentnotdoublecharge;no2019bankfirstor50/50termsimported.","pages":[53,79,80]},{"clarification":"AppendixIIformulapresentinbothlanguages,unchangedby2011I/III/IVupdates. MissingIIIcannotbe curedbyassumingWF;nominalformula retained.","pages":[64,91]},{"clarification":"Historicaloperator/name-changeidentityclear;personalholder/currentadoptionnotestablishedandnotstrictfailurebasis.","pages":[1,46,72]}]</t>
  </si>
  <si>
    <t xml:space="preserve">delivery-batch25-20261026/group2/019-result.json#/clarifications</t>
  </si>
  <si>
    <t xml:space="preserve">execution-evidence.json#/batches/B25/documents/group2~1019-result.json/clarifications</t>
  </si>
  <si>
    <t xml:space="preserve">220dd72058c522478f4346f658ec762971d125f72e2b2c874b97f443e1bcc6b6</t>
  </si>
  <si>
    <t xml:space="preserve">"All98presentpagesoriginalvisualnotes;37216dpi confirmations;withdrawnmisreadnumericcellsretainedwithpriornotes/clarifications."</t>
  </si>
  <si>
    <t xml:space="preserve">delivery-batch25-20261026/group2/019-result.json#/correction_basis</t>
  </si>
  <si>
    <t xml:space="preserve">execution-evidence.json#/batches/B25/documents/group2~1019-result.json/correction_basis</t>
  </si>
  <si>
    <t xml:space="preserve">f2db691f298429a4479e43965b0276a57634f1952a7d314ffbcffe2cd4674843</t>
  </si>
  <si>
    <t xml:space="preserve">"MissingincorporatedIII/2011B plusconfirmed internal numeric table discontinuities/formulaconflict,notpersonalSchedule/currentadoptionabsence."</t>
  </si>
  <si>
    <t xml:space="preserve">delivery-batch25-20261026/group2/019-result.json#/strict_basis</t>
  </si>
  <si>
    <t xml:space="preserve">execution-evidence.json#/batches/B25/documents/group2~1019-result.json/strict_basis</t>
  </si>
  <si>
    <t xml:space="preserve">fdfa7d1821b62aa8a5a433b06b98bbaa4e40cb863bd7c117d73b390a58cbdec2</t>
  </si>
  <si>
    <t xml:space="preserve">delivery-batch25-20261026/group2/019-result.json#/missing_incorporated_operational_component_detected</t>
  </si>
  <si>
    <t xml:space="preserve">execution-evidence.json#/batches/B25/documents/group2~1019-result.json/missing_incorporated_operational_component_detected</t>
  </si>
  <si>
    <t xml:space="preserve">delivery-batch25-20261026/group2/019-result.json#/unresolved_personal_schedule_or_adoption_is_not_strict_failure_basis</t>
  </si>
  <si>
    <t xml:space="preserve">execution-evidence.json#/batches/B25/documents/group2~1019-result.json/unresolved_personal_schedule_or_adoption_is_not_strict_failure_basis</t>
  </si>
  <si>
    <t xml:space="preserve">{"actual_present_pages":98,"all_present_pages_semantically_reviewed":true,"checked_at_utc":"2026-10-26T19:36:29.093385+00:00","copy_allowed":false,"display_denials":0,"member_bytes":5824471,"member_sha256":"4ffdb311ade642716189e0d8cb707b04df31741e234d35beefc6f0fa95527995","metadata_matches":true,"needs_password":0,"ordinary_visual_display_pending":false,"ordinary_visual_display_succeeded":true,"pdfinfo_metadata":"Title:           \nAuthor:          PADQCC\nCreator:         Adobe Acrobat 10.0.0\nProducer:        Adobe Acrobat 10.0.0\nCreationDate:    Tue Aug  6 18:12:30 2013 JST\nModDate:         Thu Jul 31 11:45:28 2014 JST\nCustom Metadata: no\nMetadata Stream: yes\nTagged:          no\nUserProperties:  no\nSuspects:        no\nForm:            none\nJavaScript:      no\nPages:           98\nEncrypted:       yes (print:yes copy:no change:no addNotes:no algorithm:RC4)\nPage size:       510.36 x 340.2 pts\nPage rot:        0\nFile size:       5824471 bytes\nOptimized:       no\nPDF version:     1.6\n","pdfinfo_returncode":0,"permissions":-1340,"permissions_unchanged":true,"print_allowed":true,"source_archive_sha256":"d8dd60e6ef6061e4984143b9d891b5dd848b86f8833f800902ad758355a66515","task_id":"B25-MY-019","text_extraction_OCR_printing_unlocking_permission_changes":false}</t>
  </si>
  <si>
    <t xml:space="preserve">delivery-batch25-20261026/group2/019-preflight.json#</t>
  </si>
  <si>
    <t xml:space="preserve">execution-evidence.json#/batches/B25/documents/group2~1019-preflight.json</t>
  </si>
  <si>
    <t xml:space="preserve">018809292fd9654b1b6cd9b83ecf700486687960c18e563cc5fadeefdaea69fa</t>
  </si>
  <si>
    <t xml:space="preserve">{"actual_present_physical_pages":41,"all_pages_reviewed":true,"cleanup_reference":{"bytes":11504,"path":"independent-qa.json#/batches/B25/documents/group3~1020-cleanup.json","sha256":"0e183353fab4a7166d32b5142342d94786730cc56bbe65e295850ef26e362916"},"current_adoption_credit":0,"execution_result_reference":{"bytes":10371,"path":"execution-evidence.json#/batches/B25/documents/group3~1020-result.json","sha256":"c517aa8385210877ce2c24154a299b94f7ece5e5f1e1af3d41c5c080df4f7fef"},"file_level_primary_role_previously_accepted":true,"formal_mutations":false,"full_content_review_complete":true,"full_review_accepted":true,"gap_closure_credit":0,"independent_QA":true,"new_original":0,"new_primary":0,"new_product":0,"original_id":"regional-20261025-1adabb1c8d9ad484","package_complete_credit":0,"page_proof_reference":{"bytes":18940,"path":"independent-qa.json#/batches/B25/documents/group3~1020-page-proof.jsonl","sha256":"43644cd547a5812130a062c5b91366a0691044eddf5c1aab4cbe1ed662cae260"},"prior_task_id":"B18-MY-010","qa_result_reference":{"bytes":12141,"path":"independent-qa.json#/batches/B25/documents/group3~1020-result.json","sha256":"1ccfb4fa9e51d52bba4f7165d414af02409bcc9d75690e99cab4fef83ab51c77"},"queue_id":"PENDING-1adabb1c8d9ad484","region_code":"MY","review_status":"full","sha256":"1adabb1c8d9ad4848d3e79851572b947a43b939d2a1312469d14c4fd4b320983","source_archive_sha256":"d8dd60e6ef6061e4984143b9d891b5dd848b86f8833f800902ad758355a66515","source_insurer_preserved":"Sun Life Malaysia Takaful Berhad","strict_eligible":false,"strict_status":"needs_review","strict_verified":false,"target":"Xpress Cash Protector-i Plan Contract","task_id":"B25-MY-020","verification_status":"needs_review"}</t>
  </si>
  <si>
    <t xml:space="preserve">{"bytes":12141,"path":"independent-qa.json#/batches/B25/documents/group3~1020-result.json","sha256":"1ccfb4fa9e51d52bba4f7165d414af02409bcc9d75690e99cab4fef83ab51c77"}</t>
  </si>
  <si>
    <t xml:space="preserve">qa-b25-full-review-20261026/issues-and-clarifications.json#/files/19/current_QA_result</t>
  </si>
  <si>
    <t xml:space="preserve">independent-qa.json#/batches/B25/documents/issues-and-clarifications.json/files/19/current_QA_result</t>
  </si>
  <si>
    <t xml:space="preserve">f334a86aa49233612d7376838f9dd39a5a0357f5146fbf219724f521a129374c</t>
  </si>
  <si>
    <t xml:space="preserve">qa-b25-full-review-20261026/issues-and-clarifications.json#/files/19/final_status</t>
  </si>
  <si>
    <t xml:space="preserve">independent-qa.json#/batches/B25/documents/issues-and-clarifications.json/files/19/final_status</t>
  </si>
  <si>
    <t xml:space="preserve">[{"blocking":true,"detail":"Operative TPD amount differs: EN0061.1 prevailing sum at disability inception vs MS jumlah permulaan yang dilindungi (initial sum), defined separately at coverage inception by003. Decreasing formula makes distinction meaningful. 2015 ADDS onset/inforce requirement, does not replace amount; no language-priority clause observed. Neither guarantee higher payment nor infer invalidity.","id":"020-QF1","physical_pages":[11,13,16,24,30,38]},{"blocking":true,"detail":"Named incorporated schedule of wakalah fees and tabarru supplies operative percentages, but no such schedule/percentages exists among all41pages, including2020 replacement retaining reference. This generic charge component absence, not merely personalized002 absence, prevents strict. Bothlanguagebase sequencesendprinted15of17; cannot infer missing16–17contents from footer alone.","id":"020-QF2","physical_pages":[4,6,21,35]},{"blocking":false,"detail":"2019 notwithstanding endorsement adds conditional distributable surplus IF ANY/yearend eligibility and&lt;=RM10 bankelsecharity, notwhole14replacement. Base14.1 no distribution retained; integration caveat but no guaranteed distributable amount, duplicate allocation, or independently demonstrated impossible execution. No invented distributionpercent.","id":"020-QC1","physical_pages":[8,9,18,33]},{"blocking":false,"detail":"2015tax23 and2025sanction23 collideinnumbering, but noexpress taxdeletion andothertermsunchanged; subjectdistinguishes provisions.","id":"020-QC2","physical_pages":[1,2,11,13]},{"blocking":false,"detail":"Formula explicitly ISC*(1-vf^(n-(t-1)))/(1-vf^n),t=1..n,nMONTHS,if36%,vf1/(1+if/12). FirstmonthISC,lastpositive; nozerobranch or12n branchpattern. ENcurtateduration/MSdurationmonths andmonthlyrange retained; no alternate conflicting formula identified, no postexpirycover inferred. ENcommencementfacilitymeasured/MSditentukan(determined) distinctfromeffective-disbursement; retain bounded drafting/timing caveat, not silently equate them or inferparticularstartdate.","id":"020-QC3","physical_pages":[17,27,31,41]},{"blocking":false,"detail":"Own/similar fitted occupationTPD6months,notANYoccupation imported;2examiners,2maggregate,monthlyanniversaryafter65. Notice30daysreasonable-delayexception/proof6months. ImmoralityexpressinBOTHlanguages; no omissionfinding. Historical1–2yearlegalwindowdeletedentirely2020 p4/7. No lowTPDresidualdeath clause observed.","id":"020-QC4","physical_pages":[24,25,26,38,39,40]}]</t>
  </si>
  <si>
    <t xml:space="preserve">qa-b25-full-review-20261026/issues-and-clarifications.json#/files/19/independent_findings</t>
  </si>
  <si>
    <t xml:space="preserve">independent-qa.json#/batches/B25/documents/issues-and-clarifications.json/files/19/independent_findings</t>
  </si>
  <si>
    <t xml:space="preserve">5aeceb82301a7ad2a1737b8e0ca22996707e978a4a2dfbe337bc11306a0e7cce</t>
  </si>
  <si>
    <t xml:space="preserve">[{"disposition":"Independentlycheckedagainstoriginal; substantiveF1/F2confirmed, boundedclarificationsacceptedexceptcorrectionsbelow. Sourcefreezeunchanged.","scope":"all execution result keys/components/content_summary/findings/clarifications/correction_basis/uncertainties;41pageproof rows/allnon-note fields;29zoom confirmations;020correction-register entry"},{"correction":"Coversphysical14/28 have no printed page number. Actual numberedsequence2,4–15of17, withunnumberedcover. Do not claim visiblyprinted1 or missingcontents on that basis.","original":"Printed1,2,4–15of17","scope":"executioncomponents baseEN/MS"},{"correction":"ExactTPD6.1d ATTEMPTEDsuicide, immorality,intentionalselfinjury; preserveattemptedqualifier. Deathsuicide separatep22/36no statedwindow.","original":"selfharm/suicide/immorality","scope":"executionpage25semantic_note"},{"correction":"Actualquotedgfundheading/contentandENuniquetarget; boundedmistitledintro notwrongagereplacementorfundabsence.","original":"Salah nyata umur in introduction for1.1g","physical_pages":[3,5,6],"scope":"2020MSfundreplacementeditorial"},{"disposition":"Resolvedonlyafterownall41originalpagesand216enlargements;noexecutionnotesusedassubstitutefororiginal.","scope":"sourceformula/scheduleinitialpendingnotes"}]</t>
  </si>
  <si>
    <t xml:space="preserve">qa-b25-full-review-20261026/issues-and-clarifications.json#/files/19/metadata_corrections</t>
  </si>
  <si>
    <t xml:space="preserve">independent-qa.json#/batches/B25/documents/issues-and-clarifications.json/files/19/metadata_corrections</t>
  </si>
  <si>
    <t xml:space="preserve">0b6840eb985bad5fd1db9df328c0f85c85d8dac2c2590c51fb2d863b43545ca8</t>
  </si>
  <si>
    <t xml:space="preserve">qa-b25-full-review-20261026/issues-and-clarifications.json#/files/19/qa_notes</t>
  </si>
  <si>
    <t xml:space="preserve">independent-qa.json#/batches/B25/documents/issues-and-clarifications.json/files/19/qa_notes</t>
  </si>
  <si>
    <t xml:space="preserve">"All41presentpagesfullyindependentlyreviewed; substantivebilingualTPDamountdifference andabsentincorporatedgenerichargeschedule. Personalcertificate/schedule/adoptionunknownaloneNOTveto."</t>
  </si>
  <si>
    <t xml:space="preserve">qa-b25-full-review-20261026/issues-and-clarifications.json#/files/19/strict_basis</t>
  </si>
  <si>
    <t xml:space="preserve">independent-qa.json#/batches/B25/documents/issues-and-clarifications.json/files/19/strict_basis</t>
  </si>
  <si>
    <t xml:space="preserve">9f580a681c7d658f91889e2898c52accc88ca0f24094018d268e6091e747472a</t>
  </si>
  <si>
    <t xml:space="preserve">"B25-MY-020"</t>
  </si>
  <si>
    <t xml:space="preserve">qa-b25-full-review-20261026/issues-and-clarifications.json#/files/19/task_id</t>
  </si>
  <si>
    <t xml:space="preserve">independent-qa.json#/batches/B25/documents/issues-and-clarifications.json/files/19/task_id</t>
  </si>
  <si>
    <t xml:space="preserve">051e00d270b0ee4371923b3937b66c05fec0311136ec78dfa6c89da391b02124</t>
  </si>
  <si>
    <t xml:space="preserve">{"code_is_not_assumed_revision_date":true,"master_contract_number":"XCPI1114","operator":"Sun Life Malaysia Takaful Berhad","product":"Xpress Cash Protector-i"}</t>
  </si>
  <si>
    <t xml:space="preserve">delivery-batch25-20261026/group3/020-result.json#/observed_identity</t>
  </si>
  <si>
    <t xml:space="preserve">execution-evidence.json#/batches/B25/documents/group3~1020-result.json/observed_identity</t>
  </si>
  <si>
    <t xml:space="preserve">b97be1fb127700f71a999f7917143025147a66f568c6f167ab4f61bce6a285e5</t>
  </si>
  <si>
    <t xml:space="preserve">[{"component":"2025-07-01 endorsement","effect":"Sanction exclusion XCPI00323; other provisions unchanged.","language":"English/Malay","physical_pages":[1,2]},{"component":"2020-07-01 endorsement","effect":"Replaces XCPI001 basic principles, fund definition, entire age9 and amendment16 and wakalah0042; adds definitions; deletes TPD0068 legal proceedings entirely.","language":"English/Malay","physical_pages":[3,4,5,6,7]},{"component":"2019-07-01 endorsement","effect":"Adds surplus14.2/14.3 smallpayment/conditionaleligibility and amendment16.2 (latter superseded2020 whole16).","language":"English/Malay","physical_pages":[8,9]},{"component":"2015-01-01 endorsement","effect":"Deletes contract definition; replaces eligibility3 with master contract/IFSA remedies; adds tax23 and onset/in-force requirement to TPD1.1, not replacement of benefit amount.","language":"English/Malay","physical_pages":[10,11,12,13]},{"component":"Base master XCPI001/003–007","effect":"Printed1,2,4–15of17; no002personal/master schedule or printed16–17 present.","language":"English","physical_pages":[14,15,16,17,18,19,20,21,22,23,24,25,26,27]},{"component":"Base master XCPI001/003–007","effect":"Printed1,2,4–15of17; same structural gaps, independently read.","language":"Malay","physical_pages":[28,29,30,31,32,33,34,35,36,37,38,39,40,41]}]</t>
  </si>
  <si>
    <t xml:space="preserve">delivery-batch25-20261026/group3/020-result.json#/components</t>
  </si>
  <si>
    <t xml:space="preserve">execution-evidence.json#/batches/B25/documents/group3~1020-result.json/components</t>
  </si>
  <si>
    <t xml:space="preserve">31e589494821a92e4703ca5b18891478e5f516ed25d5a7ca65264f255b3f95f5</t>
  </si>
  <si>
    <t xml:space="preserve">["Single contribution financing-linked decreasing death/TPD cover. Effective date requires disbursed facility, approval and full payment, subject specific incomplete-contribution prorate/refund option. Person may write to continue until natural expiry after financing/client relationship ends.","Death prevailing sum, holder financing debt then excess nominee/rightful claimant; no assumption that total benefit is debt-capped. Suicide exclusion has no stated time window; proportional unexpired tabarru refund only. Death information within2years.","TPD own/similar fitted work ages18–65 for6months; nonworker3/6ADLs6months; two examiners and permanent eye/limb loss/paralysis alternatives. Aggregate RM2m; onset/in-force condition2015; monthly anniversary after65 terminates. Notice30days with reasonable-delay saving, proof6months. All cover deemed terminated first disability day.","Free look15days delivery, contribution refund without profit less medical expenses. Incontestability2years later effective/reinstatement except fraud/nonpay. Master cancellation60days preserves existing certificates until termination event. Rate changes90days; contribution-rate revision does not affect earlier-issued cover.","XCPI007 in both languages explicitly SC_t=ISC*[1-v_f^(n-(t-1))]/[1-v_f^n], t=1..n, n months, v_f=1/(1+i_f/12), i_f printed36%; no missing initial-sum multiplier and no speculative zero-rate blocker."]</t>
  </si>
  <si>
    <t xml:space="preserve">delivery-batch25-20261026/group3/020-result.json#/content_summary</t>
  </si>
  <si>
    <t xml:space="preserve">execution-evidence.json#/batches/B25/documents/group3~1020-result.json/content_summary</t>
  </si>
  <si>
    <t xml:space="preserve">0a6e80e43ceeff0715dcdcddf06604da0044df3b9a5efe74dd32304cd2b0e134</t>
  </si>
  <si>
    <t xml:space="preserve">[{"basis":"Unresolved operative bilingual TPD amount difference","detail":"English XCPI0061.1 p24 pays sum covered prevailing at disability inception; Malay p38 uses jumlah permulaan yang dilindungi (initial sum covered), defined separately at coverage inception in003 p30.2015 p11/13 ADDS commencement/in-force condition, not replacement of amount. No language-priority provision observed. Distinct initial versus decreasing sum may affect amount; no higher payout/invalidation inferred.","high_resolution_confirmation":true,"id":"020-F1","physical_pages":[11,13,16,24,30,38]},{"basis":"Absent incorporated financial component, distinct from personal schedule","detail":"XCPI0042.1 and3.1 explicitly assign wakalah and tabarru percentages to schedule of wakalah fees and tabarru;2020 replacement retains this reference. No such schedule or percentages appears on any of41existingpages. Both base language sequences end printed15of17. Cannot assign missing16–17contents solely from pagination, but named incorporated charges schedule is absent and unresolved. Missing personalized002 alone is NOT this blocker.","high_resolution_confirmation":true,"id":"020-F2","physical_pages":[4,6,21,27,35,41]}]</t>
  </si>
  <si>
    <t xml:space="preserve">delivery-batch25-20261026/group3/020-result.json#/substantive_findings</t>
  </si>
  <si>
    <t xml:space="preserve">execution-evidence.json#/batches/B25/documents/group3~1020-result.json/substantive_findings</t>
  </si>
  <si>
    <t xml:space="preserve">2640504badf2153faf83ffd55cbde8037db3922199135ec7b9462d6197d42b94</t>
  </si>
  <si>
    <t xml:space="preserve">[{"clarification":"Base14.1 retains fund surplus/no distribution;2019 adds eligibility only for distributable surplus IF ANY with notwithstanding priority. Retain integration caveat but do not infer guaranteed surplus, contradictory double allocation, or independent strict blocker; no distribution percentage invented.","correction_basis":"216dpi confirms conditional distributable/ifany, addition14.2/14.3 not whole14 replacement.","physical_pages":[8,9,18,33]},{"clarification":"2015 tax23 and2025 sanction23 duplicate numbering retained; no express deletion of tax, otherprovisions unchanged. Not automatically substantive conflict.","correction_basis":"Both dated endorsements visually confirmed.","physical_pages":[1,2,11,13]},{"clarification":"Malay2020 fund replacement introduction erroneously says misstatementofage; actual quoted1.1g heading/content and English uniquely identify participants fund. Bounded editorial target typo.","correction_basis":"216dpi p5–6 versus p3.","physical_pages":[5,6]},{"clarification":"English commencement facility is measured and Malay ditentukan (determined) are preserved verbatim as bounded unclear drafting, not silently equated with disbursement/effective date. Certificate/application timing still required.","correction_basis":"216dpi confirms both wording and separate effective-date clause4.","physical_pages":[17,31]},{"clarification":"Immorality exclusion expressly present in BOTH languages; no omission finding.","physical_pages":[25,40]},{"clarification":"Historical legal-action1–2year window entirely deleted by2020; not reported as current source-integrated operative restriction.","physical_pages":[4,7,26,40]}]</t>
  </si>
  <si>
    <t xml:space="preserve">delivery-batch25-20261026/group3/020-result.json#/clarifications</t>
  </si>
  <si>
    <t xml:space="preserve">execution-evidence.json#/batches/B25/documents/group3~1020-result.json/clarifications</t>
  </si>
  <si>
    <t xml:space="preserve">f7b13b44add06ce09007b079d2b534365ac0b934dc2e360b90f8a0e3e25300bd</t>
  </si>
  <si>
    <t xml:space="preserve">["All41pages actually read,29targeted216dpi pages confirmed. Pending formula/schedule questions in initialpageproof resolved by enlarged comparison/allpages; original shortnotes retained, not overwritten. No source text altered."]</t>
  </si>
  <si>
    <t xml:space="preserve">delivery-batch25-20261026/group3/020-result.json#/correction_basis</t>
  </si>
  <si>
    <t xml:space="preserve">execution-evidence.json#/batches/B25/documents/group3~1020-result.json/correction_basis</t>
  </si>
  <si>
    <t xml:space="preserve">dc738417918b479962557d0b9e7ca85feb5ea3495f6bf07874bbf8ec4eaf5e27</t>
  </si>
  <si>
    <t xml:space="preserve">["No personal certificate/master002schedule, individualized initialsum/term/application/bank/nomination, source-current adoption evidence; these alone not strict blockers.","Exact missing printed16–17contents cannot be inferred, though incorporated named fee/tabarruschedule absent.","No legal enforceability, tax-currentness, current product availability or particular claim conclusion provided."]</t>
  </si>
  <si>
    <t xml:space="preserve">delivery-batch25-20261026/group3/020-result.json#/preserved_uncertainties</t>
  </si>
  <si>
    <t xml:space="preserve">execution-evidence.json#/batches/B25/documents/group3~1020-result.json/preserved_uncertainties</t>
  </si>
  <si>
    <t xml:space="preserve">6e11e44bf65456ba43440003b92711c4613c98ba9c43ba64cac1baccdb55f2c1</t>
  </si>
  <si>
    <t xml:space="preserve">"F1 operative bilingual TPD sum difference and F2 absent incorporated charge allocation schedule; not merely current adoption or personalized schedule absence."</t>
  </si>
  <si>
    <t xml:space="preserve">delivery-batch25-20261026/group3/020-result.json#/strict_blocker_basis</t>
  </si>
  <si>
    <t xml:space="preserve">execution-evidence.json#/batches/B25/documents/group3~1020-result.json/strict_blocker_basis</t>
  </si>
  <si>
    <t xml:space="preserve">aca2a0a10ef5b4cd3f6760b1f56af5f45d9083013d6c02e800429e8df051134b</t>
  </si>
  <si>
    <t xml:space="preserve">{"actual_present_pages":41,"all_present_pages_semantically_reviewed":true,"checked_at_utc":"2026-10-26T20:15:40.837075+00:00","copy_allowed":false,"display_denials":0,"member_bytes":1881599,"member_sha256":"1adabb1c8d9ad4848d3e79851572b947a43b939d2a1312469d14c4fd4b320983","metadata_matches":true,"needs_password":0,"ordinary_visual_display_pending":false,"ordinary_visual_display_succeeded":true,"pdfinfo_metadata":"Creator:         PDF-XChange Editor 6.0.322.7\nProducer:        PDF-XChange Core API SDK (6.0.322.7)\nCreationDate:    Fri Dec  6 12:07:22 2019 JST\nModDate:         Wed Jan  7 14:57:42 2026 JST\nCustom Metadata: no\nMetadata Stream: yes\nTagged:          no\nUserProperties:  no\nSuspects:        no\nForm:            none\nJavaScript:      no\nPages:           41\nEncrypted:       yes (print:no copy:no change:no addNotes:no algorithm:RC4)\nPage size:       594.75 x 842.25 pts (A4)\nPage rot:        0\nFile size:       1881599 bytes\nOptimized:       no\nPDF version:     1.7\n","pdfinfo_returncode":0,"permissions":-3392,"permissions_unchanged":true,"print_allowed":false,"source_archive_sha256":"d8dd60e6ef6061e4984143b9d891b5dd848b86f8833f800902ad758355a66515","task_id":"B25-MY-020","text_extraction_OCR_printing_unlocking_permission_changes":false}</t>
  </si>
  <si>
    <t xml:space="preserve">delivery-batch25-20261026/group3/020-preflight.json#</t>
  </si>
  <si>
    <t xml:space="preserve">execution-evidence.json#/batches/B25/documents/group3~1020-preflight.json</t>
  </si>
  <si>
    <t xml:space="preserve">9cc86713b3d88da19ac788849f16dd70e9ebbb4f14c7307d76b0c592d88c398b</t>
  </si>
  <si>
    <t xml:space="preserve">{"actual_present_physical_pages":51,"all_pages_reviewed":true,"cleanup_reference":{"bytes":11693,"path":"independent-qa.json#/batches/B25/documents/group2-021-cleanup.json","sha256":"c205fc05cb9be59887ec33b308b19fe6e4d4ed0f21654f4fe1a654b70d88dab3"},"current_adoption_credit":0,"execution_result_reference":{"bytes":9426,"path":"execution-evidence.json#/batches/B25/documents/group2~1021-result.json","sha256":"b2f5a2d4b637dde40c6596a3b6236e508db5f2f503dcee3e3dd31808d56cd84b"},"file_level_primary_role_previously_accepted":true,"formal_mutations":false,"full_content_review_complete":true,"full_review_accepted":true,"gap_closure_credit":0,"independent_QA":true,"new_original":0,"new_primary":0,"new_product":0,"original_id":"regional-20261025-3a19c9dc518692e3","package_complete_credit":0,"page_proof_reference":{"bytes":26234,"path":"independent-qa.json#/batches/B25/documents/group2-021-page-proof.jsonl","sha256":"cae42130b65bc2f60cc249e96bac5f47f5f22ad2f100c2e54e74e6c83cd9cab8"},"prior_task_id":"B18-MY-012","qa_result_reference":{"bytes":13011,"path":"independent-qa.json#/batches/B25/documents/group2-021-result.json","sha256":"1536b191fb3a4d5cfd1dc11baeb64705d0b82ce0f30eb2d1a25cf075bfb89a22"},"queue_id":"PENDING-3a19c9dc518692e3","region_code":"MY","review_status":"full","sha256":"3a19c9dc518692e32bdfca89ae70dbbfc3a525d08b82e0bc29311abdb69af3a1","source_archive_sha256":"d8dd60e6ef6061e4984143b9d891b5dd848b86f8833f800902ad758355a66515","source_insurer_preserved":"Sun Life Malaysia Takaful Berhad","strict_eligible":false,"strict_status":"needs_review","strict_verified":false,"target":"Sun Auto Takaful Master Contract","task_id":"B25-MY-021","verification_status":"needs_review"}</t>
  </si>
  <si>
    <t xml:space="preserve">{"bytes":13011,"path":"independent-qa.json#/batches/B25/documents/group2-021-result.json","sha256":"1536b191fb3a4d5cfd1dc11baeb64705d0b82ce0f30eb2d1a25cf075bfb89a22"}</t>
  </si>
  <si>
    <t xml:space="preserve">qa-b25-full-review-20261026/issues-and-clarifications.json#/files/20/current_QA_result</t>
  </si>
  <si>
    <t xml:space="preserve">independent-qa.json#/batches/B25/documents/issues-and-clarifications.json/files/20/current_QA_result</t>
  </si>
  <si>
    <t xml:space="preserve">f0022ba7ed87f5fba92abb60d8746268bd3187e3ce7bed07fd5d501fa3b73eb9</t>
  </si>
  <si>
    <t xml:space="preserve">qa-b25-full-review-20261026/issues-and-clarifications.json#/files/20/final_status</t>
  </si>
  <si>
    <t xml:space="preserve">independent-qa.json#/batches/B25/documents/issues-and-clarifications.json/files/20/final_status</t>
  </si>
  <si>
    <t xml:space="preserve">qa-b25-full-review-20261026/issues-and-clarifications.json#/files/20/independent_findings</t>
  </si>
  <si>
    <t xml:space="preserve">independent-qa.json#/batches/B25/documents/issues-and-clarifications.json/files/20/independent_findings</t>
  </si>
  <si>
    <t xml:space="preserve">qa-b25-full-review-20261026/issues-and-clarifications.json#/files/20/metadata_corrections</t>
  </si>
  <si>
    <t xml:space="preserve">independent-qa.json#/batches/B25/documents/issues-and-clarifications.json/files/20/metadata_corrections</t>
  </si>
  <si>
    <t xml:space="preserve">"Independent full51actualpages EN/MS plus all execution51pageproof semantic/prior/clarification/correction_basis and33zoom facts reviewed.26independent216dpi confirmations. Source prior errors/corrections retained; no originals or source metadata changed."</t>
  </si>
  <si>
    <t xml:space="preserve">qa-b25-full-review-20261026/issues-and-clarifications.json#/files/20/qa_notes/0</t>
  </si>
  <si>
    <t xml:space="preserve">independent-qa.json#/batches/B25/documents/issues-and-clarifications.json/files/20/qa_notes/0</t>
  </si>
  <si>
    <t xml:space="preserve">105e35e866f282feff851a4c407dec9ef057e387b75fb9f1e46d0083bec33b69</t>
  </si>
  <si>
    <t xml:space="preserve">"Sun Auto Takaful SAT0816 Sun Life Malaysia Takaful Berhad;2025July1 EN1/MS2,2020 EN3-4/MS5-6,2019 EN7-10/MS8,11-12,ENbase13-31 printed2,4-20/MS32-51 printed2,4-21. PersonalSchedule3 absent both but not sole strict veto; no evidence of current adoption/complete issued package."</t>
  </si>
  <si>
    <t xml:space="preserve">qa-b25-full-review-20261026/issues-and-clarifications.json#/files/20/qa_notes/1</t>
  </si>
  <si>
    <t xml:space="preserve">independent-qa.json#/batches/B25/documents/issues-and-clarifications.json/files/20/qa_notes/1</t>
  </si>
  <si>
    <t xml:space="preserve">3d25cd72481174536c310c6b8fef0f58219bbb8f4d14a4989f0d2cec09239a8f</t>
  </si>
  <si>
    <t xml:space="preserve">"Needs_review independently:2020wholeSAT0041.4 EN4 limits other direct claims-related expenses; MS6other related expenses lacks direct/claims limitation. Same underlying base22/42difference is not cured by2020. Execution correction withdrawing cure claim independently upheld."</t>
  </si>
  <si>
    <t xml:space="preserve">qa-b25-full-review-20261026/issues-and-clarifications.json#/files/20/qa_notes/2</t>
  </si>
  <si>
    <t xml:space="preserve">independent-qa.json#/batches/B25/documents/issues-and-clarifications.json/files/20/qa_notes/2</t>
  </si>
  <si>
    <t xml:space="preserve">f90245e068b3ed3e0b78b3126428747689188b3839cc58032531fce278a0d7cb</t>
  </si>
  <si>
    <t xml:space="preserve">"Needs_review independently:SAT0073.1(e) EN27breach of criminal law vsMS48general law breach, both innocent-party and illegal-organisation language present. No express language-priority cure found. Immigration/civil or actual claim coverage not inferred."</t>
  </si>
  <si>
    <t xml:space="preserve">qa-b25-full-review-20261026/issues-and-clarifications.json#/files/20/qa_notes/3</t>
  </si>
  <si>
    <t xml:space="preserve">independent-qa.json#/batches/B25/documents/issues-and-clarifications.json/files/20/qa_notes/3</t>
  </si>
  <si>
    <t xml:space="preserve">dfb26d24f49a6fcb2758299dd492142ac7dd40e7c2e62c1d6a09713d7ec7b16c</t>
  </si>
  <si>
    <t xml:space="preserve">"Bounded ambiguity2019MS11sayswhole2.1.2replacement but only heading and(e)bathing supplied; EN9only2.1.3 amended. BaseMS47bath already matchesEN27. Do not assert all otherADLs/18-65/6month/3of6 deleted; retain replacement-scope question."</t>
  </si>
  <si>
    <t xml:space="preserve">qa-b25-full-review-20261026/issues-and-clarifications.json#/files/20/qa_notes/4</t>
  </si>
  <si>
    <t xml:space="preserve">independent-qa.json#/batches/B25/documents/issues-and-clarifications.json/files/20/qa_notes/4</t>
  </si>
  <si>
    <t xml:space="preserve">4e0f5b5c132938f4ae15e80675d8258590ae3645ad7d033deb94c1f0fd9ee862</t>
  </si>
  <si>
    <t xml:space="preserve">"2025nomination wholecl6 ownerage16executor/conditionalhibah uponownerdeath, written lifetime notice receivedregistered/effective receipt. Owner is not automatically masterholder and this does not create unrelated ownerdeathcover. New28sanctions allows suspended/terminated/voidcover,transactionstop/payment-refusal only specified law/sanction prohibition."</t>
  </si>
  <si>
    <t xml:space="preserve">qa-b25-full-review-20261026/issues-and-clarifications.json#/files/20/qa_notes/5</t>
  </si>
  <si>
    <t xml:space="preserve">independent-qa.json#/batches/B25/documents/issues-and-clarifications.json/files/20/qa_notes/5</t>
  </si>
  <si>
    <t xml:space="preserve">df82f71be87c450a0d91e5c10a7ed303762905d42cde7576fc9b421f4d310de0</t>
  </si>
  <si>
    <t xml:space="preserve">"2020addsWakalahdefinition,wholeage10requiresproof and correctage/contribution adjustment/refund/enddate; formerineligibletermination10.3replaced. Wholelegal18deleted, so no current2yrlegal-action bar. Wholecash22earlysettlement/surrender operator-determined period/time-dependent value funded byoperator/PTF; no specifically incorporated missing cash-formula annex."</t>
  </si>
  <si>
    <t xml:space="preserve">qa-b25-full-review-20261026/issues-and-clarifications.json#/files/20/qa_notes/6</t>
  </si>
  <si>
    <t xml:space="preserve">independent-qa.json#/batches/B25/documents/issues-and-clarifications.json/files/20/qa_notes/6</t>
  </si>
  <si>
    <t xml:space="preserve">5cc4270873ce4debe3518cbd198ae9fea7803f360db11bc1e19a1386231bf263</t>
  </si>
  <si>
    <t xml:space="preserve">"2020wholefund1collectivePTF/tabarruactivation/Shariahprofit/surplusSAT008/qardrepaidonfutureexcess;wholewakalah2certificatepercent/90daynotice/correctmismanagementandrefundifnecessary/fee-refundifanyaspartcancel-surrender. Not unconditional all-fee refund."</t>
  </si>
  <si>
    <t xml:space="preserve">qa-b25-full-review-20261026/issues-and-clarifications.json#/files/20/qa_notes/7</t>
  </si>
  <si>
    <t xml:space="preserve">independent-qa.json#/batches/B25/documents/issues-and-clarifications.json/files/20/qa_notes/7</t>
  </si>
  <si>
    <t xml:space="preserve">8d9afef1153b422405ece18d128c83178f6ba8a0dd4dc9a44017eb2033a6916a</t>
  </si>
  <si>
    <t xml:space="preserve">"2019compliance13.1prior written ordinarypost or othercommunication. Separate2019rights14.3&lt;=RM10percoveredperson/FY surplus/profit/maturity latestbank elsecharity;15.2and22.2.2deleted. 2019SAT008 ADDS3.2 not whole3.1replacement:base50/50operator/covered retained, financing-accountoffset unless settledandcontinuedcover thenpaidcovered;notlapse/surrenderFYend andterminationbydistribution→rights14. No cross-product whole-replacement rule."</t>
  </si>
  <si>
    <t xml:space="preserve">qa-b25-full-review-20261026/issues-and-clarifications.json#/files/20/qa_notes/8</t>
  </si>
  <si>
    <t xml:space="preserve">independent-qa.json#/batches/B25/documents/issues-and-clarifications.json/files/20/qa_notes/8</t>
  </si>
  <si>
    <t xml:space="preserve">9bad8bf02e5b9e470169a3192042acfa55fbcb154d4eb3482b0f230dd1b2d381</t>
  </si>
  <si>
    <t xml:space="preserve">"2019whole2.1.3permanentblindness/bilateral limb severance AT OR ABOVE wrist/ankle/eye-plus-limb/totalpermanentparalysis,2examiners. Do not read above-only or delete severance."</t>
  </si>
  <si>
    <t xml:space="preserve">qa-b25-full-review-20261026/issues-and-clarifications.json#/files/20/qa_notes/9</t>
  </si>
  <si>
    <t xml:space="preserve">independent-qa.json#/batches/B25/documents/issues-and-clarifications.json/files/20/qa_notes/9</t>
  </si>
  <si>
    <t xml:space="preserve">67fa41ef8fd3f67872b1491d62bcac436c30acc3eda6f72158b9fa29ab89b173</t>
  </si>
  <si>
    <t xml:space="preserve">"EN15preexistinglookback12months sought OR received vsMS34recommended OR received; prudent/known limbs remain. Bounded lexical difference not automatic coverage conclusion. Single-contribution hirepurchase family death/TPD notmotor-property insurance;masterholder rights auto transfer7.2wheninterestceases."</t>
  </si>
  <si>
    <t xml:space="preserve">qa-b25-full-review-20261026/issues-and-clarifications.json#/files/20/qa_notes/10</t>
  </si>
  <si>
    <t xml:space="preserve">independent-qa.json#/batches/B25/documents/issues-and-clarifications.json/files/20/qa_notes/10</t>
  </si>
  <si>
    <t xml:space="preserve">576cd5d760e78c4c4d0d315ad91288f4e9ac6b40c2b0cabd0a8dd4d9569550b0</t>
  </si>
  <si>
    <t xml:space="preserve">"15dayfreelook from certificateDELIVERY lessmedical/no profit;incontest2yearsissueexceptfraud;nonfraudinvalidcontributionrefund. 15.1facilityterminationcancontinuecover or surrendercash potentially muchlesspaid.90daymastercancelkeepsindividualcoverage. AssignmentNOTapplicable and reinstatementNOTapplicable preserved, not false missingNOT."</t>
  </si>
  <si>
    <t xml:space="preserve">qa-b25-full-review-20261026/issues-and-clarifications.json#/files/20/qa_notes/11</t>
  </si>
  <si>
    <t xml:space="preserve">independent-qa.json#/batches/B25/documents/issues-and-clarifications.json/files/20/qa_notes/11</t>
  </si>
  <si>
    <t xml:space="preserve">e83bececb4a9661d18c7617a99295a678ac769dcdb4ff01918333ff3699f2447</t>
  </si>
  <si>
    <t xml:space="preserve">"General16.2(a) EN19death ORTPD vsMS39death ANDTPD literal discrepancy qualified by expressly referencedbenefitannexes; do not infer both must be paid or ignore specific residualdeathclauses. StampxrefSAT009wrong, actualSAT00830/50RM10operator present; bounded cross-reference error."</t>
  </si>
  <si>
    <t xml:space="preserve">qa-b25-full-review-20261026/issues-and-clarifications.json#/files/20/qa_notes/12</t>
  </si>
  <si>
    <t xml:space="preserve">independent-qa.json#/batches/B25/documents/issues-and-clarifications.json/files/20/qa_notes/12</t>
  </si>
  <si>
    <t xml:space="preserve">35ba07f8a4cf012ce5a11a28d6f937c246a507f57f62594beb30da13d6f69c72</t>
  </si>
  <si>
    <t xml:space="preserve">"DeathSAT00624-25/44-45paysRSC;additional10%accident endsmonthlyannivimmediatelyAFTER65. Suicide ORpreexisting death within12months cashonly. Numerous extraaccidentexclusions applyextra10%, not allbasicdeath. AIDS/HIVexplicitadditionalaccidentdeath24/44. Innocentparty and accident-cut/woundinfection saving retained."</t>
  </si>
  <si>
    <t xml:space="preserve">qa-b25-full-review-20261026/issues-and-clarifications.json#/files/20/qa_notes/13</t>
  </si>
  <si>
    <t xml:space="preserve">independent-qa.json#/batches/B25/documents/issues-and-clarifications.json/files/20/qa_notes/13</t>
  </si>
  <si>
    <t xml:space="preserve">5c3f493a3db2dbdd33e131ef030a2721adb58172af2a3e2e6445d5d89cbfd87f</t>
  </si>
  <si>
    <t xml:space="preserve">"TPDSAT00726-29/46-49 beforemonthlyannivimmediatelyAFTER65;RSC plus10%accident,2maggregate;TPDRSCdefinitionlesserdeathRSC/initialTPD. 1.7specificsmallpaidTPDleavesfuturedeathreducedbyratiofromTPDONSET;1.8deathbeforeTPDpaymentdeathonly. Do not generalize this expressly present residual clause across unrelated covers."</t>
  </si>
  <si>
    <t xml:space="preserve">qa-b25-full-review-20261026/issues-and-clarifications.json#/files/20/qa_notes/14</t>
  </si>
  <si>
    <t xml:space="preserve">independent-qa.json#/batches/B25/documents/issues-and-clarifications.json/files/20/qa_notes/14</t>
  </si>
  <si>
    <t xml:space="preserve">d2ba9374a94e9db5108c29015745ee04e8cf58316c1791cd5ede30d53fd632c1</t>
  </si>
  <si>
    <t xml:space="preserve">"TPD18-65workingown/fitted6continuousmonths;nonworking3/6ADLs6months;2medicalexaminers,noticeHQwhilealiveanddisabled30onset,proofminimum6months/operatorpaidmedicalexam. Immorality presentBOTH27/48; do not import005absence. Independentmetadata correction:TPD3.1(f) AIDSrelatedcomplexes/conditions is not expressHIV; execution27/48overbroadHIV summary withdrawn. See separatecorrectionfile."</t>
  </si>
  <si>
    <t xml:space="preserve">qa-b25-full-review-20261026/issues-and-clarifications.json#/files/20/qa_notes/15</t>
  </si>
  <si>
    <t xml:space="preserve">independent-qa.json#/batches/B25/documents/issues-and-clarifications.json/files/20/qa_notes/15</t>
  </si>
  <si>
    <t xml:space="preserve">fe886b27702ded2aa5c3ffe8ec83d0db8db84f1ec1a78a91fe886ea8ca621575</t>
  </si>
  <si>
    <t xml:space="preserve">"RSCformulaSAT00931/51 bothlanguages:IA(t)=min(SC*((1+il*rp/12)-P(t)-R(t)),SC);P(t)=((1+il*rp/12)/rp)*t;R(t)=((rp-t)*(rp+1-t)/(rp*(rp+1)))*il*rp/12. rpMONTHS,ilannual,tCURTATEdurationMONTHSboth. No deferredD (unlike012); no12n-(t-1)or separatezero-ratebranch. Algebraic check withinterm rp&gt;0:t0SC,trp0;il0SC*(1-t/rp). No outside-term or individual payout inference. This is death/TPD RSC not cashsurrenderformula."</t>
  </si>
  <si>
    <t xml:space="preserve">qa-b25-full-review-20261026/issues-and-clarifications.json#/files/20/qa_notes/16</t>
  </si>
  <si>
    <t xml:space="preserve">independent-qa.json#/batches/B25/documents/issues-and-clarifications.json/files/20/qa_notes/16</t>
  </si>
  <si>
    <t xml:space="preserve">055a59a4c5b1827624be1b3c5907462e7f01bbeb2cb6e3c1f49d78b978209588</t>
  </si>
  <si>
    <t xml:space="preserve">"Full read accepted independently; strict needs_review rests on actual operative bilingualscope discrepancies/endorsementambiguity, not solely personalSchedulemissing or unknowncurrentadoption. All neworiginal/primary/product/adoption/package/gapcredits0."</t>
  </si>
  <si>
    <t xml:space="preserve">qa-b25-full-review-20261026/issues-and-clarifications.json#/files/20/qa_notes/17</t>
  </si>
  <si>
    <t xml:space="preserve">independent-qa.json#/batches/B25/documents/issues-and-clarifications.json/files/20/qa_notes/17</t>
  </si>
  <si>
    <t xml:space="preserve">96f632d6f3864b42d642c8caea5a0489e3d31fd04d79f405b2239545b5673dee</t>
  </si>
  <si>
    <t xml:space="preserve">qa-b25-full-review-20261026/issues-and-clarifications.json#/files/20/strict_basis/0</t>
  </si>
  <si>
    <t xml:space="preserve">independent-qa.json#/batches/B25/documents/issues-and-clarifications.json/files/20/strict_basis/0</t>
  </si>
  <si>
    <t xml:space="preserve">qa-b25-full-review-20261026/issues-and-clarifications.json#/files/20/strict_basis/1</t>
  </si>
  <si>
    <t xml:space="preserve">independent-qa.json#/batches/B25/documents/issues-and-clarifications.json/files/20/strict_basis/1</t>
  </si>
  <si>
    <t xml:space="preserve">qa-b25-full-review-20261026/issues-and-clarifications.json#/files/20/strict_basis/2</t>
  </si>
  <si>
    <t xml:space="preserve">independent-qa.json#/batches/B25/documents/issues-and-clarifications.json/files/20/strict_basis/2</t>
  </si>
  <si>
    <t xml:space="preserve">qa-b25-full-review-20261026/issues-and-clarifications.json#/files/20/strict_basis/3</t>
  </si>
  <si>
    <t xml:space="preserve">independent-qa.json#/batches/B25/documents/issues-and-clarifications.json/files/20/strict_basis/3</t>
  </si>
  <si>
    <t xml:space="preserve">qa-b25-full-review-20261026/issues-and-clarifications.json#/files/20/strict_basis/4</t>
  </si>
  <si>
    <t xml:space="preserve">independent-qa.json#/batches/B25/documents/issues-and-clarifications.json/files/20/strict_basis/4</t>
  </si>
  <si>
    <t xml:space="preserve">qa-b25-full-review-20261026/issues-and-clarifications.json#/files/20/strict_basis/5</t>
  </si>
  <si>
    <t xml:space="preserve">independent-qa.json#/batches/B25/documents/issues-and-clarifications.json/files/20/strict_basis/5</t>
  </si>
  <si>
    <t xml:space="preserve">qa-b25-full-review-20261026/issues-and-clarifications.json#/files/20/strict_basis/6</t>
  </si>
  <si>
    <t xml:space="preserve">independent-qa.json#/batches/B25/documents/issues-and-clarifications.json/files/20/strict_basis/6</t>
  </si>
  <si>
    <t xml:space="preserve">qa-b25-full-review-20261026/issues-and-clarifications.json#/files/20/strict_basis/7</t>
  </si>
  <si>
    <t xml:space="preserve">independent-qa.json#/batches/B25/documents/issues-and-clarifications.json/files/20/strict_basis/7</t>
  </si>
  <si>
    <t xml:space="preserve">qa-b25-full-review-20261026/issues-and-clarifications.json#/files/20/strict_basis/8</t>
  </si>
  <si>
    <t xml:space="preserve">independent-qa.json#/batches/B25/documents/issues-and-clarifications.json/files/20/strict_basis/8</t>
  </si>
  <si>
    <t xml:space="preserve">qa-b25-full-review-20261026/issues-and-clarifications.json#/files/20/strict_basis/9</t>
  </si>
  <si>
    <t xml:space="preserve">independent-qa.json#/batches/B25/documents/issues-and-clarifications.json/files/20/strict_basis/9</t>
  </si>
  <si>
    <t xml:space="preserve">qa-b25-full-review-20261026/issues-and-clarifications.json#/files/20/strict_basis/10</t>
  </si>
  <si>
    <t xml:space="preserve">independent-qa.json#/batches/B25/documents/issues-and-clarifications.json/files/20/strict_basis/10</t>
  </si>
  <si>
    <t xml:space="preserve">qa-b25-full-review-20261026/issues-and-clarifications.json#/files/20/strict_basis/11</t>
  </si>
  <si>
    <t xml:space="preserve">independent-qa.json#/batches/B25/documents/issues-and-clarifications.json/files/20/strict_basis/11</t>
  </si>
  <si>
    <t xml:space="preserve">qa-b25-full-review-20261026/issues-and-clarifications.json#/files/20/strict_basis/12</t>
  </si>
  <si>
    <t xml:space="preserve">independent-qa.json#/batches/B25/documents/issues-and-clarifications.json/files/20/strict_basis/12</t>
  </si>
  <si>
    <t xml:space="preserve">qa-b25-full-review-20261026/issues-and-clarifications.json#/files/20/strict_basis/13</t>
  </si>
  <si>
    <t xml:space="preserve">independent-qa.json#/batches/B25/documents/issues-and-clarifications.json/files/20/strict_basis/13</t>
  </si>
  <si>
    <t xml:space="preserve">qa-b25-full-review-20261026/issues-and-clarifications.json#/files/20/strict_basis/14</t>
  </si>
  <si>
    <t xml:space="preserve">independent-qa.json#/batches/B25/documents/issues-and-clarifications.json/files/20/strict_basis/14</t>
  </si>
  <si>
    <t xml:space="preserve">qa-b25-full-review-20261026/issues-and-clarifications.json#/files/20/strict_basis/15</t>
  </si>
  <si>
    <t xml:space="preserve">independent-qa.json#/batches/B25/documents/issues-and-clarifications.json/files/20/strict_basis/15</t>
  </si>
  <si>
    <t xml:space="preserve">qa-b25-full-review-20261026/issues-and-clarifications.json#/files/20/strict_basis/16</t>
  </si>
  <si>
    <t xml:space="preserve">independent-qa.json#/batches/B25/documents/issues-and-clarifications.json/files/20/strict_basis/16</t>
  </si>
  <si>
    <t xml:space="preserve">qa-b25-full-review-20261026/issues-and-clarifications.json#/files/20/strict_basis/17</t>
  </si>
  <si>
    <t xml:space="preserve">independent-qa.json#/batches/B25/documents/issues-and-clarifications.json/files/20/strict_basis/17</t>
  </si>
  <si>
    <t xml:space="preserve">"B25-MY-021"</t>
  </si>
  <si>
    <t xml:space="preserve">qa-b25-full-review-20261026/issues-and-clarifications.json#/files/20/task_id</t>
  </si>
  <si>
    <t xml:space="preserve">independent-qa.json#/batches/B25/documents/issues-and-clarifications.json/files/20/task_id</t>
  </si>
  <si>
    <t xml:space="preserve">f25e083d8916277703d20d1c75d29e2d2cdfda254bfdd0df5a7869990b973b79</t>
  </si>
  <si>
    <t xml:space="preserve">{"current_adoption_not_established":true,"insurer":"Sun Life Malaysia Takaful Berhad","latest_present_endorsement_effective":"2025-07-01","master_contract_code":"SAT0816","product":"Sun Auto Takaful"}</t>
  </si>
  <si>
    <t xml:space="preserve">delivery-batch25-20261026/group2/021-result.json#/identity</t>
  </si>
  <si>
    <t xml:space="preserve">execution-evidence.json#/batches/B25/documents/group2~1021-result.json/identity</t>
  </si>
  <si>
    <t xml:space="preserve">e454d7ded3f5e8c6a9727fb24d034f657a0b7c3880bc499cfeadf14f5ad96d50</t>
  </si>
  <si>
    <t xml:space="preserve">[{"component":"bilingual2025July1nominee/sanctionendorsement","pages":"1-2"},{"component":"bilingual2020July1general/fund/feeendorsement;EN3-4/MS5-6","pages":"3-6"},{"component":"bilingual2019July1complianceamendmentnoticeendorsement","pages":"7-8"},{"component":"bilingual2019July1rights/TPD/surplusendorsement;EN9-10/MS11-12","pages":"9-12"},{"component":"ENbasecover+printed2,4-20;personalSchedule3absent","pages":"13-31"},{"component":"MSbasecover+printed2,4-21;personalSchedule3absent","pages":"32-51"}]</t>
  </si>
  <si>
    <t xml:space="preserve">delivery-batch25-20261026/group2/021-result.json#/component_map</t>
  </si>
  <si>
    <t xml:space="preserve">execution-evidence.json#/batches/B25/documents/group2~1021-result.json/component_map</t>
  </si>
  <si>
    <t xml:space="preserve">3a0f66ec716204ef5125fe2645746fd71714f81960794cc5385ff5aa51bcf510</t>
  </si>
  <si>
    <t xml:space="preserve">delivery-batch25-20261026/group2/021-result.json#/language_coverage</t>
  </si>
  <si>
    <t xml:space="preserve">execution-evidence.json#/batches/B25/documents/group2~1021-result.json/language_coverage</t>
  </si>
  <si>
    <t xml:space="preserve">{"benefits":"Single-contributionhire-purchasegroupfamilytakaful,deathreducingbenefitandTPDlesserreducingdeath/initialTPDsum;accidentalextra10%,after65monthlyanniversaryboundary. TPDRM2moperatoraggregate;18–65sixmonthsown/suitableoccupationorunemployed3of6ADLs/listedlosswithtwoexaminers. SmallerTPDleavesproportionallyreduceddeath;deathbeforeTPDpaymentdeathonly. Holderdebtfirstandexcesscovered/nominee/rightfulclaimant.","cash_and_formula":"Early-settlementsurrendercashvariescoverperiod/timingandpaidoperator/tabarru. DeathRSCIA(t)=min(SC*((1+il*rp/12)-P(t)-R(t)),SC);P(t)=((1+il*rp/12)/rp)*t;R(t)=((rp-t)*(rp+1-t)/(rp*(rp+1)))*il*(rp/12);rpmonths,ilannualrate,tcurtate,SCinitial. NoDandnotcashformula.","fund":"Collectivelyownedtabarrupool,coveruponallocation,investmentprofitinsurplus,qardrepayuponreturntosurplus.50/50surplussubject2019eligibility;&lt;=RM10bankfirst/nobankcharity. Feeindividualcertificate,2020mismanagementrectification/refundifrequired,fee refundifanyincludednotguaranteedallfees.","limits_and_process":"Preexisting12monthlookback;suicide/preexistingdeathwithinfirst12monthscashonly.15dayfreelookfromcertificatedeliverylessmedicalexpenses;claimnotice30daysevent/proof30daysnotice;TPDnoticeinlife/disabilitywithin30daysonset,sixmonthassessment.90daymasterterminationpreservesindividual;90daynewcertificateratechange/fee/tabarruchanges. Noassignment/reinstatement.2025sanctionconditionalprohibitionandremedies."}</t>
  </si>
  <si>
    <t xml:space="preserve">delivery-batch25-20261026/group2/021-result.json#/operative_summary</t>
  </si>
  <si>
    <t xml:space="preserve">execution-evidence.json#/batches/B25/documents/group2~1021-result.json/operative_summary</t>
  </si>
  <si>
    <t xml:space="preserve">ee3d3f9c6bff308f79407bfab9b6c44f5604a0eda2ce0b51bc8c1a7e7dd4c2a8</t>
  </si>
  <si>
    <t xml:space="preserve">[{"issue":"2020replacementSAT004fund1.4Englishpermitsotherdirectclaims-relatedexpenses;Malayallowsotherrelatedexpenseswithoutdirectclaimsqualification. Thisdifferencepersistsafterwholefundreplacement.","pages":[4,6,22,42],"resolution":"Unresolvedbilingualscopeofchargesagainstparticipantfund;retainneeds_reviewwithoutinferringactualovercharge/doubleqard."},{"issue":"SAT007TPDexclusion3.1(e)Englishrequiresbreachofcriminal law;Malayrefersbreachoflawgenerally. Bothretaininnocent-partyexception/illegalorganisation. Noexpresslanguagepriorityfoundinpresent51pages.","pages":[27,48],"resolution":"Unresolvedmaterialexclusionscope;notautomaticallyharmonisedandnotactualclaimdenialdetermination."}]</t>
  </si>
  <si>
    <t xml:space="preserve">delivery-batch25-20261026/group2/021-result.json#/material_findings</t>
  </si>
  <si>
    <t xml:space="preserve">execution-evidence.json#/batches/B25/documents/group2~1021-result.json/material_findings</t>
  </si>
  <si>
    <t xml:space="preserve">e2928d95bd179aaccffa808050ab5bc5fbf69ae21d7de5574fb0c40b12e1ee7c</t>
  </si>
  <si>
    <t xml:space="preserve">[{"clarification":"Initialnoteasserted2020wholefundreplacementresolvedoriginalexpensestranslationdifference.216dpiprovesMalay2020stilllacksdirectclaimsqualifier;assertionwithdrawn,priornotesandcorrectiontrailretained.","correction_basis":"216dpiEN4/MS6;notextraction/OCR.","pages":[6,42]},{"clarification":"Malay2019alone says2.1.2definitionreplaced but prints onlyheading+(e)bathing;English2019onlyreplaces2.1.3. Bathingtextmatchesexistingbase. A narrow(e)clarificationisplausible;replacement-scopeambiguityretained,notclaimallotherADLs/age/sixmonth/3of6testdeleted.","pages":[9,11,26,27,46,47]},{"clarification":"2025wholecl6usescertificateownerandownerdeath/lifetime,wherebaseusedcoveredperson. Individualcertificateissuedcoveredperson,masterholderownsmastercontract. Do notcollapsecertificateownerwithmasterholderorinfernewdeathcoverforunrelatedowner. Personalcertificateidentitynotestablished,notsolefile-strictfailure.","pages":[1,2,15,17,21,34,36,37,41]},{"clarification":"Generalstampcl27.1citesSAT009butactualRM10operatorstampisinSAT008;SAT009reducingbenefitformulapresent. Boundedcrossreferenceerror,notmissingstampcomponent.","pages":[21,30,31,41,50,51]},{"clarification":"2019expresslyADDS3.2surpluseligibility;doesnotreplace3.1. Base50/50andfinancingaccountdistributionretainedsubjectneweligibilityand&lt;=RM10rights. Nootherproductreplacementlanguageimported.","pages":[10,12,30,50]},{"clarification":"PreexistingfirstlimbENsought/MSrecommended,bothreceivedalternative/prudent/knownconditionlimbs. Preservelexicaldifferencewithoutassumingordinaryknownconditioncovered.","pages":[15,34,35]},{"clarification":"2020explicitlydeleteswholelegal18;oldliteralBEFOREtwo-yearbarisnotretainedascurrentoperativeclause orconvertedintotime-limitaftertwo years.","pages":[3,5,20,39]},{"clarification":"Specificsmaller-TPDdeathcontinuancequalifiesgeneralpaymenttermination;proportionalreductionretained,notallcoverterminatesinallTPDcases.","pages":[19,21,25,26,28,39,41,45,46,49]},{"clarification":"Cashvalueclauseprovidesoperator-determinedtiming-sensitiveearly-settlementamount;doesnotexpresslyincorporateaseparatecashformula. SAT009isreducingbenefitonly. Individualfeeexplicitlyreferscertificate. Absenceofpersonalcertificate/Schedulealoneisnotmissinggenericoperativeannexureorstrictfailure.","pages":[3,5,20,30,31,40,50,51]}]</t>
  </si>
  <si>
    <t xml:space="preserve">delivery-batch25-20261026/group2/021-result.json#/clarifications</t>
  </si>
  <si>
    <t xml:space="preserve">execution-evidence.json#/batches/B25/documents/group2~1021-result.json/clarifications</t>
  </si>
  <si>
    <t xml:space="preserve">c10236825963a97b816f175e65e432eb0eb7d88a4115043e6def663d08d46d67</t>
  </si>
  <si>
    <t xml:space="preserve">"All51presentpagesread;33216dpiconfirmations;incorrectfund-supersessionnoteexplicitlycorrectedwithpriornotesretained."</t>
  </si>
  <si>
    <t xml:space="preserve">delivery-batch25-20261026/group2/021-result.json#/correction_basis</t>
  </si>
  <si>
    <t xml:space="preserve">execution-evidence.json#/batches/B25/documents/group2~1021-result.json/correction_basis</t>
  </si>
  <si>
    <t xml:space="preserve">59c521747d378717693c6b12d198cc8b71ef113e602c820b8708dd957d81eaa3</t>
  </si>
  <si>
    <t xml:space="preserve">"Currentbilingualfundexpense/exclusionscopeconflicts,notabsenceofpersonalSchedule/certificateorcurrentadoption."</t>
  </si>
  <si>
    <t xml:space="preserve">delivery-batch25-20261026/group2/021-result.json#/strict_basis</t>
  </si>
  <si>
    <t xml:space="preserve">execution-evidence.json#/batches/B25/documents/group2~1021-result.json/strict_basis</t>
  </si>
  <si>
    <t xml:space="preserve">289b426ae5dad27fbdf4728af5e6ebb246563216b2347bc259db5153c47b1a44</t>
  </si>
  <si>
    <t xml:space="preserve">delivery-batch25-20261026/group2/021-result.json#/missing_incorporated_operational_component_detected</t>
  </si>
  <si>
    <t xml:space="preserve">execution-evidence.json#/batches/B25/documents/group2~1021-result.json/missing_incorporated_operational_component_detected</t>
  </si>
  <si>
    <t xml:space="preserve">delivery-batch25-20261026/group2/021-result.json#/unresolved_personal_schedule_or_adoption_is_not_strict_failure_basis</t>
  </si>
  <si>
    <t xml:space="preserve">execution-evidence.json#/batches/B25/documents/group2~1021-result.json/unresolved_personal_schedule_or_adoption_is_not_strict_failure_basis</t>
  </si>
  <si>
    <t xml:space="preserve">{"actual_present_pages":51,"all_present_pages_semantically_reviewed":true,"checked_at_utc":"2026-10-26T19:53:23.831762+00:00","copy_allowed":false,"display_denials":0,"member_bytes":2116164,"member_sha256":"3a19c9dc518692e32bdfca89ae70dbbfc3a525d08b82e0bc29311abdb69af3a1","metadata_matches":true,"needs_password":0,"ordinary_visual_display_pending":false,"ordinary_visual_display_succeeded":true,"pdfinfo_metadata":"Creator:         PDF-XChange Editor 6.0.322.7\nProducer:        PDF-XChange Core API SDK (6.0.322.7)\nCreationDate:    Thu Dec  5 18:51:04 2019 JST\nModDate:         Wed Jan  7 15:08:56 2026 JST\nCustom Metadata: no\nMetadata Stream: yes\nTagged:          no\nUserProperties:  no\nSuspects:        no\nForm:            none\nJavaScript:      no\nPages:           51\nEncrypted:       yes (print:no copy:no change:no addNotes:no algorithm:RC4)\nPage size:       595.5 x 842.25 pts (A4)\nPage rot:        0\nFile size:       2116164 bytes\nOptimized:       no\nPDF version:     1.7\n","pdfinfo_returncode":0,"permissions":-3392,"permissions_unchanged":true,"print_allowed":false,"source_archive_sha256":"d8dd60e6ef6061e4984143b9d891b5dd848b86f8833f800902ad758355a66515","task_id":"B25-MY-021","text_extraction_OCR_printing_unlocking_permission_changes":false}</t>
  </si>
  <si>
    <t xml:space="preserve">delivery-batch25-20261026/group2/021-preflight.json#</t>
  </si>
  <si>
    <t xml:space="preserve">execution-evidence.json#/batches/B25/documents/group2~1021-preflight.json</t>
  </si>
  <si>
    <t xml:space="preserve">4b3bbb1b32bca1de7bdbb6f97063263525d2640787581827dca637b2b6b75c55</t>
  </si>
  <si>
    <t xml:space="preserve">{"actual_present_physical_pages":56,"all_pages_reviewed":true,"cleanup_reference":{"bytes":14797,"path":"independent-qa.json#/batches/B25/documents/group1~1022-cleanup.json","sha256":"fa54a6449ddd21ef39ed40026e33aee299eb3c163b37b4d9d82b92fc4c021d71"},"current_adoption_credit":0,"execution_result_reference":{"bytes":9737,"path":"execution-evidence.json#/batches/B25/documents/group1~1022-result.json","sha256":"b4620a60b28b1d22b5d9ec37dab143d198dc6ee8813e57c77f5a619f3a7ec8fa"},"file_level_primary_role_previously_accepted":true,"formal_mutations":false,"full_content_review_complete":true,"full_review_accepted":true,"gap_closure_credit":0,"independent_QA":true,"new_original":0,"new_primary":0,"new_product":0,"original_id":"regional-20261025-22d5ebe338cb0b0a","package_complete_credit":0,"page_proof_reference":{"bytes":26373,"path":"independent-qa.json#/batches/B25/documents/group1~1022-page-proof.jsonl","sha256":"220c1e14ca3de983f3c08729c7f7f8e857252fc13df6e0b3f2f5338e130622bb"},"prior_task_id":"B18-MY-013","qa_result_reference":{"bytes":16585,"path":"independent-qa.json#/batches/B25/documents/group1~1022-result.json","sha256":"045573fd65a3fd1a8beebcef85a0de72eaf2511c2a5772b119ae7b6ee4ab6e2f"},"queue_id":"PENDING-22d5ebe338cb0b0a","region_code":"MY","review_status":"full","sha256":"22d5ebe338cb0b0a7aaa9c3a477290b8fbaa94ac03da3a21a69621538d8c999d","source_archive_sha256":"d8dd60e6ef6061e4984143b9d891b5dd848b86f8833f800902ad758355a66515","source_insurer_preserved":"Sun Life Malaysia Takaful Berhad","strict_eligible":false,"strict_status":"needs_review","strict_verified":false,"target":"Sun Perlindungan-i Master Contract","task_id":"B25-MY-022","verification_status":"needs_review"}</t>
  </si>
  <si>
    <t xml:space="preserve">{"bytes":16585,"path":"independent-qa.json#/batches/B25/documents/group1~1022-result.json","sha256":"045573fd65a3fd1a8beebcef85a0de72eaf2511c2a5772b119ae7b6ee4ab6e2f"}</t>
  </si>
  <si>
    <t xml:space="preserve">qa-b25-full-review-20261026/issues-and-clarifications.json#/files/21/current_QA_result</t>
  </si>
  <si>
    <t xml:space="preserve">independent-qa.json#/batches/B25/documents/issues-and-clarifications.json/files/21/current_QA_result</t>
  </si>
  <si>
    <t xml:space="preserve">64a7f088bd21e37a58b52f8c5e839112de0d452be481cfa2ab9a2a72ee0c8161</t>
  </si>
  <si>
    <t xml:space="preserve">qa-b25-full-review-20261026/issues-and-clarifications.json#/files/21/final_status</t>
  </si>
  <si>
    <t xml:space="preserve">independent-qa.json#/batches/B25/documents/issues-and-clarifications.json/files/21/final_status</t>
  </si>
  <si>
    <t xml:space="preserve">[{"disposition":"needs_review","id":"QA022F1","observation":"Independently confirmed SPG00324.5 English other DIRECT CLAIMS related expenses versus Malay other expenses related to fund without this limiter; no languagepriority. Actualcharging notcertified.","pages":[15,44]},{"disposition":"needs_review","id":"QA022F2","observation":"Both SPG0041.1 onlyapplies wherebenefit referencesannexure, section2 includesfuneral; fullSPG011 hasgeneral masterterms qualification but NO expressSPG004ref. Actualincorporationscope ambiguous, notmissingannexure norunconditionalcover/unenforceabilityconclusion.","pages":[18,28,46,56]},{"disposition":"needs_review","id":"QA022F3","observation":"EN14.1 nextcontributionduedate vsMalay ulangtahun sumbangan patut dibayar (dueanniversary) afternotice. Frequencyunknown and18.3changeable; cannotassumeannualorequalactualdates; no languagepriority.","pages":[12,13,40,42]},{"disposition":"bounded_clarification","id":"QA022C1","observation":"EN9 CANNOT andMS37tidakboleh severabilityaligned; executionmisreadwithdrawalconfirmed. Reinstatement9.2xref21actual20both, ownership21present. BothSIDSPG006andaccTPDSPG008 EXPLICITlowerresidualdeath fromonsetqualifygeneraltermination; do notimportabsencefromotherproducts. RenewalSECOND CERTYEAR both/0-10-20; SPG011headerpresent.","pages":[9,11,14,21,22,24,25,27,28,37,39,42,43,49,50,52,53,55,56]},{"disposition":"bounded_clarification","id":"QA022C2","observation":"SPG009additional100%of200kaccdeath reconcile400k TOTALtable notextra400k. 70/60fees;60grace/12monthreinstate/15freelook; no cashorno contributionrefundafterfreelook;23.4conditionalexistingwakalahrefund. &lt;=10bankfirstelsecharity; afterQard50/50andNOTlapsedNOTsurrenderedyearend. TPD18–70anyworkor3/6ADL sixmonthsFROMdiagnosis both; doctorANDsixSIDtests. Boxingnamedboth. Stamp10operator. No loanreducing12n/i-ratebranchformula; personalcertabsence/currentadoptionunknownnotaloneveto.","pages":[4,5,6,8,12,13,15,16,17,18,26,32,33,34,36,40,42,43,44,45,46,47,54]}]</t>
  </si>
  <si>
    <t xml:space="preserve">qa-b25-full-review-20261026/issues-and-clarifications.json#/files/21/independent_findings</t>
  </si>
  <si>
    <t xml:space="preserve">independent-qa.json#/batches/B25/documents/issues-and-clarifications.json/files/21/independent_findings</t>
  </si>
  <si>
    <t xml:space="preserve">aa7b40270267b3b6ec11f40e312264e73f3bb4e980f041c2c7df9ed736863265</t>
  </si>
  <si>
    <t xml:space="preserve">QA022M1</t>
  </si>
  <si>
    <t xml:space="preserve">[9,37,56]</t>
  </si>
  <si>
    <t xml:space="preserve">"EN CANNOT be enforced matchesMalaytidakboleh; no severabilityissue. SPG011 Malayheaderclear. Preserveoriginalwrong/provisionalnotes andcorrection_basis/register; donotreintroduceerror."</t>
  </si>
  <si>
    <t xml:space="preserve">qa-b25-full-review-20261026/issues-and-clarifications.json#/files/21/metadata_corrections/0/accepted</t>
  </si>
  <si>
    <t xml:space="preserve">independent-qa.json#/batches/B25/documents/issues-and-clarifications.json/files/21/metadata_corrections/0/accepted</t>
  </si>
  <si>
    <t xml:space="preserve">95f7b958bda7d8c78d3e6d6eb43745e47e8c78216896d9e65a3ca0e493b7a6b9</t>
  </si>
  <si>
    <t xml:space="preserve">"QA022M1"</t>
  </si>
  <si>
    <t xml:space="preserve">qa-b25-full-review-20261026/issues-and-clarifications.json#/files/21/metadata_corrections/0/id</t>
  </si>
  <si>
    <t xml:space="preserve">independent-qa.json#/batches/B25/documents/issues-and-clarifications.json/files/21/metadata_corrections/0/id</t>
  </si>
  <si>
    <t xml:space="preserve">4f87a249122a06b7180156724f8d67cb709691cc1a74c084bc08bd90cb077dde</t>
  </si>
  <si>
    <t xml:space="preserve">{"component":"SPG003 definitions/interpretation/mastercontract","corrected_at_utc":"2026-10-26T19:46:38.296139+00:00","correction_basis":"Direct216dpi visualconfirmation of English p9 cannot and Malayp37 tidak boleh; initial144dpi misreading preserved.","display_sha256":"fcbed02f91c8153865aed5b43589720951d335a76a7009195c762095f8e202ca","initial_note_before_zoom_correction":"RemainingADLs;TPDeyes,severance2limbs,eye+severance1limb,totalparalysis;2appointedexaminers. YOU=PragyaSukhaSdnBhd;operatorSunLife. Interpretationheadingssingulargender;2.2EnglishprintsnotvalidorCANbeenforced(unusual). Enrollmentanswers/disclosuresincorporated.","language":"English","method":"ordinary_read_only_visual_144dpi","physical_page":9,"reviewed_at_utc":"2026-10-26T19:35:08.924911+00:00","semantic_note":"RemainingADLs;TPDeyes,severance2limbs,eye+severance1limb,totalparalysis;2appointedexaminers. YOU=PragyaSukhaSdnBhd;operatorSunLife. Interpretationheadingssingulargender;2.2EnglishprintsnotvalidorCANbeenforced(unusual). Enrollmentanswers/disclosuresincorporated. CORRECTION: English p9 enlarged216dpi clearly says cannot be enforced, not can. Both languages agree invalid/unenforceable provision leaves remainder unaffected; no severability conflict.","semantic_read":true,"task_id":"B25-MY-022"}</t>
  </si>
  <si>
    <t xml:space="preserve">qa-b25-full-review-20261026/issues-and-clarifications.json#/files/21/metadata_corrections/0/original_execution_rows/0</t>
  </si>
  <si>
    <t xml:space="preserve">independent-qa.json#/batches/B25/documents/issues-and-clarifications.json/files/21/metadata_corrections/0/original_execution_rows/0</t>
  </si>
  <si>
    <t xml:space="preserve">6aa0605c94ce8497a129d0f349a5bffd9b89d72344907030bb7e4dca1a26bad9</t>
  </si>
  <si>
    <t xml:space="preserve">{"component":"SPG003 definitions/interpretation","corrected_at_utc":"2026-10-26T19:46:38.296156+00:00","correction_basis":"Direct216dpi visualconfirmation of English p9 cannot and Malayp37 tidak boleh; initial144dpi misreading preserved.","display_sha256":"a3d40c3d65ae0eef22cc83add9f71f11479444165d464a816c2a7c53a86b57db","initial_note_before_zoom_correction":"Remaining ADLs, TPD specified total losses/severance/paralysis and two appointed examiners; operator Sun Life and YOU Pragya Sukha Sdn Bhd. Severability says invalid or unenforceable provision leaves remainder unaffected; compare English can be enforced wording.","language":"Malay","method":"ordinary_read_only_visual_144dpi","physical_page":37,"reviewed_at_utc":"2026-10-26T19:41:50.181606+00:00","semantic_note":"Remaining ADLs, TPD specified total losses/severance/paralysis and two appointed examiners; operator Sun Life and YOU Pragya Sukha Sdn Bhd. Severability says invalid or unenforceable provision leaves remainder unaffected; compare English can be enforced wording. CORRECTION: English p9 enlarged216dpi clearly says cannot be enforced, not can. Both languages agree invalid/unenforceable provision leaves remainder unaffected; no severability conflict.","semantic_read":true,"task_id":"B25-MY-022"}</t>
  </si>
  <si>
    <t xml:space="preserve">qa-b25-full-review-20261026/issues-and-clarifications.json#/files/21/metadata_corrections/0/original_execution_rows/1</t>
  </si>
  <si>
    <t xml:space="preserve">independent-qa.json#/batches/B25/documents/issues-and-clarifications.json/files/21/metadata_corrections/0/original_execution_rows/1</t>
  </si>
  <si>
    <t xml:space="preserve">757535c4ce8a518e579068b3f207c5dcd9dbff2c23b4d9152d2a1c2bf28df08c</t>
  </si>
  <si>
    <t xml:space="preserve">{"clarification_after_zoom":"216dpi clearly shows LAMPIRAN SPG011;144dpi header layout artefact not substantive code error/missing annexure.","component":"Funeral annexure SPG011 per contents","correction_basis":"Direct216dpi page56 heading, compared Englishp28/contents.","display_sha256":"8243bda8f2e3aed1a874bc34639588e0c0fed3bccef088080a8c0e2d77848144","language":"Malay","method":"ordinary_read_only_visual_144dpi","physical_page":56,"reviewed_at_utc":"2026-10-26T19:43:13.337401+00:00","semantic_note":"All-causes death lumpsum to nominee/proper claimant from fund,30-day proof with reasonable late exception/all evidence claimant cost. Entire page has no explicit SPG004 reference, while its section2 names funeral and1.1 requires benefit reference. Header layout/code visually unusual and requires enlarged confirmation, not assumed missing substantive annexure.","semantic_read":true,"task_id":"B25-MY-022"}</t>
  </si>
  <si>
    <t xml:space="preserve">qa-b25-full-review-20261026/issues-and-clarifications.json#/files/21/metadata_corrections/0/original_execution_rows/2</t>
  </si>
  <si>
    <t xml:space="preserve">independent-qa.json#/batches/B25/documents/issues-and-clarifications.json/files/21/metadata_corrections/0/original_execution_rows/2</t>
  </si>
  <si>
    <t xml:space="preserve">8c473822ae922fec2564bc0738b51435211f291d9a8b217204660639a5efa4cb</t>
  </si>
  <si>
    <t xml:space="preserve">qa-b25-full-review-20261026/issues-and-clarifications.json#/files/21/metadata_corrections/0/pages</t>
  </si>
  <si>
    <t xml:space="preserve">independent-qa.json#/batches/B25/documents/issues-and-clarifications.json/files/21/metadata_corrections/0/pages</t>
  </si>
  <si>
    <t xml:space="preserve">4fe42706c644763fb39ff8b828058e006a6b8db2a9fc8cc0e31d43de9134f0a1</t>
  </si>
  <si>
    <t xml:space="preserve">"execution_retractions_independently_confirmed"</t>
  </si>
  <si>
    <t xml:space="preserve">qa-b25-full-review-20261026/issues-and-clarifications.json#/files/21/metadata_corrections/0/type</t>
  </si>
  <si>
    <t xml:space="preserve">independent-qa.json#/batches/B25/documents/issues-and-clarifications.json/files/21/metadata_corrections/0/type</t>
  </si>
  <si>
    <t xml:space="preserve">491f6fa6a7e133f74b85c4e22da634a978b6a4e3ae463fab29942058638ee20a</t>
  </si>
  <si>
    <t xml:space="preserve">QA022M2</t>
  </si>
  <si>
    <t xml:space="preserve">[10]</t>
  </si>
  <si>
    <t xml:space="preserve">{"accepted":"Executionnote says signedcertcommencement. Clause6.1 actually commencementdate as specifiedin certificate subjectcontribution; no signatureconditiononthispage. Dropunsupported signed. No materialfindingchange.","id":"QA022M2","original_execution_note":"MaterialmedicalreportsIFSA9remedies;3.2/3.3 disclosurecarebeforeVARIATION,notbeforeinitialvalidity. Permissibleinterestacceptance/automaticrightsownerifceases;eligiblemasterholdercustomers;signedcertcommencement;15daysdeliveryfree-lookfullrefund.","pages":[10],"type":"minor_execution_precision"}</t>
  </si>
  <si>
    <t xml:space="preserve">qa-b25-full-review-20261026/issues-and-clarifications.json#/files/21/metadata_corrections/1</t>
  </si>
  <si>
    <t xml:space="preserve">independent-qa.json#/batches/B25/documents/issues-and-clarifications.json/files/21/metadata_corrections/1</t>
  </si>
  <si>
    <t xml:space="preserve">6c5aa03185a7083c5aacc3098719a09cde2edf88b1b6dcac23432cadb3e8c55f</t>
  </si>
  <si>
    <t xml:space="preserve">QA022M3</t>
  </si>
  <si>
    <t xml:space="preserve">[16,44]</t>
  </si>
  <si>
    <t xml:space="preserve">{"accepted":"Compressed nolapse/surrender means certificate NOT lapsed AND NOT surrendered beforefinancialyearend, notonepositivecondition; originalsource/notes retained.","id":"QA022M3","pages":[16,44],"type":"negation_precision"}</t>
  </si>
  <si>
    <t xml:space="preserve">qa-b25-full-review-20261026/issues-and-clarifications.json#/files/21/metadata_corrections/2</t>
  </si>
  <si>
    <t xml:space="preserve">independent-qa.json#/batches/B25/documents/issues-and-clarifications.json/files/21/metadata_corrections/2</t>
  </si>
  <si>
    <t xml:space="preserve">a8c1d5a2caec2c2c09ec352e6e7d2605e263015196bb63eb182e47a17c40abb1</t>
  </si>
  <si>
    <t xml:space="preserve">qa-b25-full-review-20261026/issues-and-clarifications.json#/files/21/qa_notes</t>
  </si>
  <si>
    <t xml:space="preserve">independent-qa.json#/batches/B25/documents/issues-and-clarifications.json/files/21/qa_notes</t>
  </si>
  <si>
    <t xml:space="preserve">"Operative fundexpense language difference, surrender timing difference andfuneralexclusionincorporation ambiguity; notmissingindividualschedule/currentadoption. All56actualpages+40own216dpi; all56executionnotes/31zoom/allnonnotefacts/registerindependentlyaudited."</t>
  </si>
  <si>
    <t xml:space="preserve">qa-b25-full-review-20261026/issues-and-clarifications.json#/files/21/strict_basis</t>
  </si>
  <si>
    <t xml:space="preserve">independent-qa.json#/batches/B25/documents/issues-and-clarifications.json/files/21/strict_basis</t>
  </si>
  <si>
    <t xml:space="preserve">8a20cc09936c4b2aca1cc1b959f65e9204825bcfc239406a6048161c62382b08</t>
  </si>
  <si>
    <t xml:space="preserve">"B25-MY-022"</t>
  </si>
  <si>
    <t xml:space="preserve">qa-b25-full-review-20261026/issues-and-clarifications.json#/files/21/task_id</t>
  </si>
  <si>
    <t xml:space="preserve">independent-qa.json#/batches/B25/documents/issues-and-clarifications.json/files/21/task_id</t>
  </si>
  <si>
    <t xml:space="preserve">930eed0ba2efd6ce48d2aa8005695f775618a977c8b8feda6436fc63e6c60bd4</t>
  </si>
  <si>
    <t xml:space="preserve">{"base_edition":null,"issuer":"Sun Life Malaysia Takaful Berhad","master_contract_numbers":[],"masterholder":"Pragya Sukha Sdn Bhd","pdf_creation_not_issue_date":"2022-03-28 metadata is not current adoption or issue date","product":"Sun Perlindungan-i"}</t>
  </si>
  <si>
    <t xml:space="preserve">delivery-batch25-20261026/group1/022-result.json#/observed_identity</t>
  </si>
  <si>
    <t xml:space="preserve">execution-evidence.json#/batches/B25/documents/group1~1022-result.json/observed_identity</t>
  </si>
  <si>
    <t xml:space="preserve">a09ae7311d6adb928c21652935b255b349b543a00d743bf52c5b52dc7ffd9fe0</t>
  </si>
  <si>
    <t xml:space="preserve">[{"component":"English cover/contents/SPG001–011, printed1–28; schedule and funeral annexure present","pages":[1,2,3,4,5,6,7,8,9,10,11,12,13,14,15,16,17,18,19,20,21,22,23,24,25,26,27,28]},{"component":"Malay cover/contents/SPG001–011, printed1–28; no endorsements in this file","pages":[29,30,31,32,33,34,35,36,37,38,39,40,41,42,43,44,45,46,47,48,49,50,51,52,53,54,55,56]}]</t>
  </si>
  <si>
    <t xml:space="preserve">delivery-batch25-20261026/group1/022-result.json#/components</t>
  </si>
  <si>
    <t xml:space="preserve">execution-evidence.json#/batches/B25/documents/group1~1022-result.json/components</t>
  </si>
  <si>
    <t xml:space="preserve">a0f2f0199fc4ae8d382d02de7d8a62af34cfd0f5e35892ac040a4395ae1fcefb</t>
  </si>
  <si>
    <t xml:space="preserve">["All56 pages independently semantically read English/Malay. SIDdeath/TPD and accidentdeath/TPD RM200k each, public/e-hailing accidentdeath RM400k total, funeral all-causes RM5k; renewal0/10/20% from second YEAR in both languages.","Wakalah70%year1/60%later; no cash value and no contributionrefund after15-day delivery free-look. 60-day grace,12-month reinstatement,90-day next-anniversary revisions; claims deductions contributions to event date.","TPD age18–70 anypaidwork or3of6ADLs,6 consecutive months FROM diagnosis both languages; specific losses/severance/paralysis and2examiners. Accidentdeath/TPD180days;SID30-day exclusion;TPDaggregateRM2m with lowerTPDresidualdeath."]</t>
  </si>
  <si>
    <t xml:space="preserve">delivery-batch25-20261026/group1/022-result.json#/content_summary</t>
  </si>
  <si>
    <t xml:space="preserve">execution-evidence.json#/batches/B25/documents/group1~1022-result.json/content_summary</t>
  </si>
  <si>
    <t xml:space="preserve">7a205fcd8fdcf42b7aefe75a6fd010f3d9a5ee2e2955f6c172aaaac8a3ccffdf</t>
  </si>
  <si>
    <t xml:space="preserve">[{"disposition":"needs_review;notproofactualdoublecharging","finding_id":"B25-022-F1","observation":"SPG00324.5 English other DIRECT CLAIMS related expenses; Malay other expenses related to fund without direct-claims qualifier. No express language priority found.","pages":[15,44],"severity":"bilingual_fund_expense_scope_difference"},{"disposition":"needs_review;do not infer unconditional funeral coverage or unenforceability","finding_id":"B25-022-F2","observation":"SPG0041.1 in BOTH languages applies exclusions only if benefit conditions reference this annexure; its section2 heading expressly includes funeral. Entire SPG011 funeral annexure in BOTH languages has generic mastercontract-terms qualification but no SPG004 reference. Thus operative scope requires clarification, not a missing annexure.","pages":[18,28,46,56],"severity":"internal_funeral_exclusion_incorporation_ambiguity"},{"disposition":"needs_review;do not choose an actual termination date","finding_id":"B25-022-F3","observation":"SPG00314.1 English ends benefits/rights at NEXT contribution due date after notice; Malay uses ulangtahun sumbangan patut dibayar (contribution-due anniversary) after notice. Frequency may be changed under18.3, so not safely normalized as always annual; no languagepriority.","pages":[12,40],"severity":"bilingual_surrender_effective_timing_difference"}]</t>
  </si>
  <si>
    <t xml:space="preserve">delivery-batch25-20261026/group1/022-result.json#/substantive_findings</t>
  </si>
  <si>
    <t xml:space="preserve">execution-evidence.json#/batches/B25/documents/group1~1022-result.json/substantive_findings</t>
  </si>
  <si>
    <t xml:space="preserve">3874a5f532a59f4cddd54b94699ff68f6d53b62d47074b91b9ea8e05fac16f13</t>
  </si>
  <si>
    <t xml:space="preserve">[{"observation":"216dpi corrected initial English can reading to CANNOT be enforced; matches Malay tidak boleh. Both leave remainder unaffected; no severability conflict.","pages":[9,37]},{"observation":"Malay funeral header confirmed SPG011 at216dpi;144dpi rendering/header uncertainty resolved. Substantive annexure present, distinct from SPG004 incorporation ambiguity.","pages":[28,56]},{"observation":"9.2 reinstatement cross-reference says21 in both, but named reinstatement fully present under20 and ownership21; bounded numbering defect not missing component.","pages":[11,14,39,42,43]},{"observation":"Specific lowerTPD residualdeath continuation and equalTPD/death ending control reading of generalTPDend, not an automatic contradiction.","pages":[21,22,24,25,49,50,52,53]},{"observation":"Public/e-hailing schedule400k reconciled with SPG009 additional100% of200k accidentaldeath, not additive400k.","pages":[4,26,32,54]},{"observation":"Both renewal provisions second certificate YEAR, not second anniversary;0/10/20 table consistent. No renewal timing conflict imported from other products.","pages":[27,55]},{"observation":"English acute vs Malay teruk retained for specified infections with same named diseases/vectors/tests; no invented separate severity test.","pages":[7,8,35,36]},{"observation":"Conditional wakalahrefund if any under23.4 does not override explicit no contributionrefund afterfree-look14.4; &lt;=RM10 bankfirst otherwisecharity, not automaticcharity.","pages":[12,15,40,44]},{"observation":"Specific recreation conditions and separate SID/accident exclusion categories retained; no claim SID cover is nullified by accident infection exclusion. Boxing present bothlanguages here.","pages":[16,18,19,45,46,47]},{"observation":"RM10 stamp borne by operator, not masterholder. Current taxes/law not independently verified.","pages":[17,45]}]</t>
  </si>
  <si>
    <t xml:space="preserve">delivery-batch25-20261026/group1/022-result.json#/clarifications</t>
  </si>
  <si>
    <t xml:space="preserve">execution-evidence.json#/batches/B25/documents/group1~1022-result.json/clarifications</t>
  </si>
  <si>
    <t xml:space="preserve">a6c6ed7c93f5c3838cf810d2a9bf23571136efbbda40fdf3b0a561df4d5aa1bd</t>
  </si>
  <si>
    <t xml:space="preserve">"Initial144dpi Englishseverability p9 can was wrong:216dpi CANNOT,Malayp37 agrees; initialnotes retained with correctednote/basis/timestamp. p56header provisional uncertainty resolvedSPG011 via216dpi, initialnote retained.31targeted216dpi confirmations cover numbers,negations,codes and bilingualmaterialdifferences."</t>
  </si>
  <si>
    <t xml:space="preserve">delivery-batch25-20261026/group1/022-result.json#/correction_basis</t>
  </si>
  <si>
    <t xml:space="preserve">execution-evidence.json#/batches/B25/documents/group1~1022-result.json/correction_basis</t>
  </si>
  <si>
    <t xml:space="preserve">837e4a880374a26de2f166218e0f9b2c4d2561d4ee3894bcbb9d67d318150286</t>
  </si>
  <si>
    <t xml:space="preserve">["Current adoption/individualcertificate/contributionfrequency/baseedition not established; absence alone not filelevelprimary blocker.","Fundexpense scope,funeral exclusion incorporation and surrender timing need operative clarification; no express language priority.","Actual claims/charges,current law/taxes/external source validity not verified."]</t>
  </si>
  <si>
    <t xml:space="preserve">delivery-batch25-20261026/group1/022-result.json#/preserved_uncertainties</t>
  </si>
  <si>
    <t xml:space="preserve">execution-evidence.json#/batches/B25/documents/group1~1022-result.json/preserved_uncertainties</t>
  </si>
  <si>
    <t xml:space="preserve">97413dad1d386726d2a1381b2cb41838c3ee09c67c65f625b53cc8847c973dc4</t>
  </si>
  <si>
    <t xml:space="preserve">"Unresolved operative bilingual differences and funeral-exclusion incorporation ambiguity, not missing personal schedule or current adoption."</t>
  </si>
  <si>
    <t xml:space="preserve">delivery-batch25-20261026/group1/022-result.json#/strict_blocker_basis</t>
  </si>
  <si>
    <t xml:space="preserve">execution-evidence.json#/batches/B25/documents/group1~1022-result.json/strict_blocker_basis</t>
  </si>
  <si>
    <t xml:space="preserve">9b97ea1c09b7b127ae1957d04f20184d65212d1f82dba52e1beab89ca4598d04</t>
  </si>
  <si>
    <t xml:space="preserve">{"actual_present_pages":56,"all_present_pages_semantically_reviewed":true,"checked_at_utc":"2026-10-26T19:33:39.423567+00:00","copy_allowed":false,"display_denials":0,"member_bytes":211876,"member_sha256":"22d5ebe338cb0b0a7aaa9c3a477290b8fbaa94ac03da3a21a69621538d8c999d","metadata_matches":true,"needs_password":0,"ordinary_visual_display_pending":false,"ordinary_visual_display_succeeded":true,"pdfinfo_metadata":"Creator:         PDF-XChange Editor 6.0.322.7\nProducer:        PDF-XChange Core API SDK (6.0.322.7)\nCreationDate:    Mon Mar 28 18:17:05 2022 JST\nModDate:         Mon Mar 28 18:30:19 2022 JST\nCustom Metadata: no\nMetadata Stream: yes\nTagged:          no\nUserProperties:  no\nSuspects:        no\nForm:            none\nJavaScript:      no\nPages:           56\nEncrypted:       yes (print:yes copy:no change:no addNotes:no algorithm:RC4)\nPage size:       595.5 x 842.25 pts (A4)\nPage rot:        0\nFile size:       211876 bytes\nOptimized:       no\nPDF version:     1.7\n","pdfinfo_returncode":0,"permissions":-3388,"permissions_unchanged":true,"print_allowed":true,"source_archive_sha256":"d8dd60e6ef6061e4984143b9d891b5dd848b86f8833f800902ad758355a66515","task_id":"B25-MY-022","text_extraction_OCR_printing_unlocking_permission_changes":false}</t>
  </si>
  <si>
    <t xml:space="preserve">delivery-batch25-20261026/group1/022-preflight.json#</t>
  </si>
  <si>
    <t xml:space="preserve">execution-evidence.json#/batches/B25/documents/group1~1022-preflight.json</t>
  </si>
  <si>
    <t xml:space="preserve">8e3acc5c832f4de5ec889433b47095d3b8cb42fc28c3af2316e2150d9ee95e7f</t>
  </si>
  <si>
    <t xml:space="preserve">{"actual_present_physical_pages":105,"all_pages_reviewed":true,"cleanup_reference":{"bytes":26495,"path":"independent-qa.json#/batches/B25/documents/group1~1023-cleanup.json","sha256":"6fa77185610c2ff0a52cd9a170014b00aa589d843173cde712291198802772b1"},"current_adoption_credit":0,"execution_result_reference":{"bytes":23242,"path":"execution-evidence.json#/batches/B25/documents/group1~1023-result.json","sha256":"b957fc983c54676b964779f1cd7118a154e6dd1090d969321836731b90d11f84"},"file_level_primary_role_previously_accepted":true,"formal_mutations":false,"full_content_review_complete":true,"full_review_accepted":true,"gap_closure_credit":0,"independent_QA":true,"new_original":0,"new_primary":0,"new_product":0,"original_id":"regional-20261025-af447ec910b35f11","package_complete_credit":0,"page_proof_reference":{"bytes":51155,"path":"independent-qa.json#/batches/B25/documents/group1~1023-page-proof.jsonl","sha256":"12825fc73c1f7cb4e1bd8e05a853261bdfb9dea41954f12adfc413fa0bcdbb55"},"prior_task_id":"B18-MY-014","qa_result_reference":{"bytes":30545,"path":"independent-qa.json#/batches/B25/documents/group1~1023-result.json","sha256":"d63ff873cb05d9ba979e63b2e08955febb0d5fd8abe296ed141f5939bfd77ec0"},"queue_id":"PENDING-af447ec910b35f11","region_code":"MY","review_status":"full","sha256":"af447ec910b35f111a7e9dc73d236be0ca47b5104beec5534f45d3df65374c5b","source_archive_sha256":"d8dd60e6ef6061e4984143b9d891b5dd848b86f8833f800902ad758355a66515","source_insurer_preserved":"Sun Life Malaysia Takaful Berhad","strict_eligible":false,"strict_status":"needs_review","strict_verified":false,"target":"Sun Wealth Protect-i Master Contract","task_id":"B25-MY-023","verification_status":"needs_review"}</t>
  </si>
  <si>
    <t xml:space="preserve">{"bytes":30545,"path":"independent-qa.json#/batches/B25/documents/group1~1023-result.json","sha256":"d63ff873cb05d9ba979e63b2e08955febb0d5fd8abe296ed141f5939bfd77ec0"}</t>
  </si>
  <si>
    <t xml:space="preserve">qa-b25-full-review-20261026/issues-and-clarifications.json#/files/22/current_QA_result</t>
  </si>
  <si>
    <t xml:space="preserve">independent-qa.json#/batches/B25/documents/issues-and-clarifications.json/files/22/current_QA_result</t>
  </si>
  <si>
    <t xml:space="preserve">2735de3bc38fc24b1c8aa8f92e88abfa29fe3c88cbb2482e5bcfdc9eca544378</t>
  </si>
  <si>
    <t xml:space="preserve">qa-b25-full-review-20261026/issues-and-clarifications.json#/files/22/final_status</t>
  </si>
  <si>
    <t xml:space="preserve">independent-qa.json#/batches/B25/documents/issues-and-clarifications.json/files/22/final_status</t>
  </si>
  <si>
    <t xml:space="preserve">QA023F1</t>
  </si>
  <si>
    <t xml:space="preserve">[46,90,91]</t>
  </si>
  <si>
    <t xml:space="preserve">{"disposition":"needs_review","id":"QA023F1","observation":"SWP0075.28 muscular dystrophy: English minimum12 NEXTbirthday, Malay12 LASTbirthday (hari lahir terakhir). Independently confirmed216dpi. No languagepriority or present replacement of5.28; not choosing actualclaim eligibility.","pages":[46,90,91]}</t>
  </si>
  <si>
    <t xml:space="preserve">qa-b25-full-review-20261026/issues-and-clarifications.json#/files/22/independent_findings/0</t>
  </si>
  <si>
    <t xml:space="preserve">independent-qa.json#/batches/B25/documents/issues-and-clarifications.json/files/22/independent_findings/0</t>
  </si>
  <si>
    <t xml:space="preserve">722cb43a00c21170477f8a6e91101c0f745dcf9e482ad18499cfb0412daf1a60</t>
  </si>
  <si>
    <t xml:space="preserve">QA023F2</t>
  </si>
  <si>
    <t xml:space="preserve">[41,85,86]</t>
  </si>
  <si>
    <t xml:space="preserve">{"disposition":"needs_review","id":"QA023F2","observation":"SWP0075.7(a) English LOW malignantpotential versus Malay mempunyai potensi malignan withno LOW/rendah. Separate premalignant/noninvasive/in-situ/borderline bullets do notrestore qualifier; no languagepriority. Do notinferallcancers excluded.","pages":[41,85,86]}</t>
  </si>
  <si>
    <t xml:space="preserve">qa-b25-full-review-20261026/issues-and-clarifications.json#/files/22/independent_findings/1</t>
  </si>
  <si>
    <t xml:space="preserve">independent-qa.json#/batches/B25/documents/issues-and-clarifications.json/files/22/independent_findings/1</t>
  </si>
  <si>
    <t xml:space="preserve">f3d2d8565d829ae2747916a85945565033648392864df71a248d56a60108af0e</t>
  </si>
  <si>
    <t xml:space="preserve">QA023F3</t>
  </si>
  <si>
    <t xml:space="preserve">[44,45,89]</t>
  </si>
  <si>
    <t xml:space="preserve">{"disposition":"needs_review","id":"QA023F3","observation":"SWP0075.19(c) English source tracedto transfusioninstitution AND thatinstitution abletrace infectedblood; Malay ATAU (OR) between institutionalconditions. ALL conditions(a)–(e) remainsrequired BOTH; thisis WITHIN(c),notglobalOR. No languagepriority. Clause(a) separately medicalnecessity OR partmedicaltreatment BOTH.","pages":[44,45,89]}</t>
  </si>
  <si>
    <t xml:space="preserve">qa-b25-full-review-20261026/issues-and-clarifications.json#/files/22/independent_findings/2</t>
  </si>
  <si>
    <t xml:space="preserve">independent-qa.json#/batches/B25/documents/issues-and-clarifications.json/files/22/independent_findings/2</t>
  </si>
  <si>
    <t xml:space="preserve">9c6239753bb0053b09a4caa3c14fc76d52933f62e2cfa2f04361e442d36ae12a</t>
  </si>
  <si>
    <t xml:space="preserve">QA023C1</t>
  </si>
  <si>
    <t xml:space="preserve">[1,2,3,4,5,6,7,8,9,10,11,12,13,14,15,16,31,32,74,75]</t>
  </si>
  <si>
    <t xml:space="preserve">{"disposition":"bounded_clarification","id":"QA023C1","observation":"Explicit2025Jul1 SunWealthProtect-i/SWP0917 sanctionfull34.1 despite SSI003heading/baseSWP003ending32. Boundedcode/number,notmissingcomponent/identity.2022Sep2 issuedPrincipal Asset Management (withoutBerhad), adds4–11seat e-hailingincldriver andwhole28 OWNERdeath/lifetime nomination16+,receiptregistered.2020wholeage8.2/fund24/wakalah22,deleteENTIRElegal19/renumber,replace26.1eunderwritingagreedYOU,addCI6variation30daysnextRENEWAL; noCIdefinitionrewrite.2019fullTPD18–65ANYpaidworkor3/6ADL6monthsNOdiagnosisanchor/twoexaminers14/16;2019fund24.6notstackedafter2020whole24.","pages":[1,2,3,4,5,6,7,8,9,10,11,12,13,14,15,16,31,32,74,75]}</t>
  </si>
  <si>
    <t xml:space="preserve">qa-b25-full-review-20261026/issues-and-clarifications.json#/files/22/independent_findings/3</t>
  </si>
  <si>
    <t xml:space="preserve">independent-qa.json#/batches/B25/documents/issues-and-clarifications.json/files/22/independent_findings/3</t>
  </si>
  <si>
    <t xml:space="preserve">cba5b2b5cee34d3cca80c0ede46f3958288b71e5f628fa03d911552a0a6a6187</t>
  </si>
  <si>
    <t xml:space="preserve">QA023C2</t>
  </si>
  <si>
    <t xml:space="preserve">[7,8,9,10,20,26,27,28,29,30,31,63,69,70,71,72,73,74]</t>
  </si>
  <si>
    <t xml:space="preserve">{"disposition":"bounded_clarification","id":"QA023C2","observation":"GRACE30days both29/73,NOT60. Tables20/63 contributions512/1024/1536/2048/2560 NOannualunit; yearlyrenewalnotproofpaymentfrequency and21.2changeable. Fee30%;conditionalexistingwakalahrefundIFANYnotnewcharge/automaticcontributionrefund.15freelook,2yrsISSUE incontestability,nextCONTRIBUTIONDUEDATE surrenderboth,nocash/postfreecontributionrefund;12mreinstate/nonfraudreturnCONTRIBUTIONSsinceLAST/notbefore/gapnotcovered. LegalbaseNOactionBEFORE2yrexpiry later2020deleted. DirectCLAIMSfundexpense qualifierpresentBOTH;50/50afterQard,NOTlapsedANDNOTsurrenderedyearend,&lt;=10bankfirstelsecharity.","pages":[7,8,9,10,20,26,27,28,29,30,31,63,69,70,71,72,73,74]}</t>
  </si>
  <si>
    <t xml:space="preserve">qa-b25-full-review-20261026/issues-and-clarifications.json#/files/22/independent_findings/4</t>
  </si>
  <si>
    <t xml:space="preserve">independent-qa.json#/batches/B25/documents/issues-and-clarifications.json/files/22/independent_findings/4</t>
  </si>
  <si>
    <t xml:space="preserve">48d8c2b1eb14bcf42d12ab0ee7143bbddb46801a95751586836419bb3416f5ef</t>
  </si>
  <si>
    <t xml:space="preserve">QA023C3</t>
  </si>
  <si>
    <t xml:space="preserve">[33,34,36,37,38,39,40,49,51,53,54,56,58,76,77,80,81,82,83,84,94,96,98,100,102,104,105]</t>
  </si>
  <si>
    <t xml:space="preserve">{"disposition":"bounded_clarification","id":"QA023C3","observation":"Only SWP0131.5 specialTPD58/104 explicitlyretains lowerTPDresidualdeathproportionalFROMONSET. MainSWP00636–37/80–81,regularaccSWP00951–52/96–97,SIDSWP01154–55/100–101 doNOTcontainthatclause. MainTPDdeathbeforepaiddeathonly. Monthly65qualification andannual65outerterminationdistinctnotautomaticallycontradictory. PrioracceleratedPAIDdeductionpresentBOTH inacc/SID/special;keepseparatefromCI1.2approved/admittedamount. CIacceleratednotadditional500kTHISproduct/angioplasty10%max25kONCE;30daywaitlaterISSUE/reinstate,5conditions60,postdateaccidentnoWAIT39/83. SID30dayISSUEorlastreinstateLATER. No reusingotherproductsmedicalPAYABLE/PAIDissue.","pages":[33,34,36,37,38,39,40,49,51,53,54,56,58,76,77,80,81,82,83,84,94,96,98,100,102,104,105]}</t>
  </si>
  <si>
    <t xml:space="preserve">qa-b25-full-review-20261026/issues-and-clarifications.json#/files/22/independent_findings/5</t>
  </si>
  <si>
    <t xml:space="preserve">independent-qa.json#/batches/B25/documents/issues-and-clarifications.json/files/22/independent_findings/5</t>
  </si>
  <si>
    <t xml:space="preserve">9147148f4c36bfdcb106246d4c679796d985d02e2b72ee712904879b21450acc</t>
  </si>
  <si>
    <t xml:space="preserve">QA023C4</t>
  </si>
  <si>
    <t xml:space="preserve">[32,33,38,44,45,54,55,56,57,58,59,75,76,82,89,100,101,102,103,104,105]</t>
  </si>
  <si>
    <t xml:space="preserve">{"disposition":"bounded_clarification","id":"QA023C4","observation":"SWP004conditionalapplicationactualannexurepresent. GeneralCIHIVexclusion readwithspecifictransfusiondefinition,notblanketvoidinference. SWP011MSterminationheading4/sub5.1 boundednumber. SWP013MS1.1 beginsTPD thenifdeathoccurs versusENiflossissustained;heading/1.2/1.5TPD boundsdraftissue,notimposingdeathcondition. MS104also skips1.3ENfundpaymentline;general24.1allbenefitsfundand1.2TPDpayremain,noseparatebenefitmissingclaim. Specialpublic/elevator/fireadditional100%regularaccbenefit nottwicecount1.1/1.2. RM10stampOPERATOR. No12n-ratebranch/reducingsumloanformula; personalcert/currentadoptionunknownnotaloneveto.","pages":[32,33,38,44,45,54,55,56,57,58,59,75,76,82,89,100,101,102,103,104,105]}</t>
  </si>
  <si>
    <t xml:space="preserve">qa-b25-full-review-20261026/issues-and-clarifications.json#/files/22/independent_findings/6</t>
  </si>
  <si>
    <t xml:space="preserve">independent-qa.json#/batches/B25/documents/issues-and-clarifications.json/files/22/independent_findings/6</t>
  </si>
  <si>
    <t xml:space="preserve">a02c418ee2bb88f67bf16115bbf493787d24c5aba079b93db8640ff707cb202b</t>
  </si>
  <si>
    <t xml:space="preserve">QA023M1</t>
  </si>
  <si>
    <t xml:space="preserve">[13,14,20,25,26,27,29,36,37,38,39,51,54,58,63,68,69,70,71,72,73,74,80,82,83,96,100,104]</t>
  </si>
  <si>
    <t xml:space="preserve">{"accepted":"Preserveallfrozenoriginals and corrections. Independentlyconfirm30NOT60grace,noannualtableunit,SWP013-onlyresidual,neighborpageattributionfixes. Originalwrong/provisionalstrings preserved in referenced register snapshot. Execution metadata_corrections.initial_metadata.content_summary/clarifications alreadycontaincorrectedstrings despiteinitiallabel; doNOT claimtheyretainverbatimearlierwrongresult. Actualwrongstringssurvivezoomchains. Sourceunchanged.","id":"QA023M1","pages":[13,14,20,25,26,27,29,36,37,38,39,51,54,58,63,68,69,70,71,72,73,74,80,82,83,96,100,104],"type":"execution_postfinish_corrections_independently_confirmed"}</t>
  </si>
  <si>
    <t xml:space="preserve">qa-b25-full-review-20261026/issues-and-clarifications.json#/files/22/metadata_corrections/0</t>
  </si>
  <si>
    <t xml:space="preserve">independent-qa.json#/batches/B25/documents/issues-and-clarifications.json/files/22/metadata_corrections/0</t>
  </si>
  <si>
    <t xml:space="preserve">4f8be4c0058ebd70b48528b7e92ae647702cba5b1674ab2e2f01a75b086a7c61</t>
  </si>
  <si>
    <t xml:space="preserve">QA023M2</t>
  </si>
  <si>
    <t xml:space="preserve">[3,5]</t>
  </si>
  <si>
    <t xml:space="preserve">{"accepted":"Principal Asset Management; actual2022headerdoesnotincludeBerhad. Dropunsupported suffix only; notnewentity/identityfailure.","id":"QA023M2","original":"Principal Asset Management Berhad","pages":[3,5],"type":"execution_new_identity_precision"}</t>
  </si>
  <si>
    <t xml:space="preserve">qa-b25-full-review-20261026/issues-and-clarifications.json#/files/22/metadata_corrections/1</t>
  </si>
  <si>
    <t xml:space="preserve">independent-qa.json#/batches/B25/documents/issues-and-clarifications.json/files/22/metadata_corrections/1</t>
  </si>
  <si>
    <t xml:space="preserve">b3b8f06c9b79dcb48cadb0be7294430adf9156bc04e7f5b5add6ec3e73e0b3d8</t>
  </si>
  <si>
    <t xml:space="preserve">QA023M3</t>
  </si>
  <si>
    <t xml:space="preserve">[33,49,76,94]</t>
  </si>
  <si>
    <t xml:space="preserve">{"accepted":"ActualSWP004; page49note SPW004 is anothertransposition distinctfrompage33SPP004 alreadycorrected. No missingannexure.","id":"QA023M3","original_execution_note49":"BeforeMONTHLYannivafter65 approvedamountlessdebtANDprioracceleratedadditionalbenefitpaid;180dayaccdeathADDITIONALfundsum.30dayprooflateexception;SPW004ref;endpay/TPD/CIexceptangioplasty/cancel/surrender/lapse.","pages":[33,49,76,94],"type":"execution_typo_correction"}</t>
  </si>
  <si>
    <t xml:space="preserve">qa-b25-full-review-20261026/issues-and-clarifications.json#/files/22/metadata_corrections/2</t>
  </si>
  <si>
    <t xml:space="preserve">independent-qa.json#/batches/B25/documents/issues-and-clarifications.json/files/22/metadata_corrections/2</t>
  </si>
  <si>
    <t xml:space="preserve">b12818eca231a330da1cc29736c783d7eabc645047fd67bf7efdba610377ddac</t>
  </si>
  <si>
    <t xml:space="preserve">QA023M4</t>
  </si>
  <si>
    <t xml:space="preserve">[44,88,89]</t>
  </si>
  <si>
    <t xml:space="preserve">{"accepted":"Transfusion5.19(a) medicallynecessary OR partofmedicaltreatment; notnecessityalone. Heartattack5.17 confirmedbycardiologist OR physician; notcardiologistalone. Separatefrom5.19(c)materialAND/ORdifference.","id":"QA023M4","original_execution_note44":"FulminanthepatitisALLrapidfunctiondecline/deepeningjaundice,infectioncarrieraloneexcluded. HeartattackALLchestpain/newECGchanges/biomarkerCPKMBaboveULN orTroponinT/I&gt;=0.5ng/ml,cardiologist;ACS/unstableanginaandpostpercutaneousbiomarkerriseexcluded. Valveactualopenheart excludesintraarterial/keyhole. TransfusionHIV requiresmedicalnecessity andMY/SGaftercommencement plusnextpage.","pages":[44,88,89],"type":"execution_medical_condition_precision"}</t>
  </si>
  <si>
    <t xml:space="preserve">qa-b25-full-review-20261026/issues-and-clarifications.json#/files/22/metadata_corrections/3</t>
  </si>
  <si>
    <t xml:space="preserve">independent-qa.json#/batches/B25/documents/issues-and-clarifications.json/files/22/metadata_corrections/3</t>
  </si>
  <si>
    <t xml:space="preserve">63b29707a3fc28280567a58daa8576eb7637214644ed81dde66320bee425cf34</t>
  </si>
  <si>
    <t xml:space="preserve">QA023M5</t>
  </si>
  <si>
    <t xml:space="preserve">[38,39,40,43,44,92,93]</t>
  </si>
  <si>
    <t xml:space="preserve">{"accepted":"Executionzoom38postdateaccidentexception actually39; full30/60list38–39. Zoom40dementiaorganic/neurologist actual39;40onlyalcohol/drugexclusioncontinuation. Zoom43fulminantALL4criteria43–44,notall43. Zoom93SLEIII–V92–93,93onlyTypeVcontinuation. Allactualpagesindependentlyread144and216; noextra physicalpages.","id":"QA023M5","pages":[38,39,40,43,44,92,93],"type":"execution_remaining_page_attribution_precision"}</t>
  </si>
  <si>
    <t xml:space="preserve">qa-b25-full-review-20261026/issues-and-clarifications.json#/files/22/metadata_corrections/4</t>
  </si>
  <si>
    <t xml:space="preserve">independent-qa.json#/batches/B25/documents/issues-and-clarifications.json/files/22/metadata_corrections/4</t>
  </si>
  <si>
    <t xml:space="preserve">fb1dd193f84b282bb0ea7ceea1eb61435c3e92ea00b971eea4c0dd11bc7c3030</t>
  </si>
  <si>
    <t xml:space="preserve">QA023M6</t>
  </si>
  <si>
    <t xml:space="preserve">[38,82]</t>
  </si>
  <si>
    <t xml:space="preserve">{"accepted":"CI1.2 reduction triggeredbyAPPROVEDclaim,amountCIbenefitADMITTED(EN); MSdiluluskan/diterima. Do notsubstitutePAIDtriggerincompressednote. Distinctfrom1.5deathbeforepaymentdeathonlyandactualprioracceleratedPAIDdeductionsinotherannexures.","id":"QA023M6","original_execution_notes":[{"component":"SWP007 CI benefit","display_sha256":"6a1b672d1eebdaee252db539a48487534b4257f7f73a4a3b4a1473bf39f2e8fe","language":"English","method":"ordinary_read_only_visual_144dpi","physical_page":38,"reviewed_at_utc":"2026-10-26T19:52:05.496868+00:00","semantic_note":"36CIsfundlumpsum;ACCELERATED notadditional death/TPD,reducebyCIpaid;cap500kunderTHISproduct;deathbeforeCIpaiddeathonly. Exclusionscongenital,AIDS/HIV,racing/aerial/scuba/prosport,preexisting,selfharm,war/terror/military,willfulalcohol/drugs.30daywaitlaterISSUE/reinstate except5conditions60days.","semantic_read":true,"task_id":"B25-MY-023"},{"component":"SWP007 CI","display_sha256":"3abed76cffb981305b534a8c70259a5f145cee0bfb3fd42f1ca88e1e7374b885","language":"Malay","method":"ordinary_read_only_visual_144dpi","physical_page":82,"reviewed_at_utc":"2026-10-26T19:59:40.699091+00:00","semantic_note":"36CIacceleratedNOTadditionaldeath/TPD,reducebypaidCI;500kproductaggregate;deathbeforepaiddeathonly. Exclusionscongenital/AIDS-HIV/racing-air-scuba-prosport/preexisting/selfharm/war-terror-military/willfulsubstanceabuse.","semantic_read":true,"task_id":"B25-MY-023"}],"pages":[38,82],"type":"execution_approved_vs_paid_precision"}</t>
  </si>
  <si>
    <t xml:space="preserve">qa-b25-full-review-20261026/issues-and-clarifications.json#/files/22/metadata_corrections/5</t>
  </si>
  <si>
    <t xml:space="preserve">independent-qa.json#/batches/B25/documents/issues-and-clarifications.json/files/22/metadata_corrections/5</t>
  </si>
  <si>
    <t xml:space="preserve">62fba2184c7034c190036f409760822bb5e2b85ffb21629a136a307d28637a7e</t>
  </si>
  <si>
    <t xml:space="preserve">QA023M7</t>
  </si>
  <si>
    <t xml:space="preserve">[33,45,86,89,91,104]</t>
  </si>
  <si>
    <t xml:space="preserve">{"accepted":"33SPP→SWP;45/89omittedconjunctionexpandedANDvsATAU;86LOWomissionand91NEXT/LASTconfirmed;104deathwordingconfirmedbounded. Retainoriginalnotes/correction_basis/register; noreintroductionofwithdrawnclaims.","id":"QA023M7","pages":[33,45,86,89,91,104],"type":"execution_provisional_and_typo_chains_confirmed"}</t>
  </si>
  <si>
    <t xml:space="preserve">qa-b25-full-review-20261026/issues-and-clarifications.json#/files/22/metadata_corrections/6</t>
  </si>
  <si>
    <t xml:space="preserve">independent-qa.json#/batches/B25/documents/issues-and-clarifications.json/files/22/metadata_corrections/6</t>
  </si>
  <si>
    <t xml:space="preserve">2ff3c6cac1317a8884307a8d213dd7b3634313384258e466a172e9b6f504368b</t>
  </si>
  <si>
    <t xml:space="preserve">qa-b25-full-review-20261026/issues-and-clarifications.json#/files/22/qa_notes</t>
  </si>
  <si>
    <t xml:space="preserve">independent-qa.json#/batches/B25/documents/issues-and-clarifications.json/files/22/qa_notes</t>
  </si>
  <si>
    <t xml:space="preserve">"ThreeoperativeCI bilingual differences: muscularminimumNEXT/LASTbirthday,cancerLOWqualifieromission,andtransfusioninstitutionAND/ORwithincondition(c);no languagepriority/presentreplacement. Notindividualschedule/adoptionunknown. All105actualpages+69own216dpi;105executionnotes/66zoom/allnonnotefacts/registeraudited."</t>
  </si>
  <si>
    <t xml:space="preserve">qa-b25-full-review-20261026/issues-and-clarifications.json#/files/22/strict_basis</t>
  </si>
  <si>
    <t xml:space="preserve">independent-qa.json#/batches/B25/documents/issues-and-clarifications.json/files/22/strict_basis</t>
  </si>
  <si>
    <t xml:space="preserve">cbe2f58ad9058eeee2d1cc99d36baf563cae3180c5b9a021794038c39f872364</t>
  </si>
  <si>
    <t xml:space="preserve">"B25-MY-023"</t>
  </si>
  <si>
    <t xml:space="preserve">qa-b25-full-review-20261026/issues-and-clarifications.json#/files/22/task_id</t>
  </si>
  <si>
    <t xml:space="preserve">independent-qa.json#/batches/B25/documents/issues-and-clarifications.json/files/22/task_id</t>
  </si>
  <si>
    <t xml:space="preserve">849da946025a97f772fead1ebfeb9a6da877bc64d494c746ecb16ba9d87b145b</t>
  </si>
  <si>
    <t xml:space="preserve">{"base_edition":"SWP0917 is identifier, not independently established issue date","issuer":"Sun Life Malaysia Takaful Berhad","master_contract_numbers":["SWP0917"],"masterholder_in_2022_endorsement":"Principal Asset Management Berhad","pdf_metadata_not_issue_or_adoption":"Creation2020-07-01/modification2026-01-07 metadata not issue/current-adoption evidence","product":"Sun Wealth Protect-i"}</t>
  </si>
  <si>
    <t xml:space="preserve">delivery-batch25-20261026/group1/023-result.json#/observed_identity</t>
  </si>
  <si>
    <t xml:space="preserve">execution-evidence.json#/batches/B25/documents/group1~1023-result.json/observed_identity</t>
  </si>
  <si>
    <t xml:space="preserve">e6df5b24e1fac2991e0275f07efd88943e41b286a9ce7527e872d65671b32652</t>
  </si>
  <si>
    <t xml:space="preserve">[{"component":"2025-07-01 bilingual sanctions endorsement; full34.1 text; SSI003 heading mismatch bounded by named product/masteridentifier","pages":[1,2]},{"component":"2022-09-02 bilingual e-hailing/publictransport definitions and entire nomination28 replacement; Principal Asset Management/SWP0917","pages":[3,4,5,6]},{"component":"2020-07-01 bilingual age8.2/legalproceedings deletion/wakalah22/fund24/reinstatement26.1e replacements and CI6 addition","pages":[7,8,9,10]},{"component":"2019-07-01 bilingual compliance12.1 replacement","pages":[11,12]},{"component":"2019-07-01 bilingual TPD1.1dd/surplus14.3/24.6 replacements; 2020entire24 later supersedes24.6","pages":[13,14,15,16]},{"component":"English cover then printed1–42 contents/introduction/SWP001–013, complete general and9 benefit annexures including36CIdefinitions","pages":[17,18,19,20,21,22,23,24,25,26,27,28,29,30,31,32,33,34,35,36,37,38,39,40,41,42,43,44,45,46,47,48,49,50,51,52,53,54,55,56,57,58,59]},{"component":"Malay cover then printed1–45 contents/introduction/SWP001–013, complete bilingual counterparts including36CIdefinitions","pages":[60,61,62,63,64,65,66,67,68,69,70,71,72,73,74,75,76,77,78,79,80,81,82,83,84,85,86,87,88,89,90,91,92,93,94,95,96,97,98,99,100,101,102,103,104,105]}]</t>
  </si>
  <si>
    <t xml:space="preserve">delivery-batch25-20261026/group1/023-result.json#/components</t>
  </si>
  <si>
    <t xml:space="preserve">execution-evidence.json#/batches/B25/documents/group1~1023-result.json/components</t>
  </si>
  <si>
    <t xml:space="preserve">48e11ede20bc22cc3872acf73930f9ce2d5b3315a096d9b416ba7e2db40eef98</t>
  </si>
  <si>
    <t xml:space="preserve">["All105presentpages semantically read in both languages;66 targeted216dpi confirmations.5plans RM100k–500k; contributiontable amounts512/1024/1536/2048/2560;wakalah30%. Death/TPD/36CI plus accident,SID and publictransport/elevator/fire special death/TPD annexures all present.","CI accelerates(not adds to)deathbenefit; RM500k productcap;angioplasty firstactualprocedure10%CImax25kONCE deductedfromlaterbenefits. Waiting30dayslaterissue/reinstate,60daysfor5listedconditions;postdateaccidentexception. DeathbeforeCIpaid deathonly.","2019TPD age18–65 ANYpaidwork or3of6ADLs6months with no diagnosis-startphrase; speciallosses/severance and2examiners. TPDaggregate2m;lowerTPDresidualdeath only explicitly present in SWP013 specialTPD1.5, not imported into otherTPDannexures. Accident180days;monthlyanniversaryafter65 benefitqualification distinct from annualanniversaryafter65outertermination.","2020fund directCLAIMS qualifier matches BOTH languages here;50/50surplusafterQard,yearendnolapse/surrender;&lt;=10 bankfirstelsecharity. Loan repayment from surplus not evidence of double deduction. 2020conditionalwakalahrefund ifany does not override explicit afterfreelook no-contribution-refund.","2019compliance,2020entirereplacements and2022nomination replacement applied only to their statedscope. No extrapolation of2020CIalterations clause to rewriting existingCIdefinitions."]</t>
  </si>
  <si>
    <t xml:space="preserve">delivery-batch25-20261026/group1/023-result.json#/content_summary</t>
  </si>
  <si>
    <t xml:space="preserve">execution-evidence.json#/batches/B25/documents/group1~1023-result.json/content_summary</t>
  </si>
  <si>
    <t xml:space="preserve">f6cf5fa45032ed065e6d6d581d0aa9c62ae25e00e2ce6981081ef4cc021f5bde</t>
  </si>
  <si>
    <t xml:space="preserve">[{"disposition":"needs_review;do not choose actual claim eligibility date","finding_id":"B25-023-F1","observation":"SWP0075.28 muscular dystrophy English no claim before12years NEXTbirthday; Malay before12years LASTbirthday (hari lahir terakhir). Both original and enlarged visual readings confirm. No express language priority or present replacement of5.28 found.","pages":[46,91],"severity":"bilingual_critical_illness_minimum_age_difference"},{"disposition":"needs_review;do not infer all cancers excluded or legal invalidity","finding_id":"B25-023-F2","observation":"SWP0075.7(a) last bullet English LOW malignant potential; Malay continuation says having malignant potential without low/rendah qualifier. Preceding premalignant/noninvasive/in-situ/borderline bullets are separate and do not restore that qualifier.","pages":[41,85,86],"severity":"bilingual_cancer_exclusion_scope_difference"},{"disposition":"needs_review;no express languagepriority found;do not decide actual claim","finding_id":"B25-023-F3","observation":"SWP0075.19(c) English requires tracing infection to institution providing transfusion AND that institution being able to trace infected blood; Malay uses ATAU (OR) between the institutional conditions. Enlarged confirmation preserved rather than normalized.","pages":[45,89],"severity":"bilingual_HIV_transfusion_proof_conjunction_difference"}]</t>
  </si>
  <si>
    <t xml:space="preserve">delivery-batch25-20261026/group1/023-result.json#/substantive_findings</t>
  </si>
  <si>
    <t xml:space="preserve">execution-evidence.json#/batches/B25/documents/group1~1023-result.json/substantive_findings</t>
  </si>
  <si>
    <t xml:space="preserve">e3097455aec918f50fa70e0509c968df4224644e97ef8d981b2f9dbca3e99a8d</t>
  </si>
  <si>
    <t xml:space="preserve">[1,2,32,75]</t>
  </si>
  <si>
    <t xml:space="preserve">{"observation":"2025heading SSI003/general34 differs baseSWP003 ending32, but fullsanctiontext explicitly namesSunWealthProtect-i/SWP0917. Bounded numbering/annexurecode defect, not missinggenericcomponent or unresolvedproductidentity.","pages":[1,2,32,75]}</t>
  </si>
  <si>
    <t xml:space="preserve">delivery-batch25-20261026/group1/023-result.json#/clarifications/0</t>
  </si>
  <si>
    <t xml:space="preserve">execution-evidence.json#/batches/B25/documents/group1~1023-result.json/clarifications/0</t>
  </si>
  <si>
    <t xml:space="preserve">dfa66bdff984d7edf92a98e0597981e65abe4e13d63adb3b6f1956190c3f045b</t>
  </si>
  <si>
    <t xml:space="preserve">[3,4,5,6,31,32,74,75]</t>
  </si>
  <si>
    <t xml:space="preserve">{"observation":"2022replacesENTIRE28:owner16/deathbenefitexecutororconditionalhibah;changes effectivewrittenreceipt registered duringOWNERlifetime, replacing basecoveredpersonlifetime. E-hailing4–11seatsincludingdriver/appfare;publictransport includes taxi/e-hailing/cablecar/scheduledairportlimousine/air.","pages":[3,4,5,6,31,32,74,75]}</t>
  </si>
  <si>
    <t xml:space="preserve">delivery-batch25-20261026/group1/023-result.json#/clarifications/1</t>
  </si>
  <si>
    <t xml:space="preserve">execution-evidence.json#/batches/B25/documents/group1~1023-result.json/clarifications/1</t>
  </si>
  <si>
    <t xml:space="preserve">9d5b7b46c045e3e2ede5aa2c28bb5ef7e32f00a1c7127492a4017d75a900891e</t>
  </si>
  <si>
    <t xml:space="preserve">[7,8,9,10,26,27,29,30,31,70,71,73,74]</t>
  </si>
  <si>
    <t xml:space="preserve">{"observation":"2020age8.2replacement,ENTIRElegalproceedings19deletion/renumber,ENTIREfund24 replacement,26.1e replacement andCI6addition mapped explicitly; 2019number24.6not independently stacked after2020entire24replacement.","pages":[7,8,9,10,26,27,29,30,31,70,71,73,74]}</t>
  </si>
  <si>
    <t xml:space="preserve">delivery-batch25-20261026/group1/023-result.json#/clarifications/2</t>
  </si>
  <si>
    <t xml:space="preserve">execution-evidence.json#/batches/B25/documents/group1~1023-result.json/clarifications/2</t>
  </si>
  <si>
    <t xml:space="preserve">12eaa336ad53d5b8cbedabda0db83bdaccb3df92fcdebeb23bb917a3bdf55263</t>
  </si>
  <si>
    <t xml:space="preserve">[8,10,30,73]</t>
  </si>
  <si>
    <t xml:space="preserve">{"observation":"Both English and Malay contain direct-claims fundexpense qualifier in this file. No bilingualfundscopefinding imported from otherfiles;Qardrepayment not double deduction.","pages":[8,10,30,73]}</t>
  </si>
  <si>
    <t xml:space="preserve">delivery-batch25-20261026/group1/023-result.json#/clarifications/3</t>
  </si>
  <si>
    <t xml:space="preserve">execution-evidence.json#/batches/B25/documents/group1~1023-result.json/clarifications/3</t>
  </si>
  <si>
    <t xml:space="preserve">056f5ffd8ebf9ab2667d0d6565c26a2905f386f3d6afc6c34142cddfadcf46d9</t>
  </si>
  <si>
    <t xml:space="preserve">[13,15,24,67,68]</t>
  </si>
  <si>
    <t xml:space="preserve">{"observation":"All6ADLs andTPDcriteria present in base and2019replacement;CIreference to attachedpreamble does not alone establish missingADLgenericcomponent.","pages":[13,15,24,67,68]}</t>
  </si>
  <si>
    <t xml:space="preserve">delivery-batch25-20261026/group1/023-result.json#/clarifications/4</t>
  </si>
  <si>
    <t xml:space="preserve">execution-evidence.json#/batches/B25/documents/group1~1023-result.json/clarifications/4</t>
  </si>
  <si>
    <t xml:space="preserve">b1448408a8556c10bbc09d49cedc4b1457fd8875220f8655503d8bd8f760d45c</t>
  </si>
  <si>
    <t xml:space="preserve">[26,27,29,30,69,70,71,73,74]</t>
  </si>
  <si>
    <t xml:space="preserve">{"observation":"Both incontestability2yearsISSUE; surrenderNEXTcontributionduedate.15daydeliveryfreelook;30-day grace (not60);12monthreinstatement. Contribution schedule doesnotstateannualfrequency;21.2 permits approvedfrequencychange.","pages":[26,27,29,30,69,70,71,73,74]}</t>
  </si>
  <si>
    <t xml:space="preserve">delivery-batch25-20261026/group1/023-result.json#/clarifications/5</t>
  </si>
  <si>
    <t xml:space="preserve">execution-evidence.json#/batches/B25/documents/group1~1023-result.json/clarifications/5</t>
  </si>
  <si>
    <t xml:space="preserve">9283514077ac18a57c2dacaefbe443d7c9b4a5a0ff385b63a5679befd885103e</t>
  </si>
  <si>
    <t xml:space="preserve">[31,74]</t>
  </si>
  <si>
    <t xml:space="preserve">{"observation":"Reinstatement26.3setasidefirst2years exceptfraud/nonpay;26.4returns CONTRIBUTIONS sinceLASTreinstatement, not imported nettabarrurefund;gapnotcovered.","pages":[31,74]}</t>
  </si>
  <si>
    <t xml:space="preserve">delivery-batch25-20261026/group1/023-result.json#/clarifications/6</t>
  </si>
  <si>
    <t xml:space="preserve">execution-evidence.json#/batches/B25/documents/group1~1023-result.json/clarifications/6</t>
  </si>
  <si>
    <t xml:space="preserve">62d14a5ce5e2d04f1563d2e80e35ffee3f3a6af3e669c848347db2a12f4c68ee</t>
  </si>
  <si>
    <t xml:space="preserve">[33,76]</t>
  </si>
  <si>
    <t xml:space="preserve">{"observation":"Reviewer note SPP004 corrected to actualSWP004 at216dpi; originalnote retained. SeparategeneralHIVexclusion andspecifictransfusion5.19 require general/specific reading, not automatic assertion thatCIcover is void.","pages":[33,76]}</t>
  </si>
  <si>
    <t xml:space="preserve">delivery-batch25-20261026/group1/023-result.json#/clarifications/7</t>
  </si>
  <si>
    <t xml:space="preserve">execution-evidence.json#/batches/B25/documents/group1~1023-result.json/clarifications/7</t>
  </si>
  <si>
    <t xml:space="preserve">1cdf9528ec0ca78277764e4c8355a45894d7156fe46d27d633a27461cd9a8b11</t>
  </si>
  <si>
    <t xml:space="preserve">[38,39,82,83]</t>
  </si>
  <si>
    <t xml:space="preserve">{"observation":"CIwaiting30daysexceptangioplasty/cancer/CABG/heartattack/CAD60days;postdateaccidentexception;acceleratednotadditional500kproductcap;deathbeforeCIpaymentdeathonly;angioplastyexception preserved in termination lists.","pages":[38,39,82,83]}</t>
  </si>
  <si>
    <t xml:space="preserve">delivery-batch25-20261026/group1/023-result.json#/clarifications/8</t>
  </si>
  <si>
    <t xml:space="preserve">execution-evidence.json#/batches/B25/documents/group1~1023-result.json/clarifications/8</t>
  </si>
  <si>
    <t xml:space="preserve">a4a8afd8252f209e451bdb7cb7f2a01b6d3c6c6f7b954a6a00cb67f1cd36dc32</t>
  </si>
  <si>
    <t xml:space="preserve">[54,55,100,101]</t>
  </si>
  <si>
    <t xml:space="preserve">{"observation":"MalaySWP011terminationheading4/subclause5.1 vs English4.1 is bounded numbering error; fulltermination conditions present.","pages":[54,55,100,101]}</t>
  </si>
  <si>
    <t xml:space="preserve">delivery-batch25-20261026/group1/023-result.json#/clarifications/9</t>
  </si>
  <si>
    <t xml:space="preserve">execution-evidence.json#/batches/B25/documents/group1~1023-result.json/clarifications/9</t>
  </si>
  <si>
    <t xml:space="preserve">6613444d43f87e4ae48687f2b644b51e9df9eb2ce11ef73bfee9bc1a009b0fc1</t>
  </si>
  <si>
    <t xml:space="preserve">[49,51,53,54,56,58,94,96,98,100,102,104]</t>
  </si>
  <si>
    <t xml:space="preserve">{"observation":"Prioraccelerated amountPAID deduction present in bothlanguages of accident,SID,specialbenefits; no omitteddeduction finding imported. Specialpublic/elevator/fire pays further100%ofregularaccbenefit, not twicecounting1.1and1.2.","pages":[49,51,53,54,56,58,94,96,98,100,102,104]}</t>
  </si>
  <si>
    <t xml:space="preserve">delivery-batch25-20261026/group1/023-result.json#/clarifications/10</t>
  </si>
  <si>
    <t xml:space="preserve">execution-evidence.json#/batches/B25/documents/group1~1023-result.json/clarifications/10</t>
  </si>
  <si>
    <t xml:space="preserve">d9f54cd80f8b7000afd22c09efcb922cc5c5a2d6f90406029605fcf8d50a5ea0</t>
  </si>
  <si>
    <t xml:space="preserve">[58,59,104,105]</t>
  </si>
  <si>
    <t xml:space="preserve">{"observation":"MalaySWP0131.1 introducesTPD then says ifdeathoccurs; English iflossissustained. Title/1.2/1.5explicitTPD establish context but do not silently erase this bounded drafting inconsistency or impose deathrequirement. SpecificlowerTPDresidualdeath in SWP0131.5 alone qualifies that specialbenefit reading; not present in main/regularaccident/SIDTPD annexures.","pages":[58,59,104,105]}</t>
  </si>
  <si>
    <t xml:space="preserve">delivery-batch25-20261026/group1/023-result.json#/clarifications/11</t>
  </si>
  <si>
    <t xml:space="preserve">execution-evidence.json#/batches/B25/documents/group1~1023-result.json/clarifications/11</t>
  </si>
  <si>
    <t xml:space="preserve">23d0b9e009b083365d063cbede9996a66ee57bd92c73c7c904ce97f2ee59e4e0</t>
  </si>
  <si>
    <t xml:space="preserve">[56,57,58,59,102,103,104,105]</t>
  </si>
  <si>
    <t xml:space="preserve">{"observation":"Monthlyanniversaryafter65 qualification andannualanniversaryafter65termination retained separately in bothlanguages; no automatic identity or contradiction assumed.","pages":[56,57,58,59,102,103,104,105]}</t>
  </si>
  <si>
    <t xml:space="preserve">delivery-batch25-20261026/group1/023-result.json#/clarifications/12</t>
  </si>
  <si>
    <t xml:space="preserve">execution-evidence.json#/batches/B25/documents/group1~1023-result.json/clarifications/12</t>
  </si>
  <si>
    <t xml:space="preserve">ae469038e86190883c76580231a94ef3680d84b8c843a16d490cdf93d0bc160a</t>
  </si>
  <si>
    <t xml:space="preserve">[32,75]</t>
  </si>
  <si>
    <t xml:space="preserve">{"observation":"RM10stampbornebyOPERATOR; historicaltax/law content not independently updated.","pages":[32,75]}</t>
  </si>
  <si>
    <t xml:space="preserve">delivery-batch25-20261026/group1/023-result.json#/clarifications/13</t>
  </si>
  <si>
    <t xml:space="preserve">execution-evidence.json#/batches/B25/documents/group1~1023-result.json/clarifications/13</t>
  </si>
  <si>
    <t xml:space="preserve">9b461366b9c4a5d06e08890360b1bbed85c54194719b9b03f78e757190159877</t>
  </si>
  <si>
    <t xml:space="preserve">"Six pageproofclarification/correctionchains retained:33 reviewer SPP004typo→SWP004;45/89 initial compressed HIVtracingnotes expanded to confirmedANDvsATAU;86 provisionalcancerqualifier→confirmedLOWomission;91 provisionalage→confirmedNEXTvsLAST;104 provisionaldeathwording→confirmedboundeddraftdifference.63direct216dpi confirmations; no text extraction. Post-finish artifact self-check corrected neighboring-page attributions,30-day grace vs erroneous60 in result, ungrounded annualfrequencylabel, and overgeneralized residualdeath language. Three additional216dpi rechecks20/29/73; original result/confirmation strings preserved in metadata_corrections and zoomchains. No finding/strictstatus changed."</t>
  </si>
  <si>
    <t xml:space="preserve">delivery-batch25-20261026/group1/023-result.json#/correction_basis</t>
  </si>
  <si>
    <t xml:space="preserve">execution-evidence.json#/batches/B25/documents/group1~1023-result.json/correction_basis</t>
  </si>
  <si>
    <t xml:space="preserve">b93ba147f053496c174b4944a22dfd448d0dfde1bc52533904d4f7ec640a0e58</t>
  </si>
  <si>
    <t xml:space="preserve">"Grace is30days in bothlanguages, annualcontributionfrequency is not established, residualdeath mustnotbe generalized outsideSWP013. Three CI materialfindingsunchanged."</t>
  </si>
  <si>
    <t xml:space="preserve">delivery-batch25-20261026/group1/023-result.json#/metadata_corrections/0/clarification</t>
  </si>
  <si>
    <t xml:space="preserve">execution-evidence.json#/batches/B25/documents/group1~1023-result.json/metadata_corrections/0/clarification</t>
  </si>
  <si>
    <t xml:space="preserve">30a6452f2bc10935ac2f2b34924063a96bcc78551b2ff54fb5ca60ac7c43a9d2</t>
  </si>
  <si>
    <t xml:space="preserve">"2026-10-26T20:16:59.227287+00:00"</t>
  </si>
  <si>
    <t xml:space="preserve">delivery-batch25-20261026/group1/023-result.json#/metadata_corrections/0/corrected_at_utc</t>
  </si>
  <si>
    <t xml:space="preserve">execution-evidence.json#/batches/B25/documents/group1~1023-result.json/metadata_corrections/0/corrected_at_utc</t>
  </si>
  <si>
    <t xml:space="preserve">1bc007319f42e83bd317eba205e066cfb7a7682393f753be41d00327d6e9e272</t>
  </si>
  <si>
    <t xml:space="preserve">"Contemporaneous105pageproof matched against artifact; ordinary216dpi rechecks20/29/73. MainTPDp36/80 and regularaccident/SID notes expresslylack residualdeath; onlySWP01358/104 explicitlyhasit. Correct page mappings recorded in zoom-confirmation chains."</t>
  </si>
  <si>
    <t xml:space="preserve">delivery-batch25-20261026/group1/023-result.json#/metadata_corrections/0/correction_basis</t>
  </si>
  <si>
    <t xml:space="preserve">execution-evidence.json#/batches/B25/documents/group1~1023-result.json/metadata_corrections/0/correction_basis</t>
  </si>
  <si>
    <t xml:space="preserve">65da418df5d3ccc4a8d7814e9fd37239bbcb3287b293daff7b840337481ff731</t>
  </si>
  <si>
    <t xml:space="preserve">delivery-batch25-20261026/group1/023-result.json#/metadata_corrections/0/initial_metadata/clarifications/0</t>
  </si>
  <si>
    <t xml:space="preserve">execution-evidence.json#/batches/B25/documents/group1~1023-result.json/metadata_corrections/0/initial_metadata/clarifications/0</t>
  </si>
  <si>
    <t xml:space="preserve">delivery-batch25-20261026/group1/023-result.json#/metadata_corrections/0/initial_metadata/clarifications/1</t>
  </si>
  <si>
    <t xml:space="preserve">execution-evidence.json#/batches/B25/documents/group1~1023-result.json/metadata_corrections/0/initial_metadata/clarifications/1</t>
  </si>
  <si>
    <t xml:space="preserve">delivery-batch25-20261026/group1/023-result.json#/metadata_corrections/0/initial_metadata/clarifications/2</t>
  </si>
  <si>
    <t xml:space="preserve">execution-evidence.json#/batches/B25/documents/group1~1023-result.json/metadata_corrections/0/initial_metadata/clarifications/2</t>
  </si>
  <si>
    <t xml:space="preserve">delivery-batch25-20261026/group1/023-result.json#/metadata_corrections/0/initial_metadata/clarifications/3</t>
  </si>
  <si>
    <t xml:space="preserve">execution-evidence.json#/batches/B25/documents/group1~1023-result.json/metadata_corrections/0/initial_metadata/clarifications/3</t>
  </si>
  <si>
    <t xml:space="preserve">delivery-batch25-20261026/group1/023-result.json#/metadata_corrections/0/initial_metadata/clarifications/4</t>
  </si>
  <si>
    <t xml:space="preserve">execution-evidence.json#/batches/B25/documents/group1~1023-result.json/metadata_corrections/0/initial_metadata/clarifications/4</t>
  </si>
  <si>
    <t xml:space="preserve">delivery-batch25-20261026/group1/023-result.json#/metadata_corrections/0/initial_metadata/clarifications/5</t>
  </si>
  <si>
    <t xml:space="preserve">execution-evidence.json#/batches/B25/documents/group1~1023-result.json/metadata_corrections/0/initial_metadata/clarifications/5</t>
  </si>
  <si>
    <t xml:space="preserve">delivery-batch25-20261026/group1/023-result.json#/metadata_corrections/0/initial_metadata/clarifications/6</t>
  </si>
  <si>
    <t xml:space="preserve">execution-evidence.json#/batches/B25/documents/group1~1023-result.json/metadata_corrections/0/initial_metadata/clarifications/6</t>
  </si>
  <si>
    <t xml:space="preserve">delivery-batch25-20261026/group1/023-result.json#/metadata_corrections/0/initial_metadata/clarifications/7</t>
  </si>
  <si>
    <t xml:space="preserve">execution-evidence.json#/batches/B25/documents/group1~1023-result.json/metadata_corrections/0/initial_metadata/clarifications/7</t>
  </si>
  <si>
    <t xml:space="preserve">delivery-batch25-20261026/group1/023-result.json#/metadata_corrections/0/initial_metadata/clarifications/8</t>
  </si>
  <si>
    <t xml:space="preserve">execution-evidence.json#/batches/B25/documents/group1~1023-result.json/metadata_corrections/0/initial_metadata/clarifications/8</t>
  </si>
  <si>
    <t xml:space="preserve">delivery-batch25-20261026/group1/023-result.json#/metadata_corrections/0/initial_metadata/clarifications/9</t>
  </si>
  <si>
    <t xml:space="preserve">execution-evidence.json#/batches/B25/documents/group1~1023-result.json/metadata_corrections/0/initial_metadata/clarifications/9</t>
  </si>
  <si>
    <t xml:space="preserve">delivery-batch25-20261026/group1/023-result.json#/metadata_corrections/0/initial_metadata/clarifications/10</t>
  </si>
  <si>
    <t xml:space="preserve">execution-evidence.json#/batches/B25/documents/group1~1023-result.json/metadata_corrections/0/initial_metadata/clarifications/10</t>
  </si>
  <si>
    <t xml:space="preserve">delivery-batch25-20261026/group1/023-result.json#/metadata_corrections/0/initial_metadata/clarifications/11</t>
  </si>
  <si>
    <t xml:space="preserve">execution-evidence.json#/batches/B25/documents/group1~1023-result.json/metadata_corrections/0/initial_metadata/clarifications/11</t>
  </si>
  <si>
    <t xml:space="preserve">delivery-batch25-20261026/group1/023-result.json#/metadata_corrections/0/initial_metadata/clarifications/12</t>
  </si>
  <si>
    <t xml:space="preserve">execution-evidence.json#/batches/B25/documents/group1~1023-result.json/metadata_corrections/0/initial_metadata/clarifications/12</t>
  </si>
  <si>
    <t xml:space="preserve">delivery-batch25-20261026/group1/023-result.json#/metadata_corrections/0/initial_metadata/clarifications/13</t>
  </si>
  <si>
    <t xml:space="preserve">execution-evidence.json#/batches/B25/documents/group1~1023-result.json/metadata_corrections/0/initial_metadata/clarifications/13</t>
  </si>
  <si>
    <t xml:space="preserve">delivery-batch25-20261026/group1/023-result.json#/metadata_corrections/0/initial_metadata/content_summary</t>
  </si>
  <si>
    <t xml:space="preserve">execution-evidence.json#/batches/B25/documents/group1~1023-result.json/metadata_corrections/0/initial_metadata/content_summary</t>
  </si>
  <si>
    <t xml:space="preserve">"Six pageproofclarification/correctionchains retained:33 reviewer SPP004typo→SWP004;45/89 initial compressed HIVtracingnotes expanded to confirmedANDvsATAU;86 provisionalcancerqualifier→confirmedLOWomission;91 provisionalage→confirmedNEXTvsLAST;104 provisionaldeathwording→confirmedboundeddraftdifference.63direct216dpi confirmations; no text extraction."</t>
  </si>
  <si>
    <t xml:space="preserve">delivery-batch25-20261026/group1/023-result.json#/metadata_corrections/0/initial_metadata/correction_basis</t>
  </si>
  <si>
    <t xml:space="preserve">execution-evidence.json#/batches/B25/documents/group1~1023-result.json/metadata_corrections/0/initial_metadata/correction_basis</t>
  </si>
  <si>
    <t xml:space="preserve">4b4f6762a9ba50448234cf96afe85608ac2d5f4170038f0f26c1f7c5bc1eb2c3</t>
  </si>
  <si>
    <t xml:space="preserve">"Every present page semantically read by ordinary read-only144dpi display in English/Malay;63 targeted216dpi enlarged confirmations; no extraction/OCR/printing/unlock/permission change."</t>
  </si>
  <si>
    <t xml:space="preserve">delivery-batch25-20261026/group1/023-result.json#/metadata_corrections/0/initial_metadata/method</t>
  </si>
  <si>
    <t xml:space="preserve">execution-evidence.json#/batches/B25/documents/group1~1023-result.json/metadata_corrections/0/initial_metadata/method</t>
  </si>
  <si>
    <t xml:space="preserve">2e9d31280e1197549cfd92a2ffb2524013aa9263bbd4ab4bdfefc65dd2002c90</t>
  </si>
  <si>
    <t xml:space="preserve">["Current adoption/individualcertificate/contributionchoices not established; absence alone not filelevelprimary blocker.","Three operativeCIbilingual differences unresolved; no express languagepriority found.","Bounded specialTPD death-word drafting discrepancy retained for clarification, not legalinvalidity conclusion.","Actualclaims/charges,currentlaw/taxes/sourcecurrentness not verified."]</t>
  </si>
  <si>
    <t xml:space="preserve">delivery-batch25-20261026/group1/023-result.json#/preserved_uncertainties</t>
  </si>
  <si>
    <t xml:space="preserve">execution-evidence.json#/batches/B25/documents/group1~1023-result.json/preserved_uncertainties</t>
  </si>
  <si>
    <t xml:space="preserve">b1984733a655298b31075cdace37631086cdd7822b379a7eb96b14821aaef26f</t>
  </si>
  <si>
    <t xml:space="preserve">"Unresolved operative bilingual CIage/exclusion/proof-condition differences, not absentpersonalcertificate/currentadoption."</t>
  </si>
  <si>
    <t xml:space="preserve">delivery-batch25-20261026/group1/023-result.json#/strict_blocker_basis</t>
  </si>
  <si>
    <t xml:space="preserve">execution-evidence.json#/batches/B25/documents/group1~1023-result.json/strict_blocker_basis</t>
  </si>
  <si>
    <t xml:space="preserve">c214ffceef5c64bb76b6141bc445d86f85d705c12080715490c4a96c3641f003</t>
  </si>
  <si>
    <t xml:space="preserve">{"actual_present_pages":105,"all_present_pages_semantically_reviewed":true,"checked_at_utc":"2026-10-26T19:46:39.096716+00:00","copy_allowed":false,"display_denials":0,"member_bytes":2760297,"member_sha256":"af447ec910b35f111a7e9dc73d236be0ca47b5104beec5534f45d3df65374c5b","metadata_matches":true,"needs_password":0,"ordinary_visual_display_pending":false,"ordinary_visual_display_succeeded":true,"pdfinfo_metadata":"Author:          Valued Acer Customer\nCreator:         Microsoft® Word 2016\nProducer:        Microsoft® Word 2016\nCreationDate:    Wed Jul  1 11:38:30 2020 JST\nModDate:         Wed Jan  7 15:07:07 2026 JST\nCustom Metadata: no\nMetadata Stream: yes\nTagged:          yes\nUserProperties:  no\nSuspects:        no\nForm:            none\nJavaScript:      no\nPages:           105\nEncrypted:       yes (print:no copy:no change:no addNotes:no algorithm:RC4)\nPage size:       594.75 x 842.25 pts (A4)\nPage rot:        0\nFile size:       2760297 bytes\nOptimized:       no\nPDF version:     1.5\n","pdfinfo_returncode":0,"permissions":-3392,"permissions_unchanged":true,"print_allowed":false,"source_archive_sha256":"d8dd60e6ef6061e4984143b9d891b5dd848b86f8833f800902ad758355a66515","task_id":"B25-MY-023","text_extraction_OCR_printing_unlocking_permission_changes":false}</t>
  </si>
  <si>
    <t xml:space="preserve">delivery-batch25-20261026/group1/023-preflight.json#</t>
  </si>
  <si>
    <t xml:space="preserve">execution-evidence.json#/batches/B25/documents/group1~1023-preflight.json</t>
  </si>
  <si>
    <t xml:space="preserve">0b8a0e611ba70053157a9cbdd3fe70b327e6862f74b728356f3a807a44eb66ab</t>
  </si>
  <si>
    <t xml:space="preserve">{"actual_present_physical_pages":89,"all_pages_reviewed":true,"cleanup_reference":{"bytes":24578,"path":"independent-qa.json#/batches/B25/documents/reassigned024~1024-cleanup.json","sha256":"6e5ba97edd699870f8785a74389305dc4e4f30ab8e4bf58f30bd070f688161fc"},"current_adoption_credit":0,"execution_result_reference":{"bytes":13529,"path":"execution-evidence.json#/batches/B25/documents/group3~1024-result.json","sha256":"adb2f246f2180b35f2ee1a5336fd9b9b0c000de754edd3ee8f60ab079ee11bd0"},"file_level_primary_role_previously_accepted":true,"formal_mutations":false,"full_content_review_complete":true,"full_review_accepted":true,"gap_closure_credit":0,"independent_QA":true,"new_original":0,"new_primary":0,"new_product":0,"original_id":"regional-20261025-dddb09da3fb6f60d","package_complete_credit":0,"page_proof_reference":{"bytes":42381,"path":"independent-qa.json#/batches/B25/documents/reassigned024~1page-proof.jsonl","sha256":"8442f0897f205f4d0aa30e83123ff2cde52dd7f7ca7b9b5b9db3b103270dbd9d"},"prior_task_id":"B18-MY-015","qa_result_reference":{"bytes":24492,"path":"independent-qa.json#/batches/B25/documents/reassigned024~1024-result.json","sha256":"07cb5b5e62840a758adeb84a6c9aa898b6c10729398fbb5bec24ff6b9edb3ae6"},"queue_id":"PENDING-dddb09da3fb6f60d","region_code":"MY","review_status":"full","sha256":"dddb09da3fb6f60d63de385744e99f53a37f647caacf1c32f8e27ebe6e80fba2","source_archive_sha256":"d8dd60e6ef6061e4984143b9d891b5dd848b86f8833f800902ad758355a66515","source_insurer_preserved":"Sun Life Malaysia Takaful Berhad","strict_eligible":false,"strict_status":"needs_review","strict_verified":false,"target":"Sun Wealth Protect-i Master Contract (SLMT)","task_id":"B25-MY-024","verification_status":"needs_review"}</t>
  </si>
  <si>
    <t xml:space="preserve">{"bytes":24492,"path":"independent-qa.json#/batches/B25/documents/reassigned024~1024-result.json","sha256":"07cb5b5e62840a758adeb84a6c9aa898b6c10729398fbb5bec24ff6b9edb3ae6"}</t>
  </si>
  <si>
    <t xml:space="preserve">qa-b25-full-review-20261026/issues-and-clarifications.json#/files/23/current_QA_result</t>
  </si>
  <si>
    <t xml:space="preserve">independent-qa.json#/batches/B25/documents/issues-and-clarifications.json/files/23/current_QA_result</t>
  </si>
  <si>
    <t xml:space="preserve">1ea5980d56f148b174dc17a18dacb09f2718737b275b3574df215643cccbdff0</t>
  </si>
  <si>
    <t xml:space="preserve">qa-b25-full-review-20261026/issues-and-clarifications.json#/files/23/final_status</t>
  </si>
  <si>
    <t xml:space="preserve">independent-qa.json#/batches/B25/documents/issues-and-clarifications.json/files/23/final_status</t>
  </si>
  <si>
    <t xml:space="preserve">QA024F1</t>
  </si>
  <si>
    <t xml:space="preserve">[25,69,70]</t>
  </si>
  <si>
    <t xml:space="preserve">{"disposition":"needs_review","id":"QA024F1","observation":"SWP0075.7(a): English having LOW malignant potential; Malay mempunyai potensi malignan omits LOW/rendah. All adjacent bullets read; premalignant/noninvasive/in-situ/borderline do not restore qualifier. No language-priority/present replacement found. Not a claim that all cancers are excluded.","pages":[25,69,70]}</t>
  </si>
  <si>
    <t xml:space="preserve">qa-b25-full-review-20261026/issues-and-clarifications.json#/files/23/independent_findings/0</t>
  </si>
  <si>
    <t xml:space="preserve">independent-qa.json#/batches/B25/documents/issues-and-clarifications.json/files/23/independent_findings/0</t>
  </si>
  <si>
    <t xml:space="preserve">b1c4eac6a0839be25d623462e904db4ac4a4b2a13f6063278583a74308a08aae</t>
  </si>
  <si>
    <t xml:space="preserve">QA024F2</t>
  </si>
  <si>
    <t xml:space="preserve">[28,29,73]</t>
  </si>
  <si>
    <t xml:space="preserve">{"disposition":"needs_review","id":"QA024F2","observation":"SWP0075.19(c): English institutional source AND institution able to trace infected blood; Malay ATAU (OR). This is the connector WITHIN(c); ALL(a)–(e) still required in both. Clause(a) separately medically necessary OR given as part of treatment, (b)MY/SG after commencement,(d)no hemophilia,(e)not high-risk. General HIV exclusion read with named transfusion cover; no blanket claim cover impossible. No language priority/replacement.","pages":[28,29,73]}</t>
  </si>
  <si>
    <t xml:space="preserve">qa-b25-full-review-20261026/issues-and-clarifications.json#/files/23/independent_findings/1</t>
  </si>
  <si>
    <t xml:space="preserve">independent-qa.json#/batches/B25/documents/issues-and-clarifications.json/files/23/independent_findings/1</t>
  </si>
  <si>
    <t xml:space="preserve">82257cdb5487e85a4293e8edbd60bb5c96ae21cf72c0d245841aae3696631096</t>
  </si>
  <si>
    <t xml:space="preserve">QA024F3</t>
  </si>
  <si>
    <t xml:space="preserve">[30,75]</t>
  </si>
  <si>
    <t xml:space="preserve">{"disposition":"needs_review","id":"QA024F3","observation":"SWP0075.28 muscular dystrophy minimum age12 NEXT birthday in English versus12 LAST birthday / hari lahir terakhir in Malay; three diagnostic conditions all required both. No language-priority/present replacement.","pages":[30,75]}</t>
  </si>
  <si>
    <t xml:space="preserve">qa-b25-full-review-20261026/issues-and-clarifications.json#/files/23/independent_findings/2</t>
  </si>
  <si>
    <t xml:space="preserve">independent-qa.json#/batches/B25/documents/issues-and-clarifications.json/files/23/independent_findings/2</t>
  </si>
  <si>
    <t xml:space="preserve">b2d0a903d1ba0ab544f38e0276191b30ba3d88c9809e132b24c0338a15b54e31</t>
  </si>
  <si>
    <t xml:space="preserve">QA024C1</t>
  </si>
  <si>
    <t xml:space="preserve">[1,2,4,6,8,9,10,13,14,15,16,43,44,46,48,50,51,52,53,56,57,58,59]</t>
  </si>
  <si>
    <t xml:space="preserve">{"disposition":"bounded_clarification","id":"QA024C1","observation":"Undated standalone Sun Wealth Protect-i; no023 endorsement dates imported. All EN cover+printed1–41 and MS cover+printed1–46/SWP001–013 present. Generic SWP002 schedule exists; no signed/personal/current adoption assumed or used alone as veto. English nominee28/restoration26/fund24 targets actual27/25/23; Malay correct; uniquely bounded numbering. Owner is YOU/Anda, distinct masterholder. Nomination owner16+/OWNER death/lifetime; full sanctions32 present. TPD18–65 ANY paid work or3of6ADL6months, no diagnosis-time anchor, two examiners; both negatives nonworker verified.","pages":[1,2,4,6,8,9,10,13,14,15,16,43,44,46,48,50,51,52,53,56,57,58,59]}</t>
  </si>
  <si>
    <t xml:space="preserve">qa-b25-full-review-20261026/issues-and-clarifications.json#/files/23/independent_findings/3</t>
  </si>
  <si>
    <t xml:space="preserve">independent-qa.json#/batches/B25/documents/issues-and-clarifications.json/files/23/independent_findings/3</t>
  </si>
  <si>
    <t xml:space="preserve">09c3aa7e0e71bd0ec124c6e55494eba5bde8a6750edf2c0f3abf699eed6e115a</t>
  </si>
  <si>
    <t xml:space="preserve">QA024C2</t>
  </si>
  <si>
    <t xml:space="preserve">[4,11,12,13,14,15,16,46,54,55,56,57,58,59]</t>
  </si>
  <si>
    <t xml:space="preserve">{"disposition":"bounded_clarification","id":"QA024C2","observation":"Table contributions512/1024/1536/2048/2560 have NO annual unit. Yearly renewal17.1 is not contribution frequency20.2 (changeable). Grace30days both, NOT60. Wakalah30%;15-day free look full contribution,2years ISSUE incontestability,surrender next CONTRIBUTION DUE DATE,no cash/no post-free-look contribution refund; only existing wakalah refund IF ANY, not new charge. Reinstatement12months/underwriting AGREED YOU; first2yr setaside except fraud/nonpay, nonfraud contributions since LAST reinstatement not before/gap no cover. Fund direct CLAIMS expense qualifier BOTH;50/50 after Qard, NOT lapsed AND NOT surrendered year-end,&lt;=10 bank first else charity. StampRM10 OPERATOR. No loan reducing-sum/12n or zero-rate branch; no absent cash formula implied by no-cash product.","pages":[4,11,12,13,14,15,16,46,54,55,56,57,58,59]}</t>
  </si>
  <si>
    <t xml:space="preserve">qa-b25-full-review-20261026/issues-and-clarifications.json#/files/23/independent_findings/4</t>
  </si>
  <si>
    <t xml:space="preserve">independent-qa.json#/batches/B25/documents/issues-and-clarifications.json/files/23/independent_findings/4</t>
  </si>
  <si>
    <t xml:space="preserve">b92c71517c448580b3594ca6b15a4fc5994f1edca7bae63c8a1f60f19aa24621</t>
  </si>
  <si>
    <t xml:space="preserve">QA024C3</t>
  </si>
  <si>
    <t xml:space="preserve">[6,7,17,18,19,20,21,22,23,24,32,48,49,50,60,61,62,63,64,65,66,67,68,77]</t>
  </si>
  <si>
    <t xml:space="preserve">{"disposition":"bounded_clarification","id":"QA024C3","observation":"Preexisting definition before ISSUE or LAST reinstatement LATER has no fixed12-month lookback. First12-month TPD exclusion is a different rule. Six SID doctor AND tests (equivalent testing alternatives). SID30-day wait from later ISSUE/reinstatement; no accidental180-day rule transplanted to SID. CI30-day wait/five60/postdate accident no WAIT; angioplasty10% max25k ONCE;500k cap THIS product. CI1.2 reduction upon APPROVED claim/ADMITTED amount, not a PAID-only trigger; death before CI paid death-only. EN22 duplicate benefit paragraph under exclusion2.1 does not remove following explicit NO/exclusion list. CI variation30-day notice NEXT RENEWAL, authorized endorsement, not present definition rewrite. Hazardous-pursuits list is broad/nonexhaustive with foot-racing exception; EN rock/mountain versus MS mountain wording is not automatically an exclusion-scope conclusion.","pages":[6,7,17,18,19,20,21,22,23,24,32,48,49,50,60,61,62,63,64,65,66,67,68,77]}</t>
  </si>
  <si>
    <t xml:space="preserve">qa-b25-full-review-20261026/issues-and-clarifications.json#/files/23/independent_findings/5</t>
  </si>
  <si>
    <t xml:space="preserve">independent-qa.json#/batches/B25/documents/issues-and-clarifications.json/files/23/independent_findings/5</t>
  </si>
  <si>
    <t xml:space="preserve">bd752ce9bd92496808707aa94a07915e2131dc3e9b4ca5e5f29eec074d885f08</t>
  </si>
  <si>
    <t xml:space="preserve">QA024C4</t>
  </si>
  <si>
    <t xml:space="preserve">[20,21,33,34,35,36,37,38,39,40,41,42,64,65,78,79,80,81,82,83,84,85,86,87,88,89]</t>
  </si>
  <si>
    <t xml:space="preserve">{"disposition":"bounded_clarification","id":"QA024C4","observation":"Only SWP0131.5 EN41 /1.6 MS88 expressly retains lower-TPD residual death proportionally FROM ONSET; not mainTPD/SWP009/SWP011. English trigger benefit PAYABLE less death sum, ratio benefit actually PAID; Malay dibayar/ratio telah dibayar, preserve grammar not infer delayed coverage. Prior accelerated PAID deductions separately in regularacc/SID/special both languages. SWP009 only incorporates SWP004, not base SWP006 exclusions. Monthly65 benefit eligibility distinct annual65 outertermination; MS88 extra monthly65 termination1.4 consistent EN1.2 eligibility, not extending cover. MS88 death word in1.1 bounded by heading/opening/1.2TPD; fund1.3 present BOTH (unlike023);2mcap. MS80/84 numbering bounded. Minimum6months disability is NOT proof-submission deadline. Special public/elevator/fire extra100% regularacc not double-count1.1/1.2; repeat debt wording not evidence double collection.","pages":[20,21,33,34,35,36,37,38,39,40,41,42,64,65,78,79,80,81,82,83,84,85,86,87,88,89]}</t>
  </si>
  <si>
    <t xml:space="preserve">qa-b25-full-review-20261026/issues-and-clarifications.json#/files/23/independent_findings/6</t>
  </si>
  <si>
    <t xml:space="preserve">independent-qa.json#/batches/B25/documents/issues-and-clarifications.json/files/23/independent_findings/6</t>
  </si>
  <si>
    <t xml:space="preserve">77bae4c69a085d2244640fac8e7505921754f58f9152c5b0dfa0bac8dc9ee477</t>
  </si>
  <si>
    <t xml:space="preserve">QA024M1</t>
  </si>
  <si>
    <t xml:space="preserve">[4,12,13,46,55,56]</t>
  </si>
  <si>
    <t xml:space="preserve">{"accepted":"Withdraw annual in zoom4. Table itself says Contributions(RM) with amounts only; neither EN4 nor MS46 supplies an annual frequency. Yearly renewal17.1 and frequency-change20.2 are separate. Execution content_summary already omits annual; do not misstate that every execution field made the error.","id":"QA024M1","original_execution_zoom":{"confirmation":"SWP002 five plans: basicdeath/TPD/CI100/200/300/400/500k; accident andSID death/TPD additional same; publicaccident additional again; annual contributions512/1024/1536/2048/2560, wakalah30%. Alltablecells confirmed.","display_sha256":"9533c45d61d6fbab6a40a4d19609ddb1c95c707c685048a37a1916657926e904","physical_page":4},"pages":[4,12,13,46,55,56],"type":"execution_unsupported_frequency_withdrawn"}</t>
  </si>
  <si>
    <t xml:space="preserve">qa-b25-full-review-20261026/issues-and-clarifications.json#/files/23/metadata_corrections/0</t>
  </si>
  <si>
    <t xml:space="preserve">independent-qa.json#/batches/B25/documents/issues-and-clarifications.json/files/23/metadata_corrections/0</t>
  </si>
  <si>
    <t xml:space="preserve">78d0442407abac61b79278978cbb17cb09b6a584d95dbb2bd5fbb5a0fd043dfd</t>
  </si>
  <si>
    <t xml:space="preserve">QA024M2</t>
  </si>
  <si>
    <t xml:space="preserve">[7,49,50]</t>
  </si>
  <si>
    <t xml:space="preserve">{"accepted":"Diagnosis requires doctor confirmation AND diagnostic testing. OR permits equivalent diagnostic tests, not doctor confirmation OR testing. Independent216 paired reading.","id":"QA024M2","original_execution_note":{"component":"SWP003 definitionsx-dd","display_sha256":"d3c4a1001aa029e181dccc409b93600f44c60b89c549051230e7431f594facdf","language":"English","method":"ordinary_read_only_visual_144dpi","physical_page":7,"reviewed_at_utc":"2026-10-26T20:26:59.691927+00:00","semantic_note":"Publicaircraft/airportlimousine;Qard. SixSIDavianH5N1/H7N9PCR,chikungunyaIgM/PCR,dengueIgM/PCR,JapaneseencephalitisIgM,malariaparasite,ZikaPCR,doctorconfirmationorequivalenttests. Sumcoveredbyschedule;tabarru deduction.","semantic_read":true,"task_id":"B25-MY-024"},"pages":[7,49,50],"type":"execution_conjunction_precision"}</t>
  </si>
  <si>
    <t xml:space="preserve">qa-b25-full-review-20261026/issues-and-clarifications.json#/files/23/metadata_corrections/1</t>
  </si>
  <si>
    <t xml:space="preserve">independent-qa.json#/batches/B25/documents/issues-and-clarifications.json/files/23/metadata_corrections/1</t>
  </si>
  <si>
    <t xml:space="preserve">dbc48b542751058313ce864efb11c9362957cc550a6ef350bbb473b9ea2addb6</t>
  </si>
  <si>
    <t xml:space="preserve">QA024M3</t>
  </si>
  <si>
    <t xml:space="preserve">[28,29,72,73]</t>
  </si>
  <si>
    <t xml:space="preserve">{"accepted":"Transfusion5.19(a) medical necessity OR part of medical treatment; preserve alternative omitted in compressed note/zoom. Heartattack confirmed by cardiologist OR physician, not cardiologist-only. Distinct from material internal5.19(c) AND/ATAU difference; ALL(a)–(e) remains.","id":"QA024M3","original_execution_note73":{"clarification":"216dpi confirms sourceinstitution ATAU(OR) abilitytracebloodorigin; English p29 AND differs.","component":"SWP007 5.17–5.20","confirmed_at_utc":"2026-10-26T20:47:26.980598+00:00","correction_basis":"Paired English/Malay216dpi ordinary visual reread; all other surrounding conditions retained. No priority/replacement clause observed.","display_sha256":"d856a62daf77c828885dc965f233f4d6efebbc6ff8cdabc4015178fa4608de49","initial_note_before_zoom_confirmation":"HeartattackTroponinT/I&gt;=0.5ngml/CPKMB,doctorconfirmation,ACS/proceduremarkersout. Valveactualopenheartnotcatheter/keyhole. HIV ALLmednecessary/MYorSGafterstart/nonhemophilia/nonhighrisk; sourceinstitution OR(atau)institutiontracesblood differsEnglishp29AND,216pending. Kidneysbothirreversible dialysis/transplant.","language":"Malay","method":"ordinary_read_only_visual_144dpi","physical_page":73,"reviewed_at_utc":"2026-10-26T20:35:42.523560+00:00","semantic_note":"HeartattackTroponinT/I&gt;=0.5ngml/CPKMB,doctorconfirmation,ACS/proceduremarkersout. Valveactualopenheartnotcatheter/keyhole. HIV ALLmednecessary/MYorSGafterstart/nonhemophilia/nonhighrisk; sourceinstitution OR(atau)institutiontracesblood differsEnglishp29AND,confirmed216dpi. Kidneysbothirreversible dialysis/transplant.","semantic_read":true,"task_id":"B25-MY-024"},"original_execution_zoom28":{"confirmation":"HeartattackALLpain/newECG/CPKMBorTroponinT/I&gt;=0.5ngml; ACS/procedurebiomarkersout; valveopenheartnotcatheter/keyhole; transfusionmednecessary/MYSGaftercommencement.","display_sha256":"cc2afed7c0cdf6267df8b028dcad195bc4d7a6ae28c53db06948cdf7d9b6ee59","physical_page":28},"pages":[28,29,72,73],"type":"execution_medical_condition_precision"}</t>
  </si>
  <si>
    <t xml:space="preserve">qa-b25-full-review-20261026/issues-and-clarifications.json#/files/23/metadata_corrections/2</t>
  </si>
  <si>
    <t xml:space="preserve">independent-qa.json#/batches/B25/documents/issues-and-clarifications.json/files/23/metadata_corrections/2</t>
  </si>
  <si>
    <t xml:space="preserve">a242203b996b2aaa6dd980ca6357b0f4e4522df5de7ea3a812d0be3ba85f3b43</t>
  </si>
  <si>
    <t xml:space="preserve">QA024M4</t>
  </si>
  <si>
    <t xml:space="preserve">[41,88]</t>
  </si>
  <si>
    <t xml:space="preserve">{"accepted":"English SWP0131.5 trigger TPD benefit PAYABLE less death sum at onset; proportional reduction uses benefit PAID, effective FROM ONSET. Do not compress entire clause into paid-only trigger. Malay1.6 dibayar and ratio telah dibayar. Only this specialTPD residual rule; no new medical reimbursement issue or automatic translation contradiction inferred.","id":"QA024M4","original_execution_note41":{"component":"SWP013","display_sha256":"5312e5dca318976a494c0e22cdcde93a270884a325de4ee683bfc1a42ccb64a9","language":"English","method":"ordinary_read_only_visual_144dpi","physical_page":41,"reviewed_at_utc":"2026-10-26T20:32:03.522328+00:00","semantic_note":"PublicaccTPDwithin180daysaccident passenger/elevatornotmineconstruction/presentbuildingatfirestart; additional100%accTPDsum beforemonthlyannivafter65, offsetsdebt/prioraccelerated. RM2maggregate; ifTPDpaidlessdeathsum residualdeathcontinuesproportionallyreducedfromTPDonset, specificresidualclause despitegeneraltermination. SWP004;30daynotice/proofcost.","semantic_read":true,"task_id":"B25-MY-024"},"pages":[41,88],"type":"execution_payable_paid_precision"}</t>
  </si>
  <si>
    <t xml:space="preserve">qa-b25-full-review-20261026/issues-and-clarifications.json#/files/23/metadata_corrections/3</t>
  </si>
  <si>
    <t xml:space="preserve">independent-qa.json#/batches/B25/documents/issues-and-clarifications.json/files/23/metadata_corrections/3</t>
  </si>
  <si>
    <t xml:space="preserve">981b08211007083189b515cc4ed46acf734a122db1bd0733eea49ceb184652aa</t>
  </si>
  <si>
    <t xml:space="preserve">QA024M5</t>
  </si>
  <si>
    <t xml:space="preserve">[8,50]</t>
  </si>
  <si>
    <t xml:space="preserve">{"accepted":"Withdraw own provisional suspicion of missing tidak; ordinary216dpi clearly shows both negatives. It was never an accepted substantive finding.","correction_basis":"Independently compared EN8/MS50 at216dpi; surrounding heading/body align.","id":"QA024M5","original_own_note50":"SIDdoctor AND diagnostic tests. TPD18-65 ANY paidwork6months; nonemployed heading but paragraph appears to omit tidak before employed—pending216 comparison, not yet asserted material.3of6ADL6months no diagnosis anchor.","pages":[8,50],"type":"own_provisional_false_positive_withdrawn"}</t>
  </si>
  <si>
    <t xml:space="preserve">qa-b25-full-review-20261026/issues-and-clarifications.json#/files/23/metadata_corrections/4</t>
  </si>
  <si>
    <t xml:space="preserve">independent-qa.json#/batches/B25/documents/issues-and-clarifications.json/files/23/metadata_corrections/4</t>
  </si>
  <si>
    <t xml:space="preserve">6f4915922fbefbf15f7ebffb5bef8dede33d32b311d55d53fa1d2e3ec7ab1532</t>
  </si>
  <si>
    <t xml:space="preserve">QA024M6</t>
  </si>
  <si>
    <t xml:space="preserve">[17,18,22,25,28,29,30,34,60,66,69,70,73,75,80,84,88]</t>
  </si>
  <si>
    <t xml:space="preserve">{"accepted":"Preserve exact correction-register row and original notes: page18 overbroad baseTPD-exclusion incorporation withdrawn; provisional cancer/HIV/age readings confirmed; bounded numbering/CI duplicate/SWP013 death-word/monthly vs annual/directclaims BOTH/SID causal nuance accepted with surrounding clauses. No source amended and no withdrawn finding revived.","id":"QA024M6","pages":[17,18,22,25,28,29,30,34,60,66,69,70,73,75,80,84,88],"type":"execution_preserved_corrections_independently_confirmed"}</t>
  </si>
  <si>
    <t xml:space="preserve">qa-b25-full-review-20261026/issues-and-clarifications.json#/files/23/metadata_corrections/5</t>
  </si>
  <si>
    <t xml:space="preserve">independent-qa.json#/batches/B25/documents/issues-and-clarifications.json/files/23/metadata_corrections/5</t>
  </si>
  <si>
    <t xml:space="preserve">559421eb92277ffaa433a7f84fb75fcc0adb8536dcff1a0f68319884c107ab85</t>
  </si>
  <si>
    <t xml:space="preserve">QA024M7</t>
  </si>
  <si>
    <t xml:space="preserve">[18,61]</t>
  </si>
  <si>
    <t xml:space="preserve">{"accepted":"Remove accidental unsupported boxing example from summary; original reading was hazardous pursuits including rock/mountain climbing, etc., with foot-racing exception. Not an extra excluded activity or material finding. All actual pages already independently reviewed; no added page credit.","id":"QA024M7","original_own_summary":"Preexisting definition before ISSUE or LAST reinstatement LATER has no fixed12-month lookback. First12-month TPD exclusion is a different rule. Six SID doctor AND tests (equivalent testing alternatives). SID30-day wait from later ISSUE/reinstatement; no accidental180-day rule transplanted to SID. CI30-day wait/five60/postdate accident no WAIT; angioplasty10% max25k ONCE;500k cap THIS product. CI1.2 reduction upon APPROVED claim/ADMITTED amount, not a PAID-only trigger; death before CI paid death-only. EN22 duplicate benefit paragraph under exclusion2.1 does not remove following explicit NO/exclusion list. CI variation30-day notice NEXT RENEWAL, authorized endorsement, not present definition rewrite. Hazard boxing etc read as actual broad nonexhaustive list; rock/mountain wording not automatic exclusion-scope conclusion.","pages":[18,61],"type":"own_summary_wording_removed_before_aggregate"}</t>
  </si>
  <si>
    <t xml:space="preserve">qa-b25-full-review-20261026/issues-and-clarifications.json#/files/23/metadata_corrections/6</t>
  </si>
  <si>
    <t xml:space="preserve">independent-qa.json#/batches/B25/documents/issues-and-clarifications.json/files/23/metadata_corrections/6</t>
  </si>
  <si>
    <t xml:space="preserve">8f3509f5bf3bd91f5abe1c2adcdf1d4a68933a60b90ef102cadf357056744909</t>
  </si>
  <si>
    <t xml:space="preserve">qa-b25-full-review-20261026/issues-and-clarifications.json#/files/23/qa_notes</t>
  </si>
  <si>
    <t xml:space="preserve">independent-qa.json#/batches/B25/documents/issues-and-clarifications.json/files/23/qa_notes</t>
  </si>
  <si>
    <t xml:space="preserve">"Three operative CI bilingual differences: LOW cancer qualifier, HIV internal(c) AND/OR, muscular age12 NEXT/LAST birthday. Independently confirmed no language priority/present replacement. Not personal schedule/current adoption unknown."</t>
  </si>
  <si>
    <t xml:space="preserve">qa-b25-full-review-20261026/issues-and-clarifications.json#/files/23/strict_basis</t>
  </si>
  <si>
    <t xml:space="preserve">independent-qa.json#/batches/B25/documents/issues-and-clarifications.json/files/23/strict_basis</t>
  </si>
  <si>
    <t xml:space="preserve">ff64f5e5ee6e1e30e0745246d58268a11e80fdb99d57a791ab7613ba31437187</t>
  </si>
  <si>
    <t xml:space="preserve">"B25-MY-024"</t>
  </si>
  <si>
    <t xml:space="preserve">qa-b25-full-review-20261026/issues-and-clarifications.json#/files/23/task_id</t>
  </si>
  <si>
    <t xml:space="preserve">independent-qa.json#/batches/B25/documents/issues-and-clarifications.json/files/23/task_id</t>
  </si>
  <si>
    <t xml:space="preserve">46552c9db671bcd684885b550189840d67a96cb74cc1c27a81616af2b73a0131</t>
  </si>
  <si>
    <t xml:space="preserve">{"annexure_codes":"SWP001–SWP013","explicit_revision_date_observed":null,"no_revision_date_inferred_from_metadata":true,"operator":"Sun Life Malaysia Takaful Berhad","product":"Sun Wealth Protect-i"}</t>
  </si>
  <si>
    <t xml:space="preserve">delivery-batch25-20261026/group3/024-result.json#/observed_identity</t>
  </si>
  <si>
    <t xml:space="preserve">execution-evidence.json#/batches/B25/documents/group3~1024-result.json/observed_identity</t>
  </si>
  <si>
    <t xml:space="preserve">e13c56af11c68fe4504968e3f61ef94d56621b286c073edbccd2690aff13c5ed</t>
  </si>
  <si>
    <t xml:space="preserve">[{"component":"Master cover","effect":"Sun Wealth Protect-i.","language":"English","physical_pages":[1]},{"component":"Contents and SWP001–013, printed1–41","effect":"Complete existing English wording including SWP002 genericfiveplanbenefit/contribution/wakalah table, generalconditions/exclusions and ninebenefitannexures.","language":"English","physical_pages":[2,3,4,5,6,7,8,9,10,11,12,13,14,15,16,17,18,19,20,21,22,23,24,25,26,27,28,29,30,31,32,33,34,35,36,37,38,39,40,41,42]},{"component":"Master cover","effect":"Same named master.","language":"Malay","physical_pages":[43]},{"component":"Contents and SWP001–013, printed1–46","effect":"Complete existing Malay wording independently read; no datedreplacementorlanguagepriority provision observed.","language":"Malay","physical_pages":[44,45,46,47,48,49,50,51,52,53,54,55,56,57,58,59,60,61,62,63,64,65,66,67,68,69,70,71,72,73,74,75,76,77,78,79,80,81,82,83,84,85,86,87,88,89]}]</t>
  </si>
  <si>
    <t xml:space="preserve">delivery-batch25-20261026/group3/024-result.json#/components</t>
  </si>
  <si>
    <t xml:space="preserve">execution-evidence.json#/batches/B25/documents/group3~1024-result.json/components</t>
  </si>
  <si>
    <t xml:space="preserve">0325d62172dafb6bcf3fb0cb452991085c17edccf18d5cddc5eb0b8d1c78cb21</t>
  </si>
  <si>
    <t xml:space="preserve">["Generic five plans basicdeath/TPD/CI RM100k/200k/300k/400k/500k; accident and six specified infectious disease death/TPD additional corresponding sums. Public conveyance/elevator/burningpublicbuilding adds another100%accidentbenefit, on topofaccidentbenefit. Contributions512/1024/1536/2048/2560; wakalah30%; not selectedpersonalplan or currentquote.","TPDages18–65 anypaidwork6consecutivemonths, nonworker3/6ADL6months, permanenteyes/severedlimbs/paralysis alternatives, twoappointedexaminers. BasicTPD onsetonaftercommencement and eligibilitybeforemonthlyanniversaryafter65; aggregateRM2m acrossoperatorcontracts. DeathbeforeTPDpaid yieldsdeathONLY.","Free15daysdelivery fullcontributionrefund; grace30days; restore12monthswitharrears/underwritingtermsagreedatapplication. No cashvalue or surrendercontributionrefundafterfree. Renewalannual/rateorfee90daysnotice nextanniversary. Wrongageamounttabarrulessaccumulatedsurplus, not ordinarybenefit. OnlyIFSA2013Schedule9precontractremedies.","Collective participants fund investmentprofitpartofsurplus; otherDIRECTclaimsrelatedexpenses in BOTHlanguages; Qardrepaymentthen50/50operator/eligibleowner surplus. No doubleQard or guaranteedprofit inferred. &lt;=RM10perownerfinancialyearpaymentsbankelsecharity; RM10stampoperator.","Basicdeathsumlessdebt; suicide12monthsfromissue/latestrestore. CI36conditionsacceleratedNOTadditionaldeath/TPD; aggregateRM500kTHISPRODUCT; angioplastyonce10%maxRM25kdeductremaining. General30daywait/fiveconditions60days; poststartaccidentexception. All36 definitions/exclusions read in bothlanguages and keythresholds enlarged.","Accidentdeath/TPD within180daysofaccident; publicsettings passengermechanicalpublictransport, elevatornotmineconstruction, presentinpublicbuildingwhenfirestarts. Specifiedinfectionbenefits referenceSWP00430daywait/nonlistedcauses/preexisting; preexistingterminationrefundtotalcontributions. Infectiousdiseasebenefits doNOT inherit180dayaccidentrequirement.","General/benefitclaimnotice30days, deathproofreasonable-delay saving, disabilityminimum6months/operatorpaidexam. Mostaccident/TPD eligibilitymonthly65 versusannexgeneralannual65termination retained without extendingbenefiteligibility. Base/SIDdeath andCI annual70. PublicaccTPD lowerbenefitthan deathsum preservesproportionalresidualdeath fromTPDonset."]</t>
  </si>
  <si>
    <t xml:space="preserve">delivery-batch25-20261026/group3/024-result.json#/content_summary</t>
  </si>
  <si>
    <t xml:space="preserve">execution-evidence.json#/batches/B25/documents/group3~1024-result.json/content_summary</t>
  </si>
  <si>
    <t xml:space="preserve">13d4fa8d358a78f4a774e62a4e1b140cdf48dcdd45cdf6ae3ddb637ae7c6f83f</t>
  </si>
  <si>
    <t xml:space="preserve">[{"basis":"Unresolved operative bilingual cancer exclusion qualifier","detail":"SWP0075.7 English printed24 excludes low malignant potential. Malay printed26–27 lists potensi malignan without low/rendah qualifier.216dpi confirms the omission; otherhistology/stageexclusions do not restore that qualifier. No priority/replacement found. Could alter exclusion breadth; no conclusion that all cancercoverage is void or a claimcannotpay.","high_resolution_confirmation":true,"id":"024-F1","physical_pages":[25,69,70]},{"basis":"Unresolved operative bilingual transfusion-HIV evidence connector","detail":"SWP0075.19(c) English printed28 requires sourceestablishedfromtransfusinginstitution AND institutionabletotraceorigin; Malay printed30 joins them with ATAU(OR). All other stated conditions remain.216dpi confirms; no languagepriority/replacement found. Specific transfusion definition not automatically nullified by generalHIVexclusion.","high_resolution_confirmation":true,"id":"024-F2","physical_pages":[28,29,73]},{"basis":"Unresolved operative bilingual muscular dystrophy age basis","detail":"SWP0075.28 English printed29 requires minimumage12 nextbirthday; Malay printed32 says12 hari lahir terakhir(lastbirthday). This is a different boundary, not a mere formatting difference.216dpi confirms; no languagepriority/replacement found. No particularpersoneligibilitydetermined.","high_resolution_confirmation":true,"id":"024-F3","physical_pages":[30,75]}]</t>
  </si>
  <si>
    <t xml:space="preserve">delivery-batch25-20261026/group3/024-result.json#/substantive_findings</t>
  </si>
  <si>
    <t xml:space="preserve">execution-evidence.json#/batches/B25/documents/group3~1024-result.json/substantive_findings</t>
  </si>
  <si>
    <t xml:space="preserve">8167b6e7b310819ade8e870f0205e2b7d7698cd864a80bae3a76c293812ec4e2</t>
  </si>
  <si>
    <t xml:space="preserve">[{"clarification":"Initialpage18 note overstated incorporationofbaseTPDexclusions intoaccTPD. SWP009 referencesSWP004 only, notSWP006; correction preserved with originalnote.","correction_basis":"216dpi SWP0092.1 physical34/80 and SWP004limitedapplication17/60.","physical_pages":[18,34,80]},{"clarification":"Englishnominee28/restoration26/fund24 crossreferences are boundedmisnumbering; unique actualnominee27/restoration25/fund23 and Malaycorrectreferences identify targets. Not missingcomponents or alternate clauses.","correction_basis":"Fullstructure plus enlarged10/13/15/48/53/56/58.","physical_pages":[6,10,13,15,48,53,56,58]},{"clarification":"Monthly65benefiteligibility is not extended by generalannual65termination; MalaypublicTPD1.4explicitmonthlytermination is consistentwithEnglish1.2eligibility. SpecificpublicTPDresidualdeathrule qualifiesgeneralTPDtermination, not automaticcontradiction.","correction_basis":"216dpi respective eligibility andtermination/residual clauses.","physical_pages":[12,19,20,21,33,34,41,64,65,78,80,88,89]},{"clarification":"GeneralCIHIVexclusion and specificallynamedtransfusionHIVcondition are read together; no findingthattransfusioncovernecessarilyimpossible. F2 remains a separate AND/OR evidence difference.","correction_basis":"216dpi generalexclusions and condition5.19.","physical_pages":[22,28,29,66,73]},{"clarification":"EnglishSIDdirectlyasresult versusMalayakibat(due) preserved as drafting nuance; SWP004nonlistedcausesexclusion remains, so no automatic broadindirectcoverage/strictblock from this phrase alone.","correction_basis":"216dpi fullbenefitandincorporatedexclusions.","physical_pages":[36,37,82,84]},{"clarification":"Directclaimsexpensequalifier is present in BOTHlanguages; nofundexpensebilingualfinding.","correction_basis":"216dpi secara langsung and directclaimsrelated.","physical_pages":[14,57]},{"clarification":"EnglishCI2.1duplicatebenefitpromise, MalaySWP009/011subsectionnumbering and SWP0131.1kematian(death) are boundededitorialerrors. SWP013opening/heading/1.2 unequivocallyTPD; do not inventextra deathcondition.","correction_basis":"216dpi contextual clauses.","physical_pages":[22,66,80,84,88]},{"clarification":"Initialpending216confirmation notes preserved; pairedenlargement confirmed F1–F3, ratherthan silentlyreplacingnotes.","correction_basis":"Pageproof initial_note_before_zoom_confirmation/clarification/correction_basis/confirmed_at_utc fields.","physical_pages":[70,73,75]},{"clarification":"Contentspageoffsets and someheading/subclausenumbers do not denote missingannexures; English1–41/Malay1–46 existingpages and allSWP001–013headings are present. Repeateddebt/prioracceleratedoffset clauses are not evidenceofdoubledebtcollection.","correction_basis":"All89pages independentlyread and componentmap checked.","physical_pages":[2,34,36,37,39,41,44,80,84]}]</t>
  </si>
  <si>
    <t xml:space="preserve">delivery-batch25-20261026/group3/024-result.json#/clarifications</t>
  </si>
  <si>
    <t xml:space="preserve">execution-evidence.json#/batches/B25/documents/group3~1024-result.json/clarifications</t>
  </si>
  <si>
    <t xml:space="preserve">ca3805fb6d114dc7448380883d98036e7bea299955d78b0fa71ae1e4d3f36691</t>
  </si>
  <si>
    <t xml:space="preserve">["All89existingpages read semantically;66targeted216dpi confirmations. Initialpage18overstatement withdrawn explicitly andinitialpendingF1–F3notes retained. No source text changed."]</t>
  </si>
  <si>
    <t xml:space="preserve">delivery-batch25-20261026/group3/024-result.json#/correction_basis</t>
  </si>
  <si>
    <t xml:space="preserve">execution-evidence.json#/batches/B25/documents/group3~1024-result.json/correction_basis</t>
  </si>
  <si>
    <t xml:space="preserve">ddb774c98deeb9b3aed2f8cef640b3517b90c7188a2ead3e3795bd2e77d8f343</t>
  </si>
  <si>
    <t xml:space="preserve">["No individualizedcertificate/schedule/chosenplan/commencementdate/nomination or masterholderapplication; these contextual absences alone are not strictblockers.","No explicitrevision/adoptiondate in thisfile; no currentadoption, presenttax/productavailability, legalenforceability or particularclaim determination.","No governinglanguagepriority or datedreplacementresolving thethreeoperativeCI differences observed."]</t>
  </si>
  <si>
    <t xml:space="preserve">delivery-batch25-20261026/group3/024-result.json#/preserved_uncertainties</t>
  </si>
  <si>
    <t xml:space="preserve">execution-evidence.json#/batches/B25/documents/group3~1024-result.json/preserved_uncertainties</t>
  </si>
  <si>
    <t xml:space="preserve">9ae8e23b4e5f3cac5fe1c88747be80227276227eb4bb55abdc392315b6bd6e63</t>
  </si>
  <si>
    <t xml:space="preserve">"Three operative SWP007 bilingual CI differences F1–F3, not personalcertificate/currentadoptionabsence or boundedcrossreferencetypos."</t>
  </si>
  <si>
    <t xml:space="preserve">delivery-batch25-20261026/group3/024-result.json#/strict_blocker_basis</t>
  </si>
  <si>
    <t xml:space="preserve">execution-evidence.json#/batches/B25/documents/group3~1024-result.json/strict_blocker_basis</t>
  </si>
  <si>
    <t xml:space="preserve">a212c83a8ac199c866e7a123477bc80845f7745cd49661793bf7268e5b71a498</t>
  </si>
  <si>
    <t xml:space="preserve">{"actual_present_pages":89,"all_present_pages_semantically_reviewed":true,"checked_at_utc":"2026-10-26T20:25:28.522158+00:00","copy_allowed":false,"display_denials":0,"member_bytes":1025589,"member_sha256":"dddb09da3fb6f60d63de385744e99f53a37f647caacf1c32f8e27ebe6e80fba2","metadata_matches":true,"needs_password":0,"ordinary_visual_display_pending":false,"ordinary_visual_display_succeeded":true,"pdfinfo_metadata":"Creator:         Microsoft® Word for Microsoft 365\nProducer:        Microsoft® Word for Microsoft 365\nCreationDate:    Thu Aug 13 12:43:55 2026 JST\nModDate:         Thu Aug 13 12:49:14 2026 JST\nCustom Metadata: no\nMetadata Stream: yes\nTagged:          yes\nUserProperties:  no\nSuspects:        no\nForm:            none\nJavaScript:      no\nPages:           89\nEncrypted:       yes (print:yes copy:no change:no addNotes:no algorithm:AES)\nPage size:       595.32 x 841.92 pts (A4)\nPage rot:        0\nFile size:       1025589 bytes\nOptimized:       no\nPDF version:     1.7\n","pdfinfo_returncode":0,"permissions":-3388,"permissions_unchanged":true,"print_allowed":true,"source_archive_sha256":"d8dd60e6ef6061e4984143b9d891b5dd848b86f8833f800902ad758355a66515","task_id":"B25-MY-024","text_extraction_OCR_printing_unlocking_permission_changes":false}</t>
  </si>
  <si>
    <t xml:space="preserve">delivery-batch25-20261026/group3/024-preflight.json#</t>
  </si>
  <si>
    <t xml:space="preserve">execution-evidence.json#/batches/B25/documents/group3~1024-preflight.json</t>
  </si>
  <si>
    <t xml:space="preserve">ada93f9be3bc17df1d6aa0e4483b4fd2ed420bdcb18818d4353a49dee2e2f262</t>
  </si>
  <si>
    <t xml:space="preserve">{"accepted_deltas":{"adoption":0,"full":1,"gap":0,"held":0,"original":0,"package":0,"partial":0,"primary":0,"product":0,"strict":0},"actual_encryption":true,"all_present_pages_reliably_reviewed_in_all_languages":true,"axes":{"full":true,"held":true,"partial":false,"primary":false,"strict":false,"verification_status":"needs_review"},"baseline_canonical_record_sha256":"1eb78361a0727b9f21ece33c0169574b30a202553c5da81487de35c94593a360","basis":"Full reliable EN/MS independent reading is accepted; NewGASA/body GASA2014 unresolved identity and2025target ambiguity block other axes.","copy_allowed":false,"current_adoption_verified":false,"execution_all_fields_preserved_in":"independent-qa.json#/batches/B26/documents/execution-evidence-preserved-b26.json","execution_results_sha256":"6aee238a3552d993e82ec9fb84c8e93afce2b39df28cafce88da39a907169556","formal_application_performed":false,"independent_QA_accepted":true,"issues_and_clarifications":"independent-qa.json#/batches/B26/documents/issues-and-clarifications-first2.json","original_id":"regional-20261025-ff30e8c3cfb2e4cc","page_proof":"independent-qa.json#/batches/B26/documents/page-proof-001.json","personal_package_complete":false,"present_pages":46,"print_allowed":false,"prior_encryption_false_history_preserved":true,"prior_task_id":"B16-MY-004","queue_id":"PENDING-ff30e8c3cfb2e4cc","reliably_reviewed_pages":46,"source_insurer_preserved":"Sun Life Malaysia Assurance Berhad","source_owner_unchanged":true,"source_sha256":"ff30e8c3cfb2e4cca399ca8effe4d3dd63a2b033159a1e6cc8ced25116a18625","source_target_preserved":"Group Amanah Saham Assurance Contract (New GASA)","task_id":"B26-MY-001","unread_pages":[]}</t>
  </si>
  <si>
    <t xml:space="preserve">独立QA逐项处置</t>
  </si>
  <si>
    <t xml:space="preserve">{"execution_item_preserved":{"finding":"Source frozen label New GASA is not an established equivalent of body GASA2014; no NewGASA equivalence declaration in46presentpages.","id":"B26-001-source-label","pages":[1,22,34],"required_evidence":"Exact authoritative mapping of savedsource label to body product; no relabel/owner reassignment inferred.","status":"unresolved_identity_hold"},"execution_section":"issues","independent_QA_basis":"Direct EN/MS whole46pages: master GASA2014/GASA0714 repeatedly named, no exact statement equating frozen New GASA label. Preserve actual source target and insurer. This is unresolved mapping, not proof of wrong ownership or permission to rename.","independent_QA_disposition":"confirmed_identity_hold","task_id":"B26-MY-001"}</t>
  </si>
  <si>
    <t xml:space="preserve">qa-b2627-final-review-20261026/issues-and-clarifications-b26.json#/first2_complete/items/0</t>
  </si>
  <si>
    <t xml:space="preserve">independent-qa.json#/batches/B26/documents/issues-and-clarifications-b26.json/first2_complete/items/0</t>
  </si>
  <si>
    <t xml:space="preserve">37bd13f13b250dc757a72e4ef0024e8a7d81b358ce1c76cb971e9027b183b411</t>
  </si>
  <si>
    <t xml:space="preserve">{"execution_item_preserved":{"correction_basis":"Chronological notwithstanding language establishes2025 sanction text as attached, but does not by itself settle which oldannexure24 is amended or whether24Tax survives. Do not assume GASA001 typo and eraseTax; neither assert sanctions ineffective.","finding":"2025 attachment namescorrectmaster but labelsGASA001 generalconditions24Sanction; basecontents map001toabsentschedule,002togeneral;2015adds00224Tax. This is not merely missing personal schedule.","id":"B26-001-2025-target","pages":[1,2,18,20,21,23,24,35,36],"required_evidence":"Exact amendment-target clarification or in-file authoritative crosswalk absent.","status":"needs_review"},"execution_section":"issues","independent_QA_basis":"Own288dpi pages1/2 and18/20 plus full contents/base confirm 2025 GASA001 General conditions24 Sanctions but001 is absent schedule and002 general conditions;2015 adds00224 Tax. Later notwithstanding text does not uniquely identify old clause being replaced or Tax survival. No silent001-to002 edit and no declaration sanctions ineffective.","independent_QA_disposition":"confirmed_needs_review","task_id":"B26-MY-001"}</t>
  </si>
  <si>
    <t xml:space="preserve">qa-b2627-final-review-20261026/issues-and-clarifications-b26.json#/first2_complete/items/1</t>
  </si>
  <si>
    <t xml:space="preserve">independent-qa.json#/batches/B26/documents/issues-and-clarifications-b26.json/first2_complete/items/1</t>
  </si>
  <si>
    <t xml:space="preserve">5324aeef1ff31a28d83881074fc284d90aabbc43d9afb7803baa77c679f5e039</t>
  </si>
  <si>
    <t xml:space="preserve">{"execution_item_preserved":{"correction_basis":"The displayed formula and range observations are preserved. For given legal (i,t), the mutually exclusive i&gt;0 and i=0 branches are executable without contradiction. The file does not explain the one-month difference or provide floor/ceil event-date mapping, but no opposing convention or continuity requirement was found; that absence alone is not a substantive conflict and is not a strict veto. No corrected formula invented.","finding":"Postdefer positive andzero branches use same t range12dp+1..12n but different monthcounts12n-(t-1) versus12n-t. Atfirstpostdefer positivebranch=ISA whereaszero=(12pp-1)/(12pp)ISA; at12n positive=(1-v)/(1-v^(12pp))ISA whereaszero=0. Positive-limit versuszero differsISA/(12pp).","id":"B26-001-formula","pages":[24,29,30,33,36,42,43,46],"required_evidence":"No additional evidence required merely to resolve continuity/design-intent observation; individual event-date implementation is not certified.","status":"nonblocking_formula_design_observation"},"execution_section":"issues","independent_QA_basis":"Own EN33/MS46 fullpages and288dpi reread verify all operators/ranges; mutually exclusive i&gt;0/i=0, one output for legal specified inputs. Algebraic firstmonth/terminal/limit offsets verified. No same-condition conflict or continuity requirement found. Prior needs_review withdrawn as interpretation, with all history preserved.","independent_QA_disposition":"accepted_nonblocking_design_observation","task_id":"B26-MY-001"}</t>
  </si>
  <si>
    <t xml:space="preserve">qa-b2627-final-review-20261026/issues-and-clarifications-b26.json#/first2_complete/items/2</t>
  </si>
  <si>
    <t xml:space="preserve">independent-qa.json#/batches/B26/documents/issues-and-clarifications-b26.json/first2_complete/items/2</t>
  </si>
  <si>
    <t xml:space="preserve">dccd3eef42c046d3e8226d1700e10b623985cf2bd8071be87cd8c96925cc41fd</t>
  </si>
  <si>
    <t xml:space="preserve">{"execution_item_preserved":{"clarification":"2020NGAS002 not silently corrected; exactGASA0714/GASA2014attachment and5.2/10/11.2titles andtext support qualified operative mapping tobaseGASA002, unlike2025target issue.","id":"B26-001-NGAS002","pages":[8,9,25,26,37,38],"status":"bounded_caption_discrepancy"},"execution_section":"clarifications","independent_QA_basis":"2020 exact GASA2014/GASA0714 and operative5.2/10/11.2 titles support local qualified mapping to supplied GASA002. Preserve literal NGAS002; no source correction. This bounded mapping does not solve distinct2025target ambiguity.","independent_QA_disposition":"accepted_bounded_caption_mapping","task_id":"B26-MY-001"}</t>
  </si>
  <si>
    <t xml:space="preserve">qa-b2627-final-review-20261026/issues-and-clarifications-b26.json#/first2_complete/items/3</t>
  </si>
  <si>
    <t xml:space="preserve">independent-qa.json#/batches/B26/documents/issues-and-clarifications-b26.json/first2_complete/items/3</t>
  </si>
  <si>
    <t xml:space="preserve">d5db692e755ae69a0074ebc311697f82d72517223cd06da20336727f413da12c</t>
  </si>
  <si>
    <t xml:space="preserve">{"execution_item_preserved":{"clarification":"AbsentGASA001schedule is explicitly schedule component; not claimed unreadpresentpage or automaticallymissinggenericbody. Namedholder,individualterms andissuedpackage remainunverified.","id":"B26-001-schedule","pages":[23,24,35,36],"status":"scope_limit_not_automatic_strict_veto"},"execution_section":"clarifications","independent_QA_basis":"Missing printed-page2 schedule in both language bases is openly identified personalized component, not unread page of the46-page file or automatically missing generic definition. Exact holder/individual terms/issued package not verified.","independent_QA_disposition":"accepted_scope_boundary","task_id":"B26-MY-001"}</t>
  </si>
  <si>
    <t xml:space="preserve">qa-b2627-final-review-20261026/issues-and-clarifications-b26.json#/first2_complete/items/4</t>
  </si>
  <si>
    <t xml:space="preserve">independent-qa.json#/batches/B26/documents/issues-and-clarifications-b26.json/first2_complete/items/4</t>
  </si>
  <si>
    <t xml:space="preserve">098bd985a08bb47eebf8dd1b87263ea22f13c236a9022fa5ea8ffa3630066f2a</t>
  </si>
  <si>
    <t xml:space="preserve">{"execution_item_preserved":{"clarification":"Do not retain superseded RM2m/own-similaroccupation/exclusion/oldpayment/oldtermination variants as live conflicts; later clauses specificallyreplace/add/delete.","id":"B26-001-supersession","pages":[3,4,5,6,8,9,10,11,12,13,14,15,16,17,18,19,20,21,30,31,32,43,44,45],"status":"resolved_by_explicit_amendments"},"execution_section":"clarifications","independent_QA_basis":"Every endorsement read in both languages:2015 policy/general/disclosure/tax/FATCA and TPD commencement;March2015 financing eligibility/termination;2016 benefits19;2020 age/gender;2021RM8m/anywork/severance/exclusions replace older wording. Do not count live old/new contradictions. MS2016 heading Kelayakan with payment19.1-19.3 is minor caption defect, clear operative mapping.","independent_QA_disposition":"accepted_explicit_supersession","task_id":"B26-MY-001"}</t>
  </si>
  <si>
    <t xml:space="preserve">qa-b2627-final-review-20261026/issues-and-clarifications-b26.json#/first2_complete/items/5</t>
  </si>
  <si>
    <t xml:space="preserve">independent-qa.json#/batches/B26/documents/issues-and-clarifications-b26.json/first2_complete/items/5</t>
  </si>
  <si>
    <t xml:space="preserve">5d5f418b0ac9c9232c458524de085fbc4e675a9e1607c715a2655af2647dadcf</t>
  </si>
  <si>
    <t xml:space="preserve">{"base_edition_date":null,"body_product":"Group Amanah Saham Assurance (GASA2014)","counterparty_definition":"master policy owner as stated in schedule","issuer":"Sun Life Malaysia Assurance Berhad","master_reference":"GASA0714","named_master_holder":null,"reference_code_not_edition":true,"source_label_preserved":"Group Amanah Saham Assurance Contract (New GASA)"}</t>
  </si>
  <si>
    <t xml:space="preserve">delivery-batch26-20261026/review/001-result.json#/observed_identity</t>
  </si>
  <si>
    <t xml:space="preserve">execution-evidence.json#/batches/B26/documents/review~1001-result.json/observed_identity</t>
  </si>
  <si>
    <t xml:space="preserve">b7ef03a24b325ce8bea8c9000889544120b70ba7b709301fb3d9f5e45b1fc51f</t>
  </si>
  <si>
    <t xml:space="preserve">[{"component":"2025 sanction endorsement","effective_date":"2025-07-01","languages":["en","ms"],"pages":[1,2],"relationship_status":"master attachment explicit; exact annexure/24Tax reconciliation unresolved","target":"GASA2014/GASA0714; printedGASA001 generalconditions24"},{"component":"2021TPD endorsement","effective_date":"2021-06-01","languages":["en","ms"],"pages":[3,4,5,6,7],"relationship_status":"explicit replacement resolves oldRM2m/own-similaroccupation/exclusions","target":"GASA0041.3/2.1/3.1"},{"component":"2020general endorsement","effective_date":"2020-07-01","languages":["en","ms"],"pages":[8,9],"relationship_status":"qualified mapping to GASA002 by exactmaster/product and operativeclause matches; caption discrepancy retained","target":"printedNGAS0025.2/10/11.2"},{"component":"2016benefitpayment amendment","effective_date":"2016-03-18","languages":["en","ms"],"pages":[10,11],"relationship_status":"explicit replacement","target":"GASA00219.1replaced by19.1–19.3"},{"component":"March2015eligibility/termination amendment","effective_date":"2015-03-25","languages":["en","ms"],"pages":[12,13,14,15,16,17],"relationship_status":"explicitreplacement","target":"GASA0023.1/16.2,GASA0033.1,GASA0046.1"},{"component":"January2015materialinfo/tax/FATCA/TPD amendment","effective_date":"2015-01-01","languages":["en","ms"],"pages":[18,19,20,21],"relationship_status":"explicit changes;24Tax location material to2025 mismatch","target":"GASA002delete1.1c/replace2/add24Tax25FATCA;GASA004add1.1"},{"annexures_present":["GASA002general","GASA003death","GASA004TPD","GASA005formula"],"component":"Englishbase","languages":["en"],"pages":[22,23,24,25,26,27,28,29,30,31,32,33],"printed_sequence":"cover;1/12;3–12/12","schedule":"GASA001printed2referencednotpresent"},{"annexures_present":["GASA002general","GASA003death","GASA004TPD","GASA005formula"],"component":"Malaybase","languages":["ms"],"pages":[34,35,36,37,38,39,40,41,42,43,44,45,46],"printed_sequence":"cover;1/13;3–13/13","schedule":"GASA001printed2referencednotpresent"}]</t>
  </si>
  <si>
    <t xml:space="preserve">delivery-batch26-20261026/review/001-result.json#/component_map</t>
  </si>
  <si>
    <t xml:space="preserve">execution-evidence.json#/batches/B26/documents/review~1001-result.json/component_map</t>
  </si>
  <si>
    <t xml:space="preserve">405a600d64ce9132fe5141efeb326c299f4fdff2b51e474eae1e75452ef6919c</t>
  </si>
  <si>
    <t xml:space="preserve">[{"finding":"Source frozen label New GASA is not an established equivalent of body GASA2014; no NewGASA equivalence declaration in46presentpages.","id":"B26-001-source-label","pages":[1,22,34],"required_evidence":"Exact authoritative mapping of savedsource label to body product; no relabel/owner reassignment inferred.","status":"unresolved_identity_hold"},{"correction_basis":"Chronological notwithstanding language establishes2025 sanction text as attached, but does not by itself settle which oldannexure24 is amended or whether24Tax survives. Do not assume GASA001 typo and eraseTax; neither assert sanctions ineffective.","finding":"2025 attachment namescorrectmaster but labelsGASA001 generalconditions24Sanction; basecontents map001toabsentschedule,002togeneral;2015adds00224Tax. This is not merely missing personal schedule.","id":"B26-001-2025-target","pages":[1,2,18,20,21,23,24,35,36],"required_evidence":"Exact amendment-target clarification or in-file authoritative crosswalk absent.","status":"needs_review"},{"correction_basis":"The displayed formula and range observations are preserved. For given legal (i,t), the mutually exclusive i&gt;0 and i=0 branches are executable without contradiction. The file does not explain the one-month difference or provide floor/ceil event-date mapping, but no opposing convention or continuity requirement was found; that absence alone is not a substantive conflict and is not a strict veto. No corrected formula invented.","finding":"Postdefer positive andzero branches use same t range12dp+1..12n but different monthcounts12n-(t-1) versus12n-t. Atfirstpostdefer positivebranch=ISA whereaszero=(12pp-1)/(12pp)ISA; at12n positive=(1-v)/(1-v^(12pp))ISA whereaszero=0. Positive-limit versuszero differsISA/(12pp).","id":"B26-001-formula","pages":[24,29,30,33,36,42,43,46],"required_evidence":"No additional evidence required merely to resolve continuity/design-intent observation; individual event-date implementation is not certified.","status":"nonblocking_formula_design_observation"}]</t>
  </si>
  <si>
    <t xml:space="preserve">delivery-batch26-20261026/review/001-result.json#/issues</t>
  </si>
  <si>
    <t xml:space="preserve">execution-evidence.json#/batches/B26/documents/review~1001-result.json/issues</t>
  </si>
  <si>
    <t xml:space="preserve">928b151c62eb5648e065c48b014f091550845614888a75a5e784b0cf2bead7f7</t>
  </si>
  <si>
    <t xml:space="preserve">[{"clarification":"2020NGAS002 not silently corrected; exactGASA0714/GASA2014attachment and5.2/10/11.2titles andtext support qualified operative mapping tobaseGASA002, unlike2025target issue.","id":"B26-001-NGAS002","pages":[8,9,25,26,37,38],"status":"bounded_caption_discrepancy"},{"clarification":"AbsentGASA001schedule is explicitly schedule component; not claimed unreadpresentpage or automaticallymissinggenericbody. Namedholder,individualterms andissuedpackage remainunverified.","id":"B26-001-schedule","pages":[23,24,35,36],"status":"scope_limit_not_automatic_strict_veto"},{"clarification":"Do not retain superseded RM2m/own-similaroccupation/exclusion/oldpayment/oldtermination variants as live conflicts; later clauses specificallyreplace/add/delete.","id":"B26-001-supersession","pages":[3,4,5,6,8,9,10,11,12,13,14,15,16,17,18,19,20,21,30,31,32,43,44,45],"status":"resolved_by_explicit_amendments"}]</t>
  </si>
  <si>
    <t xml:space="preserve">delivery-batch26-20261026/review/001-result.json#/clarifications</t>
  </si>
  <si>
    <t xml:space="preserve">execution-evidence.json#/batches/B26/documents/review~1001-result.json/clarifications</t>
  </si>
  <si>
    <t xml:space="preserve">621dc83f8a53c4f6bcb276ebf2932f3a3aec9c405811c3aa2ad4713177af840a</t>
  </si>
  <si>
    <t xml:space="preserve">[{"actual_pdfinfo":"Encrypted:yes RC4,copy:no print:no","basis":"fresh exactmember PDF metadata and permissions-3392","field":"encrypted","prior_v101_observed":false,"proposed_recording":"Append actualmetadata observation only; no source/index edit performed"}]</t>
  </si>
  <si>
    <t xml:space="preserve">delivery-batch26-20261026/review/001-result.json#/metadata_corrections</t>
  </si>
  <si>
    <t xml:space="preserve">execution-evidence.json#/batches/B26/documents/review~1001-result.json/metadata_corrections</t>
  </si>
  <si>
    <t xml:space="preserve">734a49ea92ada2513c667088ce3f305188afd8aaab038f8dfc00c402bb4a4353</t>
  </si>
  <si>
    <t xml:space="preserve">[{"at_utc":"2026-10-26T21:21:46.006555+00:00","correction_basis":"Explicit mutually exclusive rate branches give one value for any specified legal (i,t). Different indexing and discontinuity at zero do not establish same-condition conflict. No in-file requirement of continuity or opposing month convention identified. Lack of design rationale alone is non-blocking. Independently unresolved source identity and 2025 target remain unchanged.","field":"issues[id=B26-001-formula].status/correction_basis/required_evidence and axis strict basis; comparator impact status","prior_result_sha256":"b3756a00dbcbd83b624a6b5c80e2b4266da51579dc8d5051445f295539931c06","prior_value":{"correction_basis":"Read full GASA005 EN/MS and benefitpayment observationpages; death atdeath,TPD atonset, tmonthsfromstart do not specify start/end-of-month assignment or rounding. Explicit separate ratebranches/bilingual match alone do not reconcile this; not declared typographical error and no corrected formula invented.","finding":"Postdefer positive andzero branches use same t range12dp+1..12n but different monthcounts12n-(t-1) versus12n-t. Atfirstpostdefer positivebranch=ISA whereaszero=(12pp-1)/(12pp)ISA; at12n positive=(1-v)/(1-v^(12pp))ISA whereaszero=0. Positive-limit versuszero differsISA/(12pp).","id":"B26-001-formula","pages":[24,29,30,33,36,42,43,46],"required_evidence":"File-specific observation convention/example or authoritative explanation forbranch offset.","status":"needs_review"}}]</t>
  </si>
  <si>
    <t xml:space="preserve">delivery-batch26-20261026/review/001-result.json#/correction_history</t>
  </si>
  <si>
    <t xml:space="preserve">execution-evidence.json#/batches/B26/documents/review~1001-result.json/correction_history</t>
  </si>
  <si>
    <t xml:space="preserve">3250a6978d31ca0a49e7c057b3de3638e8f5bd8956276e909321a8561b1b5285</t>
  </si>
  <si>
    <t xml:space="preserve">[31,44]</t>
  </si>
  <si>
    <t xml:space="preserve">{"corrected_interpretation":"Prior accepted metadata already correctly notes separate rate branches are not proof of error. Missing t interval or design rationale in metadata alone is not a verified-reading failure. Root commissioned separate exact-file consistency review; this task does not change comparator.","evidence":[{"path":"provenance-and-equivalence.json#/historical_locator_fingerprints/8853b1b419e5f86bbffea7b2ae53ae0db471ebf56c270f7880c9f97362e7f437","sha256":"744aa73b3cbee496e913403a84be5b4b2b85e0799f3f88152d8e1f9e8d432358"},{"path":"provenance-and-equivalence.json#/historical_locator_fingerprints/dd9205bb804fc6c254bf70a1cbd883eb2ac44dcf06b2e5204ece843398a57d52","sha256":"34e1a1ea42696026f89ca2c04e93031191e757cd5b6f7f0b3e4a841dda1f1a19"},{"path":"provenance-and-equivalence.json#/historical_locator_fingerprints/ee26480bc9a454aec6d0e2d316d508b13b91a9cad7b67e2830d628fbe10d07c4","sha256":"88a2bf3900b3378180f4b26df39f798542dc14b8c9333d7709f35388371dac6b"}],"finding":"Accepted issues-and-clarifications explicitlyrecords positiveexponent(12n)-(t-1) andzero(12n)-t as separatebranches at31/44, regardsnottranslationdiscrepancy/notproofofactuarialerror. Pageproof mentions3branches/dp/pp/n and2.4xzooms; it doesnotrecord exacttinterval or benefitobservationpoint.","not_concluded":"Same tinterval,actualactuarialerror,incorrectpriorstrict orchangedstrict not established bythismetadata-onlypass. Comparatorfull/strict remainuntouched.","physical_pages":[31,44],"scope":"Metadata-only comparison as root directed; no B23PDFopened andno acceptedrecord changed","source_sha256":"2480171341a01b0f17b78305a4878bfda7d7b961f044199077ed30ff09bf8342","status":"metadata_signal_only_no_established_strict_gap; separate narrow review under root"}</t>
  </si>
  <si>
    <t xml:space="preserve">delivery-batch26-20261026/review/001-result.json#/potential_impact_on_accepted_comparator_B23_MY_003</t>
  </si>
  <si>
    <t xml:space="preserve">execution-evidence.json#/batches/B26/documents/review~1001-result.json/potential_impact_on_accepted_comparator_B23_MY_003</t>
  </si>
  <si>
    <t xml:space="preserve">7f81eb2349f5be612d2914e280e4d4ef1f2ab5e48d97a5638b75eebd515d8a8b</t>
  </si>
  <si>
    <t xml:space="preserve">46</t>
  </si>
  <si>
    <t xml:space="preserve">{"actual_denial":false,"archive_sha256_recomputed":"d8dd60e6ef6061e4984143b9d891b5dd848b86f8833f800902ad758355a66515","checked_at_utc":"2026-10-26T21:03:55.872451+00:00","copy_allowed":false,"member_bytes":2364677,"member_sha256_recomputed":"ff30e8c3cfb2e4cca399ca8effe4d3dd63a2b033159a1e6cc8ced25116a18625","needs_password":0,"pdfinfo":"Author:          Kelly\nCreator:         Microsoft® Word 2016\nProducer:        Microsoft® Word 2016\nCreationDate:    Thu May  6 13:07:26 2021 JST\nModDate:         Wed Jan  7 16:24:13 2026 JST\nCustom Metadata: no\nMetadata Stream: yes\nTagged:          yes\nUserProperties:  no\nSuspects:        no\nForm:            none\nJavaScript:      no\nPages:           46\nEncrypted:       yes (print:no copy:no change:no addNotes:no algorithm:RC4)\nPage size:       594.75 x 842.25 pts (A4)\nPage rot:        0\nFile size:       2364677 bytes\nOptimized:       no\nPDF version:     1.5\n","permissions":-3392,"physical_pages":46,"print_allowed":false,"task_id":"B26-MY-001","text_extraction_ocr_printing_unlock_permission_change":false}</t>
  </si>
  <si>
    <t xml:space="preserve">delivery-batch26-20261026/review/001-preflight.json#</t>
  </si>
  <si>
    <t xml:space="preserve">execution-evidence.json#/batches/B26/documents/review~1001-preflight.json</t>
  </si>
  <si>
    <t xml:space="preserve">e8965226a19014bc9fb2978b561542ec94ff771b8c262f2b8b30e290dd709222</t>
  </si>
  <si>
    <t xml:space="preserve">{"accepted_deltas":{"adoption":0,"full":1,"gap":0,"held":0,"original":0,"package":0,"partial":0,"primary":0,"product":0,"strict":0},"actual_encryption":true,"all_present_pages_reliably_reviewed_in_all_languages":true,"axes":{"full":true,"held":true,"partial":false,"primary":false,"strict":false,"verification_status":"needs_review"},"baseline_canonical_record_sha256":"d911af69875bc99097d49b8fad93b93f780528f791575c35b96d10735496aa69","basis":"Full reliable EN/MS independent reading is accepted; BankRakyat/pre2015 versus actual AlRajhi identity and deathrefund bilingual term unresolved. Formula observation is nonblocking.","copy_allowed":false,"current_adoption_verified":false,"execution_all_fields_preserved_in":"independent-qa.json#/batches/B26/documents/execution-evidence-preserved-b26.json","execution_results_sha256":"6aee238a3552d993e82ec9fb84c8e93afce2b39df28cafce88da39a907169556","formal_application_performed":false,"independent_QA_accepted":true,"issues_and_clarifications":"independent-qa.json#/batches/B26/documents/issues-and-clarifications-first2.json","original_id":"regional-20261025-d3fb44d1e309ce62","page_proof":"independent-qa.json#/batches/B26/documents/page-proof-002.json","personal_package_complete":false,"present_pages":50,"print_allowed":false,"prior_encryption_false_history_preserved":true,"prior_task_id":"B16-MY-027","queue_id":"PENDING-d3fb44d1e309ce62","reliably_reviewed_pages":50,"source_insurer_preserved":"Sun Life Malaysia Takaful Berhad","source_owner_unchanged":true,"source_sha256":"d3fb44d1e309ce62ca9eba77bc760e13b47fb04e0c2f0569913e5453c5265ec2","source_target_preserved":"Mortgage Reducing Term Takaful Master Contract - Bank Rakyat (Cert. before 2015)","task_id":"B26-MY-002","unread_pages":[]}</t>
  </si>
  <si>
    <t xml:space="preserve">{"execution_item_preserved":{"correction_basis":"Preserve source label and source insurer; record body holder separately. Do not rename, reassign owner, merge with B24-MY-008, infer edition from0919 or date from source-label parentheses.","finding":"Frozen source label is Bank Rakyat (Cert. before2015); actual text names Al Rajhi Banking &amp; Investment Corporation (Malaysia) Berhad and AMRT0919. No BankRakyat/pre2015 linkage or holder-change endorsement established in50pages.","id":"B26-002-source-identity","pages":[1,3,9,13,29,33],"required_evidence":"Exact authoritative source-to-body mapping or corrected source evidence outside this present-file pass.","status":"unresolved_identity_hold"},"execution_section":"issues","independent_QA_basis":"Own EN13/MS33 holder definition288dpi unequivocally Al Rajhi Banking &amp; Investment Corporation (Malaysia) Berhad; endorsements AMRT0919. All50pages contain no Bank Rakyat/pre2015 equivalence or holder transfer. Retain frozen target and source insurer, do not merge another file or infer edition from0919.","independent_QA_disposition":"confirmed_identity_hold","task_id":"B26-MY-002"}</t>
  </si>
  <si>
    <t xml:space="preserve">qa-b2627-final-review-20261026/issues-and-clarifications-b26.json#/first2_complete/items/6</t>
  </si>
  <si>
    <t xml:space="preserve">independent-qa.json#/batches/B26/documents/issues-and-clarifications-b26.json/first2_complete/items/6</t>
  </si>
  <si>
    <t xml:space="preserve">cf4eb4704b1f6ad74867873a0e09c1f40d11d044c11d07f7f0ea7ac22189ad24</t>
  </si>
  <si>
    <t xml:space="preserve">{"execution_item_preserved":{"correction_basis":"Own English and Malay pages read and216dpi confirmed, not inherited comparator conclusion. Preserve exact terminology; not asserting death triggers surrender charge or underpayment, because general cash-value context is surrender/early settlement.","finding":"MRTT006 death exclusions English refund participant-account value; Malay pays nilai tunai (cash value). MRTT00320 cash value elsewhere is PA less surrender charge upon surrender/early settlement. No replacement or language-priority rule found resolving the different benefit term.","id":"B26-002-death-refund-language","pages":[17,22,38,43],"required_evidence":"Exact language/benefit-term equivalence or applicable authoritative amendment.","status":"needs_review"},"execution_section":"issues","independent_QA_basis":"Own EN22/MS43 and cash definitions17/38 at288dpi confirm PA value vs nilai tunai under same excluded-death conditions. Cash value is defined in surrender/earlysettlement context; neither equate terms automatically nor assert death deducts surrendercharge or actual underpayment. No in-file replacement/language-priority resolution found.","independent_QA_disposition":"confirmed_needs_review","task_id":"B26-MY-002"}</t>
  </si>
  <si>
    <t xml:space="preserve">qa-b2627-final-review-20261026/issues-and-clarifications-b26.json#/first2_complete/items/7</t>
  </si>
  <si>
    <t xml:space="preserve">independent-qa.json#/batches/B26/documents/issues-and-clarifications-b26.json/first2_complete/items/7</t>
  </si>
  <si>
    <t xml:space="preserve">b1492f66a415202e6ce5e146ecddf29275711ac3a4f686a08791d7a7c81cff78</t>
  </si>
  <si>
    <t xml:space="preserve">{"execution_item_preserved":{"clarification":"Initial English1/29 denominator differs from subsequent2–19/19, but own complete read shows continuous numbered base1–19 with all operative annexures003–010. Malay1–21 includes footer-only44. No ten missing pages inferred; no comparator reading substituted.","id":"B26-002-pagination","pages":[10,11,28,30,44,50],"status":"resolved_present_file_continuity"},"execution_section":"clarifications","independent_QA_basis":"Full EN19-base-page sequence complete despite introduction1of29 denominator; MS1-21 complete including physical44footer-only. All50physicalpages directly read; no missingtenpage inference.","independent_QA_disposition":"accepted_continuity","task_id":"B26-MY-002"}</t>
  </si>
  <si>
    <t xml:space="preserve">qa-b2627-final-review-20261026/issues-and-clarifications-b26.json#/first2_complete/items/8</t>
  </si>
  <si>
    <t xml:space="preserve">independent-qa.json#/batches/B26/documents/issues-and-clarifications-b26.json/first2_complete/items/8</t>
  </si>
  <si>
    <t xml:space="preserve">f884b1a304d0575892e55116bfdc826d5dcb0493d3ad6fa3edb6eae66f0506b0</t>
  </si>
  <si>
    <t xml:space="preserve">{"execution_item_preserved":{"clarification":"TPD0071.1 both languages says002, while supplied unique complete TPD definition is003. Exact operative definition is locally available; no competing TPD002 definition shown. Record literal defect and qualified mapping, not invented missing substantive definition or independent strict veto.","id":"B26-002-TPD-reference","pages":[11,12,13,23,31,32,33,45],"status":"bounded_crossreference_defect_preserved"},"execution_section":"clarifications","independent_QA_basis":"Both EN23/MS45 literalMRTT002 at288dpi; unique complete supplied TPD definition in003 read directly EN12-13/MS32-33. Preserve incorrectnumber plus qualified local mapping, no fabricated missing definition or independent strictveto.","independent_QA_disposition":"accepted_bounded_reference_defect","task_id":"B26-MY-002"}</t>
  </si>
  <si>
    <t xml:space="preserve">qa-b2627-final-review-20261026/issues-and-clarifications-b26.json#/first2_complete/items/9</t>
  </si>
  <si>
    <t xml:space="preserve">independent-qa.json#/batches/B26/documents/issues-and-clarifications-b26.json/first2_complete/items/9</t>
  </si>
  <si>
    <t xml:space="preserve">98edabbcf802721e69cb6c0719dc7acb3a052dac5e5a816a607e48bb77a96eaa</t>
  </si>
  <si>
    <t xml:space="preserve">{"execution_item_preserved":{"clarification":"2020 replaces principles, entire age/gender8, PA/PTF and wakalah2; deletes legal16 including old no-action-before-two-years term. Retain historical wording but do not flag live old/new conflicts.","id":"B26-002-supersession","pages":[3,4,5,6,7,8,10,15,17,20,21,30,35,38,41,42],"status":"resolved_by_explicit_amendment"},"execution_section":"clarifications","independent_QA_basis":"2020 all EN/MS3-8 read, delete entirelegal16 confirmed288dpi, replacementprinciples/agegender/funds/wakalah clearly identified. Old2yearnoaction and other replaced prose are history, not live conflicts.","independent_QA_disposition":"accepted_explicit_supersession","task_id":"B26-MY-002"}</t>
  </si>
  <si>
    <t xml:space="preserve">qa-b2627-final-review-20261026/issues-and-clarifications-b26.json#/first2_complete/items/10</t>
  </si>
  <si>
    <t xml:space="preserve">independent-qa.json#/batches/B26/documents/issues-and-clarifications-b26.json/first2_complete/items/10</t>
  </si>
  <si>
    <t xml:space="preserve">c5af86555cd29548720ebffda24351a446aa69fb13f6474e7affcc4c23ce50d1</t>
  </si>
  <si>
    <t xml:space="preserve">{"execution_item_preserved":{"clarification":"Malay small-balance paragraph13.3 undersection12 matches English12.3 by content; not separate surrender rule.2020 deletion requires subsequent renumbering;2025 expressly attaches sanction28 to correctMRTT003, with no competing28text. Numbering alone does not invalidate attachment.","id":"B26-002-numbering","pages":[1,2,4,7,16,36],"status":"nonblocking_numbering_observations"},"execution_section":"clarifications","independent_QA_basis":"MS13.3 withinsection12 is smallbalance&lt;=RM10 matching EN12.3; source number preserved.2020 renumbers after deletion;2025 expressly adds sanctions28 under correct003 with no competing28. Do not declare attachment invalid for numbering alone.","independent_QA_disposition":"accepted_nonblocking_numbering","task_id":"B26-MY-002"}</t>
  </si>
  <si>
    <t xml:space="preserve">qa-b2627-final-review-20261026/issues-and-clarifications-b26.json#/first2_complete/items/11</t>
  </si>
  <si>
    <t xml:space="preserve">independent-qa.json#/batches/B26/documents/issues-and-clarifications-b26.json/first2_complete/items/11</t>
  </si>
  <si>
    <t xml:space="preserve">517c26301f0c94992b4b7e9ca469b1747a7805cdb288f82e0edc226f3e42e38a</t>
  </si>
  <si>
    <t xml:space="preserve">{"execution_item_preserved":{"clarification":"Own MRTT010 uses p for profit: RSC=ISC for t0..12dp; positive [(1-v^(12n-(t-1)))/(1-v^(12pp))]ISC; zero [(12n-t)/(12pp)]ISC; same t12dp+1..12n. Atfirstpostdefer positiveISC, zero(12pp-1)/(12pp)ISC; terminal positive(1-v)/(1-v^(12pp))ISC, zero0. Death measured atdeath,TPD atonset; no explicit floor/ceil branch convention. Distinct mutually exclusive ratebranches still give a unique value for a given legal(p,t); discontinuity/unstated design rationale alone is not a substantive conflict or strict veto. No invented replacement formula, payment calculation or external actuarial claim.","id":"B26-002-formula","pages":[22,23,28,43,45,50],"status":"nonblocking_formula_design_observation"},"execution_section":"clarifications","independent_QA_basis":"Own EN28/MS50 allformulaoperators and definitions reread288dpi. Positivebranch exponent12n-(t-1),zerobranch12n-t and samepostdeferrange, p forprofit. Distinct mutuallyexclusive regimes and no in-filecontinuity requirement; offset alone not contradictory. No actuarial/reasonableness/currentpayment certification.","independent_QA_disposition":"accepted_nonblocking_design_observation","task_id":"B26-MY-002"}</t>
  </si>
  <si>
    <t xml:space="preserve">qa-b2627-final-review-20261026/issues-and-clarifications-b26.json#/first2_complete/items/12</t>
  </si>
  <si>
    <t xml:space="preserve">independent-qa.json#/batches/B26/documents/issues-and-clarifications-b26.json/first2_complete/items/12</t>
  </si>
  <si>
    <t xml:space="preserve">6af1627939d2c3e8ce2f5d946915c1e20583f6afe6981fec36ff108f67a33bc3</t>
  </si>
  <si>
    <t xml:space="preserve">{"execution_item_preserved":{"clarification":"Master schedule, individual certificate and personal wakalah percentage referenced but not supplied; individual issued package not certified. Their absence alone is not unread-present-page or automatic generic-wording failure.","id":"B26-002-personal-schedule","pages":[14,27,34,48],"status":"scope_limit_not_automatic_strict_veto"},"execution_section":"clarifications","independent_QA_basis":"References to individualizedschedule/certificate/wakalahpercentage do not establish missing genericbody, and do not create unreadphysicalpage. Individual issued package/current use remain unverified.","independent_QA_disposition":"accepted_scope_boundary","task_id":"B26-MY-002"}</t>
  </si>
  <si>
    <t xml:space="preserve">qa-b2627-final-review-20261026/issues-and-clarifications-b26.json#/first2_complete/items/13</t>
  </si>
  <si>
    <t xml:space="preserve">independent-qa.json#/batches/B26/documents/issues-and-clarifications-b26.json/first2_complete/items/13</t>
  </si>
  <si>
    <t xml:space="preserve">cf6e0e1dd1e7fbf7656212c77e3d683125e9c549be6abaa8602b3c9cbf3f08a3</t>
  </si>
  <si>
    <t xml:space="preserve">{"execution_item_preserved":{"clarification":"Specific lesserTPD residualdeath and written continuation after financing-end qualify general termination. Both languages preserve negations; no actual contradiction or double deduction inferred. Limb definition is severance in both languages and immorality exclusion appears in both; no DTT differences imported.","id":"B26-002-specific-benefit-controls","pages":[16,22,23,24,37,43,45,46],"status":"resolved_specific_qualification"},"execution_section":"clarifications","independent_QA_basis":"Direct EN/MS negations confirm lesserTPD continuing proportionallyreduced deathcover, and writtenfinancingendcontinuation. General termination read with these explicit benefit provisions; no extra cumulative-death-andTPD or double-deduction conclusion. Severance/immorality bothlanguages present, no borrowed DTT difference.","independent_QA_disposition":"accepted_specific_qualification","task_id":"B26-MY-002"}</t>
  </si>
  <si>
    <t xml:space="preserve">qa-b2627-final-review-20261026/issues-and-clarifications-b26.json#/first2_complete/items/14</t>
  </si>
  <si>
    <t xml:space="preserve">independent-qa.json#/batches/B26/documents/issues-and-clarifications-b26.json/first2_complete/items/14</t>
  </si>
  <si>
    <t xml:space="preserve">bd2bb38aaf289bb72c49f9437b7e1b994f54e4b089933464cb48f23fff651363</t>
  </si>
  <si>
    <t xml:space="preserve">{"base_edition_date":null,"body_product":"Group Mortgage Reducing Term Takaful (MRTT)","holder_change_endorsement_found":false,"holder_evidence_pages":[13,33],"issuer":"Sun Life Malaysia Takaful Berhad","master_reference":"AMRT0919","named_master_holder":"Al Rajhi Banking &amp; Investment Corporation (Malaysia) Berhad","reference_code_not_edition":true,"source_label_preserved":"Mortgage Reducing Term Takaful Master Contract - Bank Rakyat (Cert. before 2015)"}</t>
  </si>
  <si>
    <t xml:space="preserve">delivery-batch26-20261026/review/002-result.json#/observed_identity</t>
  </si>
  <si>
    <t xml:space="preserve">execution-evidence.json#/batches/B26/documents/review~1002-result.json/observed_identity</t>
  </si>
  <si>
    <t xml:space="preserve">0b9e9a50a7ac15b819535b1da62aae87e6cf5d71cb6d521a32b197d9031cad26</t>
  </si>
  <si>
    <t xml:space="preserve">[{"component":"2025 sanctions endorsement","effective_date":"2025-07-01","language_pages":{"en":[1],"ms":[2]},"master":"AMRT0919","pages":[1,2],"relationship_status":"Explicit attachment to same master; correctly matches supplied general-annexure code. No GASA001/Tax24-type conflict imported.","target":"MRTT003 General conditions28"},{"component":"2020 multi-annexure endorsement","effective_date":"2020-07-01","language_pages":{"en":[3,4,5],"ms":[6,7,8]},"master":"AMRT0919","pages":[3,4,5,6,7,8],"relationship_status":"Explicit replacements/deletion resolve old-versus-new wording. No holder substitution stated.","target":"MRTT001 basic principles; MRTT003 definitions/entire8/delete16 and renumber; MRTT004 entire1 and2; MRTT005 entire2"},{"component":"English base master","languages":["en"],"pages":[9,10,11,12,13,14,15,16,17,18,19,20,21,22,23,24,25,26,27,28],"printed_sequence":"cover; introduction1/29; general2/19 through formula19/19","subcomponents":[{"name":"cover","pages":[9]},{"name":"Introduction; no English MRTT001 caption printed","pages":[10]},{"name":"MRTT003 General conditions","pages":[11,12,13,14,15,16,17,18,19]},{"name":"MRTT004 Fund conditions","pages":[20]},{"name":"MRTT005 Contributions and charges","pages":[21]},{"name":"MRTT006 Death","pages":[22]},{"name":"MRTT007 TPD","pages":[23,24,25]},{"name":"MRTT008 Final benefit","pages":[26]},{"name":"MRTT009 Fees and sharing","pages":[27]},{"name":"MRTT010 RSC formula","pages":[28]}]},{"component":"Malay base master","languages":["ms"],"pages":[29,30,31,32,33,34,35,36,37,38,39,40,41,42,43,44,45,46,47,48,49,50],"printed_sequence":"cover;1/21 through21/21; physical44 printed15/21 footer-only","subcomponents":[{"name":"cover","pages":[29]},{"name":"MRTT001 Introduction","pages":[30]},{"name":"MRTT003 General conditions","pages":[31,32,33,34,35,36,37,38,39,40]},{"name":"MRTT004 Fund conditions","pages":[41]},{"name":"MRTT005 Contributions and charges","pages":[42]},{"name":"MRTT006 Death","pages":[43]},{"name":"footer-only blank","pages":[44]},{"name":"MRTT007 TPD","pages":[45,46,47]},{"name":"MRTT008 Final benefit and startMRTT009","pages":[48]},{"name":"MRTT009 sharing continuation","pages":[49]},{"name":"MRTT010 RSC formula","pages":[50]}]}]</t>
  </si>
  <si>
    <t xml:space="preserve">delivery-batch26-20261026/review/002-result.json#/component_map</t>
  </si>
  <si>
    <t xml:space="preserve">execution-evidence.json#/batches/B26/documents/review~1002-result.json/component_map</t>
  </si>
  <si>
    <t xml:space="preserve">6a20a420847da174534a71ae7736a23a7953f6e36207483eba17c593b2a3a987</t>
  </si>
  <si>
    <t xml:space="preserve">[{"correction_basis":"Preserve source label and source insurer; record body holder separately. Do not rename, reassign owner, merge with B24-MY-008, infer edition from0919 or date from source-label parentheses.","finding":"Frozen source label is Bank Rakyat (Cert. before2015); actual text names Al Rajhi Banking &amp; Investment Corporation (Malaysia) Berhad and AMRT0919. No BankRakyat/pre2015 linkage or holder-change endorsement established in50pages.","id":"B26-002-source-identity","pages":[1,3,9,13,29,33],"required_evidence":"Exact authoritative source-to-body mapping or corrected source evidence outside this present-file pass.","status":"unresolved_identity_hold"},{"correction_basis":"Own English and Malay pages read and216dpi confirmed, not inherited comparator conclusion. Preserve exact terminology; not asserting death triggers surrender charge or underpayment, because general cash-value context is surrender/early settlement.","finding":"MRTT006 death exclusions English refund participant-account value; Malay pays nilai tunai (cash value). MRTT00320 cash value elsewhere is PA less surrender charge upon surrender/early settlement. No replacement or language-priority rule found resolving the different benefit term.","id":"B26-002-death-refund-language","pages":[17,22,38,43],"required_evidence":"Exact language/benefit-term equivalence or applicable authoritative amendment.","status":"needs_review"}]</t>
  </si>
  <si>
    <t xml:space="preserve">delivery-batch26-20261026/review/002-result.json#/issues</t>
  </si>
  <si>
    <t xml:space="preserve">execution-evidence.json#/batches/B26/documents/review~1002-result.json/issues</t>
  </si>
  <si>
    <t xml:space="preserve">48f5284ef95dabc0c61ac9db705ca5df253f12e31a253fe3db649d1abb4ec854</t>
  </si>
  <si>
    <t xml:space="preserve">[{"clarification":"Initial English1/29 denominator differs from subsequent2–19/19, but own complete read shows continuous numbered base1–19 with all operative annexures003–010. Malay1–21 includes footer-only44. No ten missing pages inferred; no comparator reading substituted.","id":"B26-002-pagination","pages":[10,11,28,30,44,50],"status":"resolved_present_file_continuity"},{"clarification":"TPD0071.1 both languages says002, while supplied unique complete TPD definition is003. Exact operative definition is locally available; no competing TPD002 definition shown. Record literal defect and qualified mapping, not invented missing substantive definition or independent strict veto.","id":"B26-002-TPD-reference","pages":[11,12,13,23,31,32,33,45],"status":"bounded_crossreference_defect_preserved"},{"clarification":"2020 replaces principles, entire age/gender8, PA/PTF and wakalah2; deletes legal16 including old no-action-before-two-years term. Retain historical wording but do not flag live old/new conflicts.","id":"B26-002-supersession","pages":[3,4,5,6,7,8,10,15,17,20,21,30,35,38,41,42],"status":"resolved_by_explicit_amendment"},{"clarification":"Malay small-balance paragraph13.3 undersection12 matches English12.3 by content; not separate surrender rule.2020 deletion requires subsequent renumbering;2025 expressly attaches sanction28 to correctMRTT003, with no competing28text. Numbering alone does not invalidate attachment.","id":"B26-002-numbering","pages":[1,2,4,7,16,36],"status":"nonblocking_numbering_observations"},{"clarification":"Own MRTT010 uses p for profit: RSC=ISC for t0..12dp; positive [(1-v^(12n-(t-1)))/(1-v^(12pp))]ISC; zero [(12n-t)/(12pp)]ISC; same t12dp+1..12n. Atfirstpostdefer positiveISC, zero(12pp-1)/(12pp)ISC; terminal positive(1-v)/(1-v^(12pp))ISC, zero0. Death measured atdeath,TPD atonset; no explicit floor/ceil branch convention. Distinct mutually exclusive ratebranches still give a unique value for a given legal(p,t); discontinuity/unstated design rationale alone is not a substantive conflict or strict veto. No invented replacement formula, payment calculation or external actuarial claim.","id":"B26-002-formula","pages":[22,23,28,43,45,50],"status":"nonblocking_formula_design_observation"},{"clarification":"Master schedule, individual certificate and personal wakalah percentage referenced but not supplied; individual issued package not certified. Their absence alone is not unread-present-page or automatic generic-wording failure.","id":"B26-002-personal-schedule","pages":[14,27,34,48],"status":"scope_limit_not_automatic_strict_veto"},{"clarification":"Specific lesserTPD residualdeath and written continuation after financing-end qualify general termination. Both languages preserve negations; no actual contradiction or double deduction inferred. Limb definition is severance in both languages and immorality exclusion appears in both; no DTT differences imported.","id":"B26-002-specific-benefit-controls","pages":[16,22,23,24,37,43,45,46],"status":"resolved_specific_qualification"}]</t>
  </si>
  <si>
    <t xml:space="preserve">delivery-batch26-20261026/review/002-result.json#/clarifications</t>
  </si>
  <si>
    <t xml:space="preserve">execution-evidence.json#/batches/B26/documents/review~1002-result.json/clarifications</t>
  </si>
  <si>
    <t xml:space="preserve">0884708aa21aeba2cb8498bbfdc2f71ef0cd4782b2c4f53ea70bd140213f856f</t>
  </si>
  <si>
    <t xml:space="preserve">[{"actual_pdfinfo":"Encrypted yes RC4; copy no; print no","basis":"Fresh exact-member PDF metadata and permissions -3392; no formal edit","field":"encrypted","prior_v101_observed":false,"proposed_recording":"Append actual metadata observation only"}]</t>
  </si>
  <si>
    <t xml:space="preserve">delivery-batch26-20261026/review/002-result.json#/metadata_corrections</t>
  </si>
  <si>
    <t xml:space="preserve">execution-evidence.json#/batches/B26/documents/review~1002-result.json/metadata_corrections</t>
  </si>
  <si>
    <t xml:space="preserve">647632237927fe066f8295b93ff7d71d784e836f12012622d2171acdf941fbd9</t>
  </si>
  <si>
    <t xml:space="preserve">50</t>
  </si>
  <si>
    <t xml:space="preserve">{"actual_denial":false,"archive_sha256_recomputed":"d8dd60e6ef6061e4984143b9d891b5dd848b86f8833f800902ad758355a66515","checked_at_utc":"2026-10-26T21:11:20.434956+00:00","copy_allowed":false,"member_bytes":1159019,"member_sha256_recomputed":"d3fb44d1e309ce62ca9eba77bc760e13b47fb04e0c2f0569913e5453c5265ec2","needs_password":0,"pdfinfo":"Creator:         PDF-XChange Editor 6.0.322.7\nProducer:        PDF-XChange Core API SDK (6.0.322.7)\nCreationDate:    Fri Jun 26 15:59:55 2020 JST\nModDate:         Wed Jan  7 15:08:42 2026 JST\nCustom Metadata: no\nMetadata Stream: yes\nTagged:          no\nUserProperties:  no\nSuspects:        no\nForm:            none\nJavaScript:      no\nPages:           50\nEncrypted:       yes (print:no copy:no change:no addNotes:no algorithm:RC4)\nPage size:       594.75 x 842.25 pts (A4)\nPage rot:        0\nFile size:       1159019 bytes\nOptimized:       no\nPDF version:     1.7\n","permissions":-3392,"physical_pages":50,"print_allowed":false,"task_id":"B26-MY-002","text_extraction_ocr_printing_unlock_permission_change":false}</t>
  </si>
  <si>
    <t xml:space="preserve">delivery-batch26-20261026/review/002-preflight.json#</t>
  </si>
  <si>
    <t xml:space="preserve">execution-evidence.json#/batches/B26/documents/review~1002-preflight.json</t>
  </si>
  <si>
    <t xml:space="preserve">abdcf695e5e57df5eed4639bc2a2491881e25b9a4319119fb45de8350f7c14d6</t>
  </si>
  <si>
    <t xml:space="preserve">{"accepted_deltas":{"adoption":0,"full":1,"gap":0,"held":0,"original":0,"package":0,"partial":0,"primary":0,"product":0,"strict":0},"actual_denial":false,"actual_encryption":true,"all_present_pages_reliably_reviewed_in_all_languages":true,"axes":{"full":true,"held":true,"partial":false,"primary":false,"strict":false,"verification_status":"needs_review"},"baseline_canonical_record_sha256":"c65d72705e8658c34dac5274d88fac26486c2f5264eee38d8c64713793a1786f","basis":"100 pages independently read EN/MS. Master reference DTT00001/DTT00002 remains unresolved; TPD language discrepancies confirmed, and QA adds 2016 CI19(iii) AND/OR discrepancy. Full is not identity resolution.","blank_pages":[],"copy_allowed":false,"current_adoption_verified":false,"execution_all_fields_preserved_in":{"path":"independent-qa.json#/batches/B26/documents/execution-evidence-preserved-b26.json","preserve_all_fields_including_correction_basis_zoom_metadata_corrections_and_history":true,"selected_key":"execution-evidence.json#/batches/B26/documents/remaining~1003-result-v3.json","sha256":"38fa7be0d7f29c4cb459a48da5a3972ebac85cbe1ba9087d801671faf2cce6ed"},"execution_results_sha256":"6aee238a3552d993e82ec9fb84c8e93afce2b39df28cafce88da39a907169556","formal_application_performed":false,"independent_QA_accepted":true,"issues_and_clarifications":"independent-qa.json#/batches/B26/documents/last3~1issues-and-clarifications.json","original_id":"regional-20261025-553d1edd0b57d5c8","page_proof":"independent-qa.json#/batches/B26/documents/last3~1page-proof-003.json","personal_package_complete":false,"present_pages":100,"primary_scope":null,"print_allowed":false,"prior_encryption_false_history_preserved":true,"prior_task_id":"B16-MY-022","queue_id":"PENDING-553d1edd0b57d5c8","reliably_reviewed_pages":100,"selected_execution_result":{"path":"execution-evidence.json#/batches/B26/documents/remaining~1003-result-v3.json","sha256":"2be8b6c7d93cd0a6d9475477899dfdf1d5e5d64fc52aeb751a52f633f35735f8"},"source_insurer_preserved":"Sun Life Malaysia Takaful Berhad","source_owner_unchanged":true,"source_sha256":"553d1edd0b57d5c86eacd45ff45f566d81fe7f89ca046cf3fb20d2e03f2b7620","source_target_preserved":"Decreasing Term Takaful (DTT) with Optional CI Waiver Benefit Master Contract","source_target_unchanged":true,"subpackage_base":"qa-b2627-final-review-20261026/last3","task_id":"B26-MY-003","unread_pages":[]}</t>
  </si>
  <si>
    <t xml:space="preserve">独立QA问题与澄清</t>
  </si>
  <si>
    <t xml:space="preserve">[{"finding":"2016CIreplacement and Appendix supersede old MI biomarker and speech12month wording; old/new thresholds are not competing live definitions.","pages":[21,26,30,31,40,62,70,73,88,97,100]},{"finding":"2016Malay illness numbering differs fromEnglish but all36namedconditions are present; do not treat reorder as missingCI.","pages":[21,22,23,24,25,26,27,28,29,30,31,32,33,34,35,36,37,38,39,40]},{"finding":"2020replaces wakalah clause2 including correctFifth reference; oldMalay Sixth reference is superseded, not a live standalone defect.","pages":[8,12,85]},{"finding":"2020replaces age/sex treatment and funds; historical topup or oldqardwording not simultaneous live ambiguity.","pages":[6,7,10,11,53,58,79,84]},{"finding":"Physical2025duplicatepair at4–5 interruptsEnglish2020amendment; count4physicalpages, not2newproducts or separateadoptions.","pages":[1,2,3,4,5,6]},{"finding":"Both base languages skip printed3 FirstSchedule. This identifies absent schedule context and prevents namedholder inference; does not by itself veto genericbody/fullreading.","pages":[49,50,75,76]},{"finding":"Clause27 reused for2015tax/2020alterations/2025sanctions.2020renumbering and title-scoped effect prevent blindly treating everyold27asdeleted; no invented consolidatednumbering.","pages":[1,6,43,44,45,46]},{"finding":"2015RM53 tax-inclusivefee explicitlychanged; undatedRM50/RM50GST0replacementpages lack concrete chronology. Do not invent currentcustomeradoption or dates from physicalorder.","pages":[17,18,19,20,41,42]}]</t>
  </si>
  <si>
    <t xml:space="preserve">qa-b2627-final-review-20261026/issues-and-clarifications-b26.json#/last3_complete/execution_findings_complete/0/frozen_execution_clarifications_complete_unchanged</t>
  </si>
  <si>
    <t xml:space="preserve">independent-qa.json#/batches/B26/documents/issues-and-clarifications-b26.json/last3_complete/execution_findings_complete/0/frozen_execution_clarifications_complete_unchanged</t>
  </si>
  <si>
    <t xml:space="preserve">43985f55f7f8da8990b904781fa0459370b82624b9a1d07867d2d91fb571b750</t>
  </si>
  <si>
    <t xml:space="preserve">{"path":"execution-evidence.json#/batches/B26/documents/remaining~1003-result-v3.json","sha256":"2be8b6c7d93cd0a6d9475477899dfdf1d5e5d64fc52aeb751a52f633f35735f8"}</t>
  </si>
  <si>
    <t xml:space="preserve">qa-b2627-final-review-20261026/issues-and-clarifications-b26.json#/last3_complete/execution_findings_complete/0/frozen_execution_ref</t>
  </si>
  <si>
    <t xml:space="preserve">independent-qa.json#/batches/B26/documents/issues-and-clarifications-b26.json/last3_complete/execution_findings_complete/0/frozen_execution_ref</t>
  </si>
  <si>
    <t xml:space="preserve">c08072fda0185fdd648e021ad53373718684099514989995118058990779de1e</t>
  </si>
  <si>
    <t xml:space="preserve">[{"issue":"2025 English/Malay reference split DTT00001/DTT00002 remains genuine; earlier BOTH-reference amendments do not make references identical.","pages":[1,2,4,5]},{"issue":"Two-limbTPD: EN working permanentloss OR permanentloss-of-use and nonworking severance OR total-loss-of-use; MS both lists only loss2limbs. Adjacent oneeye/limb includes loss/use, making omission material; noTPDdefinitionreplacement orlanguageprevails clause established.","pages":[51,52,78]},{"issue":"TPD excludedrisks EN includes immorality while MS selfharmclause doesnot; not replaced by2016CIamendment.","pages":[61,87]},{"issue":"CI contribution1.3 EN pointsSixth whileMS Fifth; Fifthfixedfees andSixthformulas contain no statedCIrate table. Exactrate inputs are not supplied. Do not silently repair cross-reference or fabricate missingrates.","pages":[58,71,72,84,98,99]},{"classification":"nonblocking_formula_design_clarification_without_proven_admissible_case_contradiction","issue":"Both printed RSC numerator exponents visibly 12×n×(t−1), NOT 12n−(t−1). Domain t=12dp+1..12n, n=dp+pp, v=1/(1+i/12). Algebraic illustration dp=0,n=pp&gt;0,i&gt;0 yields factor0 at t1,1 at t2,&gt;1 thereafter; this contrasts with the reducing nomenclature but the file does not itself establish those specific schedule inputs as adopted or impose explicit monotonicity/initial scaling. At i=0 expression is0/0, but zero-rate eligibility is not established. Record literal notation and seek clarification; do not silently substitute minus or treat unexplained design alone as strict failure.","pages":[51,72,99]}]</t>
  </si>
  <si>
    <t xml:space="preserve">qa-b2627-final-review-20261026/issues-and-clarifications-b26.json#/last3_complete/execution_findings_complete/0/frozen_execution_unresolved_issues_complete_unchanged</t>
  </si>
  <si>
    <t xml:space="preserve">independent-qa.json#/batches/B26/documents/issues-and-clarifications-b26.json/last3_complete/execution_findings_complete/0/frozen_execution_unresolved_issues_complete_unchanged</t>
  </si>
  <si>
    <t xml:space="preserve">3d2563591c26b8e8d46546eec9e2b5abb8db2c7366bac9f6917e95f3066961bb</t>
  </si>
  <si>
    <t xml:space="preserve">"Confirmed against all present source pages and critical216dpi rereads, subject to separate QA additions and boundaries below. Literal formulas are clarifications, not standalone strict vetoes."</t>
  </si>
  <si>
    <t xml:space="preserve">qa-b2627-final-review-20261026/issues-and-clarifications-b26.json#/last3_complete/execution_findings_complete/0/independent_QA_disposition</t>
  </si>
  <si>
    <t xml:space="preserve">independent-qa.json#/batches/B26/documents/issues-and-clarifications-b26.json/last3_complete/execution_findings_complete/0/independent_QA_disposition</t>
  </si>
  <si>
    <t xml:space="preserve">779017c700b72b1e9d7e967d17fab0ca79be0bfe6f8c63eba4bdab4f60e516d4</t>
  </si>
  <si>
    <t xml:space="preserve">"553d1edd0b57d5c86eacd45ff45f566d81fe7f89ca046cf3fb20d2e03f2b7620"</t>
  </si>
  <si>
    <t xml:space="preserve">qa-b2627-final-review-20261026/issues-and-clarifications-b26.json#/last3_complete/execution_findings_complete/0/source_sha256</t>
  </si>
  <si>
    <t xml:space="preserve">independent-qa.json#/batches/B26/documents/issues-and-clarifications-b26.json/last3_complete/execution_findings_complete/0/source_sha256</t>
  </si>
  <si>
    <t xml:space="preserve">068d90f7a2453dadf18b7ea6ac80eeb2fbc01515a61489e6979ab72a5ab727af</t>
  </si>
  <si>
    <t xml:space="preserve">"B26-MY-003"</t>
  </si>
  <si>
    <t xml:space="preserve">qa-b2627-final-review-20261026/issues-and-clarifications-b26.json#/last3_complete/execution_findings_complete/0/task_id</t>
  </si>
  <si>
    <t xml:space="preserve">independent-qa.json#/batches/B26/documents/issues-and-clarifications-b26.json/last3_complete/execution_findings_complete/0/task_id</t>
  </si>
  <si>
    <t xml:space="preserve">000beb321816df739c6cd5265eebc93578f489b29215e83905f634964db00f2c</t>
  </si>
  <si>
    <t xml:space="preserve">QA-B26-003-HIV-AND-OR</t>
  </si>
  <si>
    <t xml:space="preserve">[26,36]</t>
  </si>
  <si>
    <t xml:space="preserve">{"clause":"2016-04-01 replacement CI definition19: HIV infection due to blood transfusion / Jangkitan HIV melalui Transfusi Darah, condition(iii).","effect_boundary":"Changes the stated institution/traceability condition for the same insured event. No prevailing-language or later specific correction found in the100presentpages. Do not assert an actual claim outcome, legal invalidity, or wider cover in an individual adopted certificate.","english_meaning":"The source of infection must be established as the institution that supplied the transfusion AND that institution must be able to trace the origin of HIV-tainted blood.","english_short_quote":"transfusion and the institution is able to trace","evidence":[{"dpi":216,"image_pixels":[1787,2526],"image_sha256":"6b16f22afb7aee2ff03de6a244a6abb53dca6316113bfef4b7fa53ceefd5cff5","inspection":"independent direct source visual reread","physical_page":26,"region_normalized_xyxy":[0.16,0.3,0.92,0.52],"region_note":"Manual approximate enclosing coordinates from image; no text layer/OCR used.","region_pixels_xyxy":[286,758,1644,1314],"task_id":"B26-MY-003"},{"dpi":216,"image_pixels":[1787,2526],"image_sha256":"d2c0285b5910b457a20db0d1a2643f791d24809bc01d5e2c2c41ec44412ede2a","inspection":"independent direct source visual reread","physical_page":36,"region_normalized_xyxy":[0.16,0.49,0.92,0.71],"region_note":"Manual approximate enclosing coordinates from image; no text layer/OCR used.","region_pixels_xyxy":[286,1238,1644,1793],"task_id":"B26-MY-003"}],"id":"QA-B26-003-HIV-AND-OR","identity_hold_basis":false,"kind":"new independent bilingual operative-condition discrepancy","malay_meaning":"The source of infection is from the institution supplying the transfusion OR an institution able to trace the source of HIV-tainted blood. The conjunction is literal atau, not dan.","malay_short_quote":"transfusi darah atau institusi yang boleh mengesan","next_evidence_needed":"Issuer-approved bilingual correction/prevailing-language clarification and exact applicability to DTT00001/DTT00002; no external request sent.","old_wording_boundary":"OldMS definition onp93 is superseded by2016and cannot silently repair the replacement.","physical_pages":[26,36],"same_scope_check":"Both adjacent definition19 introductions require ALL the following conditions (i)–(v): EN all of the following conditions are met; MS dengan syarat semua keadaan berikut dipenuhi. Difference is inside condition(iii), not the external all-conditions conjunction, parentheses, examples, or a different disease. Both are in the same2016replacement set, not unreconciled old versus new wording.","source_sha256":"553d1edd0b57d5c86eacd45ff45f566d81fe7f89ca046cf3fb20d2e03f2b7620","status":"needs_review","strict_blocker":true,"task_id":"B26-MY-003"}</t>
  </si>
  <si>
    <t xml:space="preserve">qa-b2627-final-review-20261026/issues-and-clarifications-b26.json#/last3_complete/new_independent_QA_issues/0</t>
  </si>
  <si>
    <t xml:space="preserve">independent-qa.json#/batches/B26/documents/issues-and-clarifications-b26.json/last3_complete/new_independent_QA_issues/0</t>
  </si>
  <si>
    <t xml:space="preserve">c80aceae06f79c2db7eccb87f023af780c80c3a464f76d713939950e5767b4f4</t>
  </si>
  <si>
    <t xml:space="preserve">QA-B26-003-FORMULA-LITERAL-BOUNDARY</t>
  </si>
  <si>
    <t xml:space="preserve">[51,72,99]</t>
  </si>
  <si>
    <t xml:space="preserve">{"boundary":"A hypothetical dp=0,positivepp/i illustration yields factor0 atfirstmonth,1 atsecondmonth and above1thereafter; reducing nomenclature/design surprise alone is not same-case contradiction. Actual schedule values, permitted zero rate, required scaling/monotonicity are not established. i=0 would be undefined0/0, but do not presume it admissible or claim all mathematical inputs executable. No actuarial reasonableness or actual shortfall assertion.","classification":"nonblocking formula/input clarification","evidence":[{"dpi":216,"image_pixels":[1785,2526],"image_sha256":"c48fc4f180c3f673de0e5ad3f0c661ea4d067d6df638cc044b3e967dbc826dbb","inspection":"independent direct source visual reread","physical_page":72,"task_id":"B26-MY-003"},{"dpi":216,"image_pixels":[1785,2526],"image_sha256":"d0f36cc5652a68cd1483ea67a079c7147ee48b6ee5bbc35edb283bda395fd81e","inspection":"independent direct source visual reread","physical_page":99,"task_id":"B26-MY-003"}],"finding":"EN/MS print RSC_t=1 for t=1..12dp, thereafter (1-v^(12*n*(t-1)))/(1-v^(12*pp)) for t=12dp+1..12n; n=dp+pp,v=1/(1+i/12). It is multiplication, not minus, and no ISC multiplier is printed. Definition describes monthly RSC. Preserve exact notation rather than borrowing005formula.","id":"QA-B26-003-FORMULA-LITERAL-BOUNDARY","physical_pages":[51,72,99],"strict_blocker":false,"task_id":"B26-MY-003"}</t>
  </si>
  <si>
    <t xml:space="preserve">qa-b2627-final-review-20261026/issues-and-clarifications-b26.json#/last3_complete/independent_clarifications/0</t>
  </si>
  <si>
    <t xml:space="preserve">independent-qa.json#/batches/B26/documents/issues-and-clarifications-b26.json/last3_complete/independent_clarifications/0</t>
  </si>
  <si>
    <t xml:space="preserve">8aac77073fc5d757eab30b0dc96a6cf9b067c7783ff23c14002ae3522456747c</t>
  </si>
  <si>
    <t xml:space="preserve">QA-B26-003-REPLACEMENT-AND-CHRONOLOGY</t>
  </si>
  <si>
    <t xml:space="preserve">[3,6,7,8,9,10,11,12,17,18,19,20,21,30,31,40,41,42,47,85]</t>
  </si>
  <si>
    <t xml:space="preserve">{"classification":"resolved/historical boundary","finding":"2016replaces36CIdefinitions/ADL; EN/MS ordering differs but all36present, oldthresholds notlivecontradictions. 2020replacesage/sex, fund, wakalah andcorrectsMSwakalahappendix toFifth; oldSixth referencep85notlive. 2013CIMBAviva→SunLifeTakafulnamechange explicit. RM53GST6dated2015versusundatedRM50andseparateRM50GST0endorsements remain separately recorded; no invented precedence/date/currenttax.","id":"QA-B26-003-REPLACEMENT-AND-CHRONOLOGY","physical_pages":[3,6,7,8,9,10,11,12,17,18,19,20,21,30,31,40,41,42,47,85],"strict_blocker":false,"task_id":"B26-MY-003"}</t>
  </si>
  <si>
    <t xml:space="preserve">qa-b2627-final-review-20261026/issues-and-clarifications-b26.json#/last3_complete/independent_clarifications/1</t>
  </si>
  <si>
    <t xml:space="preserve">independent-qa.json#/batches/B26/documents/issues-and-clarifications-b26.json/last3_complete/independent_clarifications/1</t>
  </si>
  <si>
    <t xml:space="preserve">bb267af4b6a835b888b627c8dec2dc781375c462eaa7b8aee1d943e67e3bc981</t>
  </si>
  <si>
    <t xml:space="preserve">{"base_edition":"Undated/unestablished; PDF creation2019/modification2026 are not base edition.","body_issuer":"CIMB Aviva Takaful Berhad, bridged in-file to Sun Life Malaysia Takaful Berhad effective19August2013","body_product":"Decreasing Term Takaful (DTT) with Optional CI Waiver Benefit","holder":"Not named in supplied pages; defined by missing first schedule. No inferred bank or reassignment.","master_codes":"2025 EN DTT00001 vs MS DTT00002; earlier common amendments expressly both. No base code or schedule to prove each2025 language is counterpart of same master.","role":"main-containing bilingual composite, not rider-only or endorsement-only"}</t>
  </si>
  <si>
    <t xml:space="preserve">delivery-batch26-20261026/remaining/003-result-v3.json#/identity</t>
  </si>
  <si>
    <t xml:space="preserve">execution-evidence.json#/batches/B26/documents/remaining~1003-result-v3.json/identity</t>
  </si>
  <si>
    <t xml:space="preserve">0e83cf32f0084ca976a6db5a2d218dd2a1c521362b38b89b0469f6e2f4177bbe</t>
  </si>
  <si>
    <t xml:space="preserve">[{"date":"2025-07-01","identity_and_effect":"Sanction endorsement Third27; duplicate pair at4–5, EN DTT00001/MS DTT00002","language":"EN/MS","physical_pages":[1,2,4,5]},{"date":"2020-07-01","identity_and_effect":"Both DTT references; principles/definitions, age/sex, alterations, fund and wakalah replacement","language":"EN/MS","physical_pages":[3,6,7,8,9,10,11,12]},{"date":"2019-07-01","identity_and_effect":"Both references; law/regulation change Third9.2","language":"EN/MS","physical_pages":[13,14]},{"date":"2019-07-01 in MS; EN unspecified effective date","identity_and_effect":"Both references; smallpayments≤RM10/year and surplus/investmentprofit eligibility","language":"EN/MS","physical_pages":[15,16]},{"date":"No concrete date stated","identity_and_effect":"Both references; Fifth2.1 RM50orPA lesser","language":"EN/MS","physical_pages":[17,18]},{"date":"No concrete date stated","identity_and_effect":"Both references; Fifth2.1 RM50 inclGST0%orPA lesser","language":"EN/MS","physical_pages":[19,20]},{"date":"2016-04-01","identity_and_effect":"Both references; replaces36CI definitions and Appendix","language":"EN","physical_pages":[21,22,23,24,25,26,27,28,29,30]},{"date":"2016-04-01","identity_and_effect":"Both references; same36namedCI reordered, Appendix replaced","language":"MS","physical_pages":[31,32,33,34,35,36,37,38,39,40]},{"date":"2015-04-01","identity_and_effect":"RM53incl6%GST surrender replacement; corporate govtservice tax deleted","language":"EN/MS","physical_pages":[41,42]},{"date":"2015-01-01","identity_and_effect":"Materialinformation/IFSA misrepresentation clause replaced; tax/FATCA added; TPDcommencement addition","language":"EN/MS","physical_pages":[43,44,45,46]},{"date":"2013-08-19","identity_and_effect":"Namechange CIMB Aviva Takaful Berhad→Sun Life Malaysia Takaful Berhad","language":"EN/MS","physical_pages":[47]},{"date":"Base date not printed/established","identity_and_effect":"DTT with Optional CI Waiver base printed1,2,4–27","language":"EN","physical_pages":[48,49,50,51,52,53,54,55,56,57,58,59,60,61,62,63,64,65,66,67,68,69,70,71,72,73]},{"date":"Base date not printed/established","identity_and_effect":"Same base title printed1,2,4–28","language":"MS","physical_pages":[74,75,76,77,78,79,80,81,82,83,84,85,86,87,88,89,90,91,92,93,94,95,96,97,98,99,100]}]</t>
  </si>
  <si>
    <t xml:space="preserve">delivery-batch26-20261026/remaining/003-result-v3.json#/component_map</t>
  </si>
  <si>
    <t xml:space="preserve">execution-evidence.json#/batches/B26/documents/remaining~1003-result-v3.json/component_map</t>
  </si>
  <si>
    <t xml:space="preserve">f4c0d747d6c4d2cd7d50a86f8f3e62e698dc3ed01447ff3b2ae3a17238590979</t>
  </si>
  <si>
    <t xml:space="preserve">delivery-batch26-20261026/remaining/003-result-v3.json#/unresolved_issues</t>
  </si>
  <si>
    <t xml:space="preserve">execution-evidence.json#/batches/B26/documents/remaining~1003-result-v3.json/unresolved_issues</t>
  </si>
  <si>
    <t xml:space="preserve">delivery-batch26-20261026/remaining/003-result-v3.json#/clarifications</t>
  </si>
  <si>
    <t xml:space="preserve">execution-evidence.json#/batches/B26/documents/remaining~1003-result-v3.json/clarifications</t>
  </si>
  <si>
    <t xml:space="preserve">{"amendment_precedence":"Only explicitreplacement/addition byname,date,scope; unknownadoption remainsunknown.","formula_severity":"Identity and TPD language issues independently hold strict; mathematical nomenclature concern alone is not conclusive contradiction.","method":"Exactmemberbytes + ordinaryreadonlyvisual allpages; targeted216dpi criticalcodes/negations/formulas. No extractedtext/OCR.","not_customer_or_legal_advice":true,"source_labels_not_body_truth":true}</t>
  </si>
  <si>
    <t xml:space="preserve">delivery-batch26-20261026/remaining/003-result-v3.json#/correction_basis</t>
  </si>
  <si>
    <t xml:space="preserve">execution-evidence.json#/batches/B26/documents/remaining~1003-result-v3.json/correction_basis</t>
  </si>
  <si>
    <t xml:space="preserve">f25adf39ae1bf88102f2c8cc697807abb11ae4f2a389811142dce7f75911c0a9</t>
  </si>
  <si>
    <t xml:space="preserve">[{"basis":"100of100semanticpageproof; independentlyQArequired","field":"full_content_review_complete","proposed":true},{"basis":"Physicalallpages","field":"component_map","proposed":"2025duplicatepairs,interleaved2020,allamendments,EN26pages/MS27pages,missingprinted3inboth"},{"basis":"216dpi1/2 plusallcommonamendments","field":"single_master_reference","proposed":"Do not assign; preserve DTT00001/DTT00002 language-specificsplit"},{"basis":"Base definitions andabsentFirstSchedule","field":"holder","proposed":"Schedule-defined; no namedholderestablished"},{"baseline_v101":false,"basis":"Exact sourceSHA preflight pdfinfo encryptedRC4; permissions−3392,copyfalse/printfalse,needs_password0. Password-free view does not mean unencrypted. Baseline nested PDFmetadata already saysStandardV4R4 128-bitRC4.","field":"encrypted","formal_change":false,"proposed":true}]</t>
  </si>
  <si>
    <t xml:space="preserve">delivery-batch26-20261026/remaining/003-result-v3.json#/metadata_corrections</t>
  </si>
  <si>
    <t xml:space="preserve">execution-evidence.json#/batches/B26/documents/remaining~1003-result-v3.json/metadata_corrections</t>
  </si>
  <si>
    <t xml:space="preserve">4e5cb77e60ae4786720264a64fb6ab7f075aa230de91cf0c21f7b36c55d6c63e</t>
  </si>
  <si>
    <t xml:space="preserve">100</t>
  </si>
  <si>
    <t xml:space="preserve">{"actual_denial":false,"archive_sha256_recomputed":"d8dd60e6ef6061e4984143b9d891b5dd848b86f8833f800902ad758355a66515","checked_at_utc":"2026-10-26T21:05:25.919132+00:00","copy_allowed":false,"member_bytes":4023585,"member_sha256_recomputed":"553d1edd0b57d5c86eacd45ff45f566d81fe7f89ca046cf3fb20d2e03f2b7620","needs_password":0,"pdfinfo":"Creator:         PDF-XChange Editor 6.0.322.7\nProducer:        PDF-XChange Core API SDK (6.0.322.7)\nCreationDate:    Fri Dec  6 18:52:30 2019 JST\nModDate:         Wed Jan  7 14:54:42 2026 JST\nCustom Metadata: no\nMetadata Stream: yes\nTagged:          no\nUserProperties:  no\nSuspects:        no\nForm:            none\nJavaScript:      no\nPages:           100\nEncrypted:       yes (print:no copy:no change:no addNotes:no algorithm:RC4)\nPage size:       594.75 x 842.25 pts (A4)\nPage rot:        0\nFile size:       4023585 bytes\nOptimized:       no\nPDF version:     1.7\n","permissions":-3392,"physical_pages":100,"print_allowed":false,"task_id":"B26-MY-003","text_extraction_ocr_printing_unlock_permission_change":false}</t>
  </si>
  <si>
    <t xml:space="preserve">delivery-batch26-20261026/remaining/003-preflight.json#</t>
  </si>
  <si>
    <t xml:space="preserve">execution-evidence.json#/batches/B26/documents/remaining~1003-preflight.json</t>
  </si>
  <si>
    <t xml:space="preserve">35ba855e688a7f8da259f9791251963f1ea09be22c55960619e2c14636e110c5</t>
  </si>
  <si>
    <t xml:space="preserve">{"accepted_deltas":{"adoption":0,"full":1,"gap":0,"held":0,"original":0,"package":0,"partial":0,"primary":0,"product":0,"strict":0},"actual_denial":false,"actual_encryption":true,"all_present_pages_reliably_reviewed_in_all_languages":true,"axes":{"full":true,"held":true,"partial":false,"primary":false,"strict":false,"verification_status":"needs_review"},"baseline_canonical_record_sha256":"da5cefa54924860e6aded2e3f314f22c1a5b019eded4e9b7f650c212a23acbd0","basis":"63 pages independently read EN/MS. SSE1117/Angkatan/SMS003 versus SSE0918/SSE003 and base IVSB is an unresolved actual holder/master/annex identity chain.","blank_pages":[],"copy_allowed":false,"current_adoption_verified":false,"execution_all_fields_preserved_in":{"path":"independent-qa.json#/batches/B26/documents/execution-evidence-preserved-b26.json","preserve_all_fields_including_correction_basis_zoom_metadata_corrections_and_history":true,"selected_key":"execution-evidence.json#/batches/B26/documents/remaining~1004-result.json","sha256":"38fa7be0d7f29c4cb459a48da5a3972ebac85cbe1ba9087d801671faf2cce6ed"},"execution_results_sha256":"6aee238a3552d993e82ec9fb84c8e93afce2b39df28cafce88da39a907169556","formal_application_performed":false,"independent_QA_accepted":true,"issues_and_clarifications":"independent-qa.json#/batches/B26/documents/last3~1issues-and-clarifications.json","original_id":"regional-20261025-b56d423ae6d70d1c","page_proof":"independent-qa.json#/batches/B26/documents/last3~1page-proof-004.json","personal_package_complete":false,"present_pages":63,"primary_scope":null,"print_allowed":true,"prior_encryption_false_history_preserved":true,"prior_task_id":"B18-MY-011","queue_id":"PENDING-b56d423ae6d70d1c","reliably_reviewed_pages":63,"selected_execution_result":{"path":"execution-evidence.json#/batches/B26/documents/remaining~1004-result.json","sha256":"53d90ea931309cefb86da4e2bf1318d14d446bbdbe175c0fec2ec10a5d442b75"},"source_insurer_preserved":"Sun Life Malaysia Takaful Berhad","source_owner_unchanged":true,"source_sha256":"b56d423ae6d70d1cfcf990eeb7b414b8c701f027c9104bd915c94361059648ec","source_target_preserved":"Sun ShieldEasy-i Master Contract","source_target_unchanged":true,"subpackage_base":"qa-b2627-final-review-20261026/last3","task_id":"B26-MY-004","unread_pages":[]}</t>
  </si>
  <si>
    <t xml:space="preserve">{"frozen_execution_clarifications_complete_unchanged":[{"finding":"Printedtotalvariation reconciled: actualEN26pages (11–36) coversprinted1,2,3,5–27;MS27pages(37–63) covers1,2,3,5–28. Contentsfooterstale26/27 but allbenefitannexespresent. Missingprinted4master schedule inboth is distinctfromfooterinconsistency.","pages":[12,13,14,36,38,39,40,63]},{"finding":"2019TPDdefinition explicitly replaces priorwording ONLYcertificatesissuedfrom1July2019withinSSE0918. Oldlosslimb versusnewseverance is not a free-floating simultaneous definition conflict; unknowncustomerissuance notautomaticallystrictveto.","pages":[7,8,9,10,18,44]},{"finding":"2019explicitreplacement13.3 and26.6 boundsoldsmallpaymentcharitywording foritsSSE0918scope.2020replaces/deletesstatedclauses inSSE1117/SMS003scope; do notcallthoseold/newtermslivecontradictions, but cannot automaticallyapply2020toIVSB.","pages":[1,2,3,4,5,6,8,10,20,24,47,51]},{"finding":"Death/TPD residualbalance exceptions explicitlyqualify generalterminationuponTPD; notan unexplained absolutecontradiction.","pages":[21,29,30,32,33,47,56,57,59,60]},{"finding":"Publicconveyancebenefit isadditional100%ofaccidentaldeath; tableRM400k correspondscombined2×RM200k, notRM400kadditional. Renewal0/10/20% applieslistedfivebenefitclasses, notfuneral.","pages":[14,34,35,40,61,62]},{"finding":"SSE004exclusions applyonlyifbenefitannexincorporates; funeralSSE011hasnoreference andstatesallcauses. Do not importmosquito/infectionaccidentexclusions intoinfectiousbenefit orfuneral.","pages":[26,27,28,36,53,54,55,63]},{"finding":"ENaccidentaldeathclaimsubclause4.2–4.4underheading3 versusMS3.1–3.3 is a numbering issue; correspondingtextpresent.","pages":[31,58]}],"frozen_execution_ref":{"path":"execution-evidence.json#/batches/B26/documents/remaining~1004-result.json","sha256":"53d90ea931309cefb86da4e2bf1318d14d446bbdbe175c0fec2ec10a5d442b75"},"frozen_execution_unresolved_issues_complete_unchanged":[{"classification":"blocking_identity_componentmapping","issue":"Noexplicitbridgefrom2020SSE1117holderAngkatan/SMS003to baseIVSB/SSE003or2019SSE0918. Sameproducttitleandmatchingclausenames donotestablishsamecontract.","pages":[1,4,7,9,18,44]},{"classification":"language_clarification_not_independent_adoption_inference","issue":"Surrender14.1 ENnextcontributionduedate, MS uses ulangtahun sumbangan patut dibayar (contribution anniversarydue wording). Paymentfrequencymaychange under19.3; no languageprevails/clarifyingendorsement established. Preserve literal phrasing ratherthan silentlytranslateasidentical; potentialoperative-datevariation requiresclarification.","pages":[21,22,47,49]}],"independent_QA_disposition":"Confirmed against all present source pages and critical216dpi rereads, subject to separate QA additions and boundaries below. Literal formulas are clarifications, not standalone strict vetoes.","source_sha256":"b56d423ae6d70d1cfcf990eeb7b414b8c701f027c9104bd915c94361059648ec","task_id":"B26-MY-004"}</t>
  </si>
  <si>
    <t xml:space="preserve">qa-b2627-final-review-20261026/issues-and-clarifications-b26.json#/last3_complete/execution_findings_complete/1</t>
  </si>
  <si>
    <t xml:space="preserve">independent-qa.json#/batches/B26/documents/issues-and-clarifications-b26.json/last3_complete/execution_findings_complete/1</t>
  </si>
  <si>
    <t xml:space="preserve">d8cf1d5d4f3d3704297db703b44cbf9e0d4f1fb72e8251aee6d92133ff0dfdeb</t>
  </si>
  <si>
    <t xml:space="preserve">[14,21,25,26,27,29,30,32,33,34,36,40,47,52,53,54,56,57,59,60,61,63]</t>
  </si>
  <si>
    <t xml:space="preserve">{"classification":"no automatic contradiction","evidence":[{"dpi":216,"image_pixels":[1786,2526],"image_sha256":"bcb29bda143b18221f6538bae9725eb1ffca6df1fc66b26db8fb0d0ce971c5fa","inspection":"independent direct source visual reread","physical_page":25,"task_id":"B26-MY-004"},{"dpi":216,"image_pixels":[1786,2526],"image_sha256":"0c3814c79666aea07b0573f31c68558c9290d0a97febee29e90d1348b0bbd3cb","inspection":"independent direct source visual reread","physical_page":27,"task_id":"B26-MY-004"},{"dpi":216,"image_pixels":[1786,2526],"image_sha256":"8a70faf33748cc30b0bd07aa85b58ce7224121bada4b1c323b73e28b97ffdef3","inspection":"independent direct source visual reread","physical_page":52,"task_id":"B26-MY-004"},{"dpi":216,"image_pixels":[1786,2526],"image_sha256":"b6547da132d2ee2a20c5de4f0fbe8d6a6c1d8dc1a3b6eae16fd0c08c18ddaec3","inspection":"independent direct source visual reread","physical_page":54,"task_id":"B26-MY-004"}],"finding":"Specific continueddeathbenefit whenTPDlessdeathsum qualifies generaltermination; it is not an unexplained same-case conflict. Publicconveyanceadditional100%of200kaccidental gives400kcombined, not400kextra/600k. SSE004exclusions apply only if benefit refers: funeralallcausesSSE011doesnotrefer, so do not import accident exclusions. Recreation30specifically listsropeless/guidelessmountaineering whilebroadaccidenthazardslistsmountaineering; preserve specificgrant/broadexclusion relationship as harmonization clarification, not automatically assert universal coverage or a new blocking contradiction.","id":"QA-B26-004-SPECIFIC-BENEFIT-SCOPES","physical_pages":[14,21,25,26,27,29,30,32,33,34,36,40,47,52,53,54,56,57,59,60,61,63],"strict_blocker":false,"task_id":"B26-MY-004"}</t>
  </si>
  <si>
    <t xml:space="preserve">qa-b2627-final-review-20261026/issues-and-clarifications-b26.json#/last3_complete/independent_clarifications/2</t>
  </si>
  <si>
    <t xml:space="preserve">independent-qa.json#/batches/B26/documents/issues-and-clarifications-b26.json/last3_complete/independent_clarifications/2</t>
  </si>
  <si>
    <t xml:space="preserve">1ed66915bad17a39afe2c99cf23dc29400c537cb70fdc5eab99121119fcef07d</t>
  </si>
  <si>
    <t xml:space="preserve">{"annex_code":"Baseand2019SSE003 vs2020SMS003. Correspondingclausenames align but cannot silentlycorrectSMS orconflateholders.","base_edition":"Undated; PDFcreation/modification2July2020 are notbaseeffective date.","body_product":"Sun ShieldEasy-i","holder":"BaseEnglishp18/Malayp44 definesYOU/ANDA as Innovate Ventures Sdn Bhd(IVSB); 2020endorsement names Angkatan Koperasi Kebangsaan Malaysia Berhad. Neither treated as sourceownerreassignment.","issuer":"Sun Life Malaysia Takaful Berhad throughout; no historicalissuerchange present","master_codes":"2019endorsementSSE0918;2020endorsementSSE1117. No presentedmaster-schedulecode orholdertransfer/novation/namechange bridge.","role":"main-containing bilingualcompositewith2amendmentsets"}</t>
  </si>
  <si>
    <t xml:space="preserve">delivery-batch26-20261026/remaining/004-result.json#/identity</t>
  </si>
  <si>
    <t xml:space="preserve">execution-evidence.json#/batches/B26/documents/remaining~1004-result.json/identity</t>
  </si>
  <si>
    <t xml:space="preserve">56a3f8d14dcc39dfc0bdb6b27ddb276f86c0e19bce02899da1b65e4cd213ba86</t>
  </si>
  <si>
    <t xml:space="preserve">[{"date":"2020-07-01","identity_and_effect":"SSE1117 issuedAngkatan;SMS003scope;definitions/agegender/legalproceedings/reinstatement/wakalah/tabarrufund changes","language":"EN","physical_pages":[1,2,3]},{"date":"2020-07-01","identity_and_effect":"Same2020endorsementidentity andchanges","language":"MS","physical_pages":[4,5,6]},{"date":"2019-07-01","identity_and_effect":"SSE0918/SSE003;TPDdefinitiononlycertificatesissuedfromdate;smallpayments andsurplus","language":"EN","physical_pages":[7,8]},{"date":"2019-07-01","identity_and_effect":"Same2019identity/scope","language":"MS","physical_pages":[9,10]},{"date":"Baseeditionundated","identity_and_effect":"SunShieldEasy-i main; printed1–3,5–27, contentsfooter2of26; YOU=IVSB","language":"EN","physical_pages":[11,12,13,14,15,16,17,18,19,20,21,22,23,24,25,26,27,28,29,30,31,32,33,34,35,36]},{"date":"Baseeditionundated","identity_and_effect":"SunShieldEasy-i main; printed1–3,5–28, contentsfooter2of27; ANDA=IVSB","language":"MS","physical_pages":[37,38,39,40,41,42,43,44,45,46,47,48,49,50,51,52,53,54,55,56,57,58,59,60,61,62,63]}]</t>
  </si>
  <si>
    <t xml:space="preserve">delivery-batch26-20261026/remaining/004-result.json#/component_map</t>
  </si>
  <si>
    <t xml:space="preserve">execution-evidence.json#/batches/B26/documents/remaining~1004-result.json/component_map</t>
  </si>
  <si>
    <t xml:space="preserve">c32276c83bb05889bee63153544e466d96ec2f923f5d5a877af9c48077bcd244</t>
  </si>
  <si>
    <t xml:space="preserve">[{"EN_pages":[13],"MS_pages":[39],"annex":"SSE001","content":"introduction"},{"EN_pages":[14],"MS_pages":[40],"annex":"SSE002","content":"benefit/fee continuation only; printed4master schedule absentboth"},{"EN_pages":[15,16,17,18,19,20,21,22,23,24,25],"MS_pages":[41,42,43,44,45,46,47,48,49,50,51,52],"annex":"SSE003","content":"definitions/generalconditions"},{"EN_pages":[26,27],"MS_pages":[53,54],"annex":"SSE004","content":"scopedgeneralexclusions"},{"EN_pages":[28],"MS_pages":[55],"annex":"SSE005","content":"specifiedinfectiousdeath"},{"EN_pages":[29,30],"MS_pages":[56,57],"annex":"SSE006","content":"specifiedinfectiousTPD"},{"EN_pages":[31],"MS_pages":[58],"annex":"SSE007","content":"accidentaldeath"},{"EN_pages":[32,33],"MS_pages":[59,60],"annex":"SSE008","content":"accidentalTPD"},{"EN_pages":[34],"MS_pages":[61],"annex":"SSE009","content":"publicconveyanceadditional100%"},{"EN_pages":[35],"MS_pages":[62],"annex":"SSE010","content":"renewalbonus"},{"EN_pages":[36],"MS_pages":[63],"annex":"SSE011","content":"allcausesfuneral"}]</t>
  </si>
  <si>
    <t xml:space="preserve">delivery-batch26-20261026/remaining/004-result.json#/annex_map</t>
  </si>
  <si>
    <t xml:space="preserve">execution-evidence.json#/batches/B26/documents/remaining~1004-result.json/annex_map</t>
  </si>
  <si>
    <t xml:space="preserve">c8251fe0fcb4ef503e13059c6c49bf3391d9ddd60d426937173dc8e1583e195e</t>
  </si>
  <si>
    <t xml:space="preserve">[{"classification":"blocking_identity_componentmapping","issue":"Noexplicitbridgefrom2020SSE1117holderAngkatan/SMS003to baseIVSB/SSE003or2019SSE0918. Sameproducttitleandmatchingclausenames donotestablishsamecontract.","pages":[1,4,7,9,18,44]},{"classification":"language_clarification_not_independent_adoption_inference","issue":"Surrender14.1 ENnextcontributionduedate, MS uses ulangtahun sumbangan patut dibayar (contribution anniversarydue wording). Paymentfrequencymaychange under19.3; no languageprevails/clarifyingendorsement established. Preserve literal phrasing ratherthan silentlytranslateasidentical; potentialoperative-datevariation requiresclarification.","pages":[21,22,47,49]}]</t>
  </si>
  <si>
    <t xml:space="preserve">delivery-batch26-20261026/remaining/004-result.json#/unresolved_issues</t>
  </si>
  <si>
    <t xml:space="preserve">execution-evidence.json#/batches/B26/documents/remaining~1004-result.json/unresolved_issues</t>
  </si>
  <si>
    <t xml:space="preserve">f24998906b79a62ea0c0b9cc8b995092bc8b5f4afb8eb14578ffab37e5227274</t>
  </si>
  <si>
    <t xml:space="preserve">[{"finding":"Printedtotalvariation reconciled: actualEN26pages (11–36) coversprinted1,2,3,5–27;MS27pages(37–63) covers1,2,3,5–28. Contentsfooterstale26/27 but allbenefitannexespresent. Missingprinted4master schedule inboth is distinctfromfooterinconsistency.","pages":[12,13,14,36,38,39,40,63]},{"finding":"2019TPDdefinition explicitly replaces priorwording ONLYcertificatesissuedfrom1July2019withinSSE0918. Oldlosslimb versusnewseverance is not a free-floating simultaneous definition conflict; unknowncustomerissuance notautomaticallystrictveto.","pages":[7,8,9,10,18,44]},{"finding":"2019explicitreplacement13.3 and26.6 boundsoldsmallpaymentcharitywording foritsSSE0918scope.2020replaces/deletesstatedclauses inSSE1117/SMS003scope; do notcallthoseold/newtermslivecontradictions, but cannot automaticallyapply2020toIVSB.","pages":[1,2,3,4,5,6,8,10,20,24,47,51]},{"finding":"Death/TPD residualbalance exceptions explicitlyqualify generalterminationuponTPD; notan unexplained absolutecontradiction.","pages":[21,29,30,32,33,47,56,57,59,60]},{"finding":"Publicconveyancebenefit isadditional100%ofaccidentaldeath; tableRM400k correspondscombined2×RM200k, notRM400kadditional. Renewal0/10/20% applieslistedfivebenefitclasses, notfuneral.","pages":[14,34,35,40,61,62]},{"finding":"SSE004exclusions applyonlyifbenefitannexincorporates; funeralSSE011hasnoreference andstatesallcauses. Do not importmosquito/infectionaccidentexclusions intoinfectiousbenefit orfuneral.","pages":[26,27,28,36,53,54,55,63]},{"finding":"ENaccidentaldeathclaimsubclause4.2–4.4underheading3 versusMS3.1–3.3 is a numbering issue; correspondingtextpresent.","pages":[31,58]}]</t>
  </si>
  <si>
    <t xml:space="preserve">delivery-batch26-20261026/remaining/004-result.json#/clarifications</t>
  </si>
  <si>
    <t xml:space="preserve">execution-evidence.json#/batches/B26/documents/remaining~1004-result.json/clarifications</t>
  </si>
  <si>
    <t xml:space="preserve">c075842776a3b9b4ca6fb7acb93a1cb28c06d4f19c00fa875ae2691b94821784</t>
  </si>
  <si>
    <t xml:space="preserve">{"amendment_precedence":"Explicit replacement recognized onlywithin identifiedmaster/reference/date scope; identityconflict preventscross-masterautomaticconsolidation","method":"ExactmemberSHAandpermissions, all63ordinaryreadonlyvisual144dpi semanticnotes, targeted216dpi codes/holders/amounts/negations","no_source_or_owner_mutation":true}</t>
  </si>
  <si>
    <t xml:space="preserve">delivery-batch26-20261026/remaining/004-result.json#/correction_basis</t>
  </si>
  <si>
    <t xml:space="preserve">execution-evidence.json#/batches/B26/documents/remaining~1004-result.json/correction_basis</t>
  </si>
  <si>
    <t xml:space="preserve">edc1954c21bb8a451fe24435d4f79de936423ba6554086f0ca1b17dcb8c35c62</t>
  </si>
  <si>
    <t xml:space="preserve">[{"basis":"63of63semanticread, separateverificationneeds_review","field":"content_review_status","proposed":"full"},{"basis":"all63pages","field":"component_map","proposed":"2amendmentsets andEN26/MS27basepagesmapped; stalefooter totals notmissingbenefitannexes"},{"baseline_v101":false,"basis":"ExactSHApreflightRC4 permissions−3388 copyfalse/printtrue needs_password0; no print performed. Baseline nestedPDFmetadataRC4.","field":"encrypted","formal_change":false,"proposed":true},{"basis":"216dpi1/4/7/9/18/44","field":"holder/master/annex","proposed":"Preservethreeobservedidentityaxes ratherthanrename;2020Angkatan/SSE1117/SMS003,2019SSE0918/SSE003,baseIVSB/SSE003"}]</t>
  </si>
  <si>
    <t xml:space="preserve">delivery-batch26-20261026/remaining/004-result.json#/metadata_corrections</t>
  </si>
  <si>
    <t xml:space="preserve">execution-evidence.json#/batches/B26/documents/remaining~1004-result.json/metadata_corrections</t>
  </si>
  <si>
    <t xml:space="preserve">7cb663c900f8d3c3624b35ffe6736e78d1dbc5c2e65ca3fb31589945aa9c57a6</t>
  </si>
  <si>
    <t xml:space="preserve">63</t>
  </si>
  <si>
    <t xml:space="preserve">{"actual_denial":false,"archive_sha256_recomputed":"d8dd60e6ef6061e4984143b9d891b5dd848b86f8833f800902ad758355a66515","checked_at_utc":"2026-10-26T21:19:16.872607+00:00","copy_allowed":false,"member_bytes":1364857,"member_sha256_recomputed":"b56d423ae6d70d1cfcf990eeb7b414b8c701f027c9104bd915c94361059648ec","needs_password":0,"pdfinfo":"Creator:         PDF-XChange Editor 6.0.322.7\nProducer:        PDF-XChange Core API SDK (6.0.322.7)\nCreationDate:    Thu Jul  2 12:08:40 2020 JST\nModDate:         Thu Jul  2 12:11:10 2020 JST\nCustom Metadata: no\nMetadata Stream: yes\nTagged:          no\nUserProperties:  no\nSuspects:        no\nForm:            none\nJavaScript:      no\nPages:           63\nEncrypted:       yes (print:yes copy:no change:no addNotes:no algorithm:RC4)\nPage size:       594.96 x 842.04 pts (A4)\nPage rot:        0\nFile size:       1364857 bytes\nOptimized:       no\nPDF version:     1.7\n","permissions":-3388,"physical_pages":63,"print_allowed":true,"task_id":"B26-MY-004","text_extraction_ocr_printing_unlock_permission_change":false}</t>
  </si>
  <si>
    <t xml:space="preserve">delivery-batch26-20261026/remaining/004-preflight.json#</t>
  </si>
  <si>
    <t xml:space="preserve">execution-evidence.json#/batches/B26/documents/remaining~1004-preflight.json</t>
  </si>
  <si>
    <t xml:space="preserve">361e71519ee76696b639122719edd985a02966da4adb419b3c3ecdb7c62bd0ff</t>
  </si>
  <si>
    <t xml:space="preserve">{"accepted_deltas":{"adoption":0,"full":1,"gap":0,"held":-1,"original":0,"package":0,"partial":0,"primary":1,"product":0,"strict":0},"actual_denial":false,"actual_encryption":true,"all_present_pages_reliably_reviewed_in_all_languages":true,"axes":{"full":true,"held":false,"partial":false,"primary":true,"strict":false,"verification_status":"needs_review"},"baseline_canonical_record_sha256":"44079869443553b72748085921bc6e8c983f88918543bb8598dcaf1420287690","basis":"47 pages including blank29 independently read EN/MS. MS cover, dual eligibility, MROC0220 endorsements and operative death/TPD/final ROC benefits establish a bounded Business Financing master with integrated rider. Source generic label omission is not opposing identity. Surrender-charge appendix gap and Facility scope discrepancy preserve strict=false.","blank_pages":[29],"copy_allowed":false,"current_adoption_verified":false,"execution_all_fields_preserved_in":{"path":"independent-qa.json#/batches/B26/documents/execution-evidence-preserved-b26.json","preserve_all_fields_including_correction_basis_zoom_metadata_corrections_and_history":true,"selected_key":"execution-evidence.json#/batches/B26/documents/remaining~1005-result-v2.json","sha256":"38fa7be0d7f29c4cb459a48da5a3972ebac85cbe1ba9087d801671faf2cce6ed"},"execution_results_sha256":"6aee238a3552d993e82ec9fb84c8e93afce2b39df28cafce88da39a907169556","formal_application_performed":false,"independent_QA_accepted":true,"issues_and_clarifications":"independent-qa.json#/batches/B26/documents/last3~1issues-and-clarifications.json","original_id":"regional-20261025-2c7725270f76af8d","page_proof":"independent-qa.json#/batches/B26/documents/last3~1page-proof-005.json","personal_package_complete":false,"present_pages":47,"primary_scope":"Business Financing MRTT master contract with integrated ROC only; not unqualified all variants or standalone ROC","print_allowed":false,"prior_encryption_false_history_preserved":true,"prior_task_id":"B18-MY-016","queue_id":"PENDING-2c7725270f76af8d","reliably_reviewed_pages":47,"selected_execution_result":{"path":"execution-evidence.json#/batches/B26/documents/remaining~1005-result-v2.json","sha256":"f947cdb6ad51831514de1f0fb033dc11ced2fac2dc6921368128b44ad1ff6ccb"},"source_insurer_preserved":"Sun Life Malaysia Takaful Berhad","source_owner_unchanged":true,"source_sha256":"2c7725270f76af8d58c017ce5e3cf93f400b109acdcb043e5529fd32f984e24a","source_target_preserved":"Mortgage Reducing Term Takaful with Refund of Contribution (MRTT ROC)","source_target_unchanged":true,"subpackage_base":"qa-b2627-final-review-20261026/last3","task_id":"B26-MY-005","unread_pages":[]}</t>
  </si>
  <si>
    <t xml:space="preserve">[{"finding":"BusinessFinancingisoperativeeligibilityandMScover,notsolelyfooter. Frozenbroadtitleisunderqualifiedratherthancontradictory;preserveitandaddqualificationproposalonly.","id":"identity-qualification","pages":[7,8,11,27,33]},{"finding":"RefundofContributionriderisactivelyintegratedintodeath/TPD/finalbenefit. Do notrequireanunobservedseparateriderastheonlywaytoestablishrelationship.","id":"integrated-ROC","pages":[19,21,24,40,42,45]},{"finding":"2020expresslydeleteslegal18andreplacescash27/fund1/wakalah2. Historicaloldwordingretainedforcomponentmapnotliveold-newconflict. Neither2020nor2025replacesFacility1.1eorsurrendercharge29/MROC009.","id":"explicit-replacement","pages":[1,2,3,4,5,6,14,17,18,35,37,38,39]},{"finding":"1.5specificlowerTPDRSCconditionlimitsTPDpaymentandcontinuesproportionallyreduceddeathcover;1.2generalROCadditionisnotreadwithoutthatcondition. RM2maggregatecapexpresslyexcludesROC;donotimportotherproductcap.","id":"conditional-TPD","pages":[21,42]},{"finding":"Namedholder,actualfee,ISC/deferment/repayment/profitrateandpersonaladoptionnotprovided. MROC002absentandMSphysical29blankarelimitationsnotaloneprimary/full/strictveto. Wakalahfeeexplicitlydelegatedtocertificateunlikesurrenderchargereference.","id":"schedule-not-veto","pages":[10,25,29,32,46]},{"finding":"216dpiEN26/MS47: RSC=ISC,t1..12dp; RSC=(1-v^((12*n)-(t-1)))/(1-v^(12*pp))*ISC,t12dp+1..12n;v=1/(1+p/12),n=dp+pp,p=profitrate,t=durationinmonthsfromcertcommencement. Nozero-ratebranchinthisproduct. Forp&gt;0andpp&gt;0,firstrepaymentmonthgivesISC,lastlegalt=12ngives(1-v)/(1-v^(12pp))*ISC&gt;0;theformulauniquelyspecifiestheseintegerobservationpoints. NeitherMROC010norbenefitsdemandszeroatlastlistedmonth;survivalbenefit/expiryseparatelygoverntermend. Do notimposecontinuityorpostpaymentobservationpoint. p=0wouldmake0/0,butactualadmissibility/inputnotshown;retainnonblockinginputclarification,notfabricatedcontradiction.","id":"RSC-product-specific","pages":[9,21,24,26,30,42,45,47],"strict_blocker":false},{"finding":"MSintro2of23butlater4–21of21;ENsurpluseligibility4.2vsMS3.2;2025MSMROC003headingbenefitconditionsinsteadgeneral. Operativeclausesidentifiable;layout/headingissuesnotproofmissingwholebenefitannexes.","id":"numbering-layout","pages":[2,25,28,30,46,47]}]</t>
  </si>
  <si>
    <t xml:space="preserve">qa-b2627-final-review-20261026/issues-and-clarifications-b26.json#/last3_complete/execution_findings_complete/2/frozen_execution_clarifications_complete_unchanged</t>
  </si>
  <si>
    <t xml:space="preserve">independent-qa.json#/batches/B26/documents/issues-and-clarifications-b26.json/last3_complete/execution_findings_complete/2/frozen_execution_clarifications_complete_unchanged</t>
  </si>
  <si>
    <t xml:space="preserve">f59928507ab68064f881d3add30951d2e10e1df63df4f457213fa60910215110</t>
  </si>
  <si>
    <t xml:space="preserve">{"path":"execution-evidence.json#/batches/B26/documents/remaining~1005-result-v2.json","sha256":"f947cdb6ad51831514de1f0fb033dc11ced2fac2dc6921368128b44ad1ff6ccb"}</t>
  </si>
  <si>
    <t xml:space="preserve">qa-b2627-final-review-20261026/issues-and-clarifications-b26.json#/last3_complete/execution_findings_complete/2/frozen_execution_ref</t>
  </si>
  <si>
    <t xml:space="preserve">independent-qa.json#/batches/B26/documents/issues-and-clarifications-b26.json/last3_complete/execution_findings_complete/2/frozen_execution_ref</t>
  </si>
  <si>
    <t xml:space="preserve">a3874eda3381cf5cc998eeb1def0cd9694859017335b01516e2235a2377bdfdf</t>
  </si>
  <si>
    <t xml:space="preserve">[{"finding":"MROC00329.1bothlanguagesimposessurrenderchargeasshowninMROC009,butthatappendixhasONLYwakalahfee(certificate),RM10stamp,and50/50surplus. Itcontainsnosurrenderchargeamount,formula,orchargereferraltocertificate. 2020cash27replacementsayscashVALUEamountvariescoverageperiodandtimeofsurrender;itdoesnotfill29.1referencedcharge. Exactamountunknownbecauseofliveunfulfilledcrossreference,notmerelyabsentpersonalcertificate. Do notassumezerochargeorcopyotherproductrate.","id":"surrender-charge-crossreference","pages":[3,5,16,25,37,46],"severity":"needs_review_strict_blocking"},{"finding":"MROC0031.1(e)ENFacility=financingofferedbyholder;MSKemudahan=pembiayaansewabeli(hire-purchasefinancing)offeredbyholder. Both4.1saybusinessfinancing. Thedefinitionsdifferinfinancingtypebreadthwithpossibleeffectsonfacility-linkedinterest/settlement/continuation;noobservedendorsementresolvesorlanguagepriorityclause. Thisisbody-languagequalificationdifference,notproofdifferentinsureroractualholder.","id":"Facility-bilingual-scope","pages":[9,30],"severity":"needs_review"}]</t>
  </si>
  <si>
    <t xml:space="preserve">qa-b2627-final-review-20261026/issues-and-clarifications-b26.json#/last3_complete/execution_findings_complete/2/frozen_execution_unresolved_issues_complete_unchanged</t>
  </si>
  <si>
    <t xml:space="preserve">independent-qa.json#/batches/B26/documents/issues-and-clarifications-b26.json/last3_complete/execution_findings_complete/2/frozen_execution_unresolved_issues_complete_unchanged</t>
  </si>
  <si>
    <t xml:space="preserve">0229bb1178ceb8d2f3feafbf78f6ae2cae7085be81a763f91f349a1fabb2f0dd</t>
  </si>
  <si>
    <t xml:space="preserve">qa-b2627-final-review-20261026/issues-and-clarifications-b26.json#/last3_complete/execution_findings_complete/2/independent_QA_disposition</t>
  </si>
  <si>
    <t xml:space="preserve">independent-qa.json#/batches/B26/documents/issues-and-clarifications-b26.json/last3_complete/execution_findings_complete/2/independent_QA_disposition</t>
  </si>
  <si>
    <t xml:space="preserve">"2c7725270f76af8d58c017ce5e3cf93f400b109acdcb043e5529fd32f984e24a"</t>
  </si>
  <si>
    <t xml:space="preserve">qa-b2627-final-review-20261026/issues-and-clarifications-b26.json#/last3_complete/execution_findings_complete/2/source_sha256</t>
  </si>
  <si>
    <t xml:space="preserve">independent-qa.json#/batches/B26/documents/issues-and-clarifications-b26.json/last3_complete/execution_findings_complete/2/source_sha256</t>
  </si>
  <si>
    <t xml:space="preserve">49366414c7312c0be16ed3b33aae273640fede2cb861af2f351bf12cc0094c9d</t>
  </si>
  <si>
    <t xml:space="preserve">"B26-MY-005"</t>
  </si>
  <si>
    <t xml:space="preserve">qa-b2627-final-review-20261026/issues-and-clarifications-b26.json#/last3_complete/execution_findings_complete/2/task_id</t>
  </si>
  <si>
    <t xml:space="preserve">independent-qa.json#/batches/B26/documents/issues-and-clarifications-b26.json/last3_complete/execution_findings_complete/2/task_id</t>
  </si>
  <si>
    <t xml:space="preserve">db9b8a587d7327bbc8534f52e015c27d01f00501c356302943037a57bfb27cd4</t>
  </si>
  <si>
    <t xml:space="preserve">QA-B26-005-BOUNDED-PRIMARY</t>
  </si>
  <si>
    <t xml:space="preserve">[1,2,3,5,7,8,11,19,21,24,27,33,40,42,45]</t>
  </si>
  <si>
    <t xml:space="preserve">{"classification":"identity clarification accepted","credit_boundary":"No new original, independent product, current adoption, complete personal package or gap closure. Only QA full+1/primary+1/identityheld−1 for thisoriginal; no formal application.","finding":"BusinessFinancing explicit in MScover, botheligibility4.1andENfooters; consistent MROC0220endorsements andMROCannexes. Death/TPD/finalbenefits containoperativeROCpayments. Thus accepted primary is only the existing first-party BusinessFinancingMRTTmasterwithintegratedROC, not a standalone rider or unqualifiedallvariantsmapping. Genericfrozenlabelunderqualification is preserved, not renamed. Holderremainsunknownschedule-defined.","id":"QA-B26-005-BOUNDED-PRIMARY","physical_pages":[1,2,3,5,7,8,11,19,21,24,27,33,40,42,45],"strict_blocker":false,"task_id":"B26-MY-005"}</t>
  </si>
  <si>
    <t xml:space="preserve">qa-b2627-final-review-20261026/issues-and-clarifications-b26.json#/last3_complete/independent_clarifications/3</t>
  </si>
  <si>
    <t xml:space="preserve">independent-qa.json#/batches/B26/documents/issues-and-clarifications-b26.json/last3_complete/independent_clarifications/3</t>
  </si>
  <si>
    <t xml:space="preserve">44cff653b928d383f219495e5e2c4848512df2fed9a675c5e358237953230f61</t>
  </si>
  <si>
    <t xml:space="preserve">QA-B26-005-FORMULA-DOMAIN</t>
  </si>
  <si>
    <t xml:space="preserve">[9,24,26,30,45,47]</t>
  </si>
  <si>
    <t xml:space="preserve">{"classification":"nonblocking product-specific formula/input clarification","evidence":[{"dpi":216,"image_pixels":[1787,2527],"image_sha256":"d1ec130a26a1b7238f44f82493c3d2de22538fae67cb8a6e8a7ba98f723240e7","inspection":"independent direct source visual reread","physical_page":26,"task_id":"B26-MY-005"},{"dpi":216,"image_pixels":[1787,2527],"image_sha256":"17f5f3e29f42f6f8325d3503a286003242e3512d252b8fd74e510e8715112598","inspection":"independent direct source visual reread","physical_page":47,"task_id":"B26-MY-005"}],"finding":"Minusindex andISCmultiplier confirmed bothlanguages. Forp&gt;0,pp&gt;0, firstlistedrepaymentmonth givesISC and lastlistedmonth gives((1-v)/(1-v^(12*pp)))*ISC, generallypositive. Textdoesnotdemandzeroatthatlistedmonth; expiry/survivalseparatelyspecified. No continuity/post-paymenttime convention is imposed.","id":"QA-B26-005-FORMULA-DOMAIN","input_boundary":"No zero-ratebranch printed. p=0 gives0/0 and therefore this is NOT a declaration of executability for all mathematical inputs. Actualcertificateinputs andwhetherzero-ratefacilityisadmissible are unestablished; request that input/domain evidence before determining zero-rate failure. Missingcontinuityexplanation ornonzerolastmonthaloneisnot a strictveto. No silentformula repair, actuarialapproval, or actualpayout allegation.","literal":"RSC_t=ISC for t=1,2,...,12*dp. RSC_t=((1-v^((12*n)-(t-1)))/(1-v^(12*pp)))*ISC for t=(12*dp)+1,...,12*n. v=1/(1+p/12);n=dp+pp;p=profit rate;t=months from certificate commencement.","physical_pages":[9,24,26,30,45,47],"strict_blocker":false,"task_id":"B26-MY-005"}</t>
  </si>
  <si>
    <t xml:space="preserve">qa-b2627-final-review-20261026/issues-and-clarifications-b26.json#/last3_complete/independent_clarifications/4</t>
  </si>
  <si>
    <t xml:space="preserve">independent-qa.json#/batches/B26/documents/issues-and-clarifications-b26.json/last3_complete/independent_clarifications/4</t>
  </si>
  <si>
    <t xml:space="preserve">b9cd4077e69635dca6814318abfbd6e6ef02efaec31560eb8dbb19b0b8432298</t>
  </si>
  <si>
    <t xml:space="preserve">QA-B26-005-INCONTESTABILITY-DATE-WORDING</t>
  </si>
  <si>
    <t xml:space="preserve">[12,34]</t>
  </si>
  <si>
    <t xml:space="preserve">{"classification":"additional bilingual timing clarification","english_short_quote":"certificate commencement date","evidence":[{"dpi":216,"image_pixels":[1787,2527],"image_sha256":"a5e274b34e9d82a7e332211d63a02fa419cc43eaee27185837b518032b307ca5","inspection":"independent direct source visual reread","physical_page":12,"region_normalized_xyxy":[0.09,0.69,0.92,0.79],"region_note":"Manual approximate enclosing coordinates from image; no text layer/OCR used.","region_pixels_xyxy":[161,1744,1644,1996],"task_id":"B26-MY-005"},{"dpi":216,"image_pixels":[1787,2527],"image_sha256":"58773de2098143e6cc85f2ceb0061414cd82185d84b4022a91fb3d5b4770a386","inspection":"independent direct source visual reread","physical_page":34,"region_normalized_xyxy":[0.09,0.13,0.92,0.24],"region_note":"Manual approximate enclosing coordinates from image; no text layer/OCR used.","region_pixels_xyxy":[161,329,1644,606],"task_id":"B26-MY-005"}],"finding":"General11.2ENtwo-yearincontestability uses commencementdate; MSusesdatecertificateissued. Bothhavefraudexception. Source definition distinguishes commencementstart but noactualissued/commencedates supplied. Preserve wording andseek confirmation ifdatesdiffer; do not fabricate an adoptedcase or count this alone as a newstrictveto.","id":"QA-B26-005-INCONTESTABILITY-DATE-WORDING","malay_short_quote":"tarikh sijil dikeluarkan","physical_pages":[12,34],"strict_blocker":false,"task_id":"B26-MY-005"}</t>
  </si>
  <si>
    <t xml:space="preserve">qa-b2627-final-review-20261026/issues-and-clarifications-b26.json#/last3_complete/independent_clarifications/5</t>
  </si>
  <si>
    <t xml:space="preserve">independent-qa.json#/batches/B26/documents/issues-and-clarifications-b26.json/last3_complete/independent_clarifications/5</t>
  </si>
  <si>
    <t xml:space="preserve">3983b76202adbfc435bf92d680bec93fa5f78a31d85aed9bc4d1463ff77b0456</t>
  </si>
  <si>
    <t xml:space="preserve">QA-B26-005-SELF-INJURY-QUALIFIER</t>
  </si>
  <si>
    <t xml:space="preserve">[19,21,40,43]</t>
  </si>
  <si>
    <t xml:space="preserve">{"classification":"additional lexical-scope clarification","english_short_quote":"intentional self-injury","evidence":[{"dpi":216,"image_pixels":[1787,2527],"image_sha256":"db639784d2e2dd73a1537cb3f3a4bb9b89d3bd3df2e22b80c1afa6b1ebc27ad9","inspection":"independent direct source visual reread","physical_page":19,"task_id":"B26-MY-005"},{"dpi":216,"image_pixels":[1787,2527],"image_sha256":"601d83f75530eeb1ee3e6aa1b8562ad4f8feecd1768f476a0ab954268032d711","inspection":"independent direct source visual reread","physical_page":21,"task_id":"B26-MY-005"},{"dpi":216,"image_pixels":[1787,2527],"image_sha256":"031d6ceb4557360b9ae5564c940ad879f60db1c17ddbe1eb19f793de85d4a67a","inspection":"independent direct source visual reread","physical_page":40,"task_id":"B26-MY-005"},{"dpi":216,"image_pixels":[1787,2527],"image_sha256":"0a2d2e1de911fead878a4d3664ec3c94aa2dd800fc99e71689d9b5e089f6a1c8","inspection":"independent direct source visual reread","physical_page":43,"task_id":"B26-MY-005"}],"finding":"Deathadditionalaccidentalexclusion2.2(d)andTPD2.1(d)ENexplicitlyqualifiesintentional; MSselfinjuryphrase has no explicit sengaja. Context may conveyintentionalselfharm; record wording andask confirmation rather than assert accidentalselfinjuryisactuallyexcluded or create an independent strictveto. Bothlanguagesincludeimmorality here, unlike003.","id":"QA-B26-005-SELF-INJURY-QUALIFIER","malay_short_quote":"kecederaan ke atas diri sendiri","physical_pages":[19,21,40,43],"strict_blocker":false,"task_id":"B26-MY-005"}</t>
  </si>
  <si>
    <t xml:space="preserve">qa-b2627-final-review-20261026/issues-and-clarifications-b26.json#/last3_complete/independent_clarifications/6</t>
  </si>
  <si>
    <t xml:space="preserve">independent-qa.json#/batches/B26/documents/issues-and-clarifications-b26.json/last3_complete/independent_clarifications/6</t>
  </si>
  <si>
    <t xml:space="preserve">f8252754e4a92c3259dc403b34237d403d35d935664f6069a4437714fd68b5ef</t>
  </si>
  <si>
    <t xml:space="preserve">QA-B26-005-CONDITIONAL-TPD-AND-FEES</t>
  </si>
  <si>
    <t xml:space="preserve">[3,5,13,16,20,21,23,25,34,37,41,42,44,46]</t>
  </si>
  <si>
    <t xml:space="preserve">{"classification":"specific conditions and true missingcomponent distinguished","finding":"SpecificTPD1.5 lowerTPDRSCcase conditionlimits paymentandcontinuesproportionallyreduceddeath; general1.2ROCaddition not read unconditionally. RM2maggregatecap expresslyexcludesROC. Specificresidualdeath/financingexitcontinuation exceptions qualifygeneraltermination. 2020cash27replacement varies CASHVALUE, not a suppliedsurrenderchargeformula; wakalahfeedelegation tocertificate cannot fill separate29.1→009chargegap. MissingMROC002/personalcertificatealone isnot a veto.","id":"QA-B26-005-CONDITIONAL-TPD-AND-FEES","physical_pages":[3,5,13,16,20,21,23,25,34,37,41,42,44,46],"strict_blocker":false,"task_id":"B26-MY-005"}</t>
  </si>
  <si>
    <t xml:space="preserve">qa-b2627-final-review-20261026/issues-and-clarifications-b26.json#/last3_complete/independent_clarifications/7</t>
  </si>
  <si>
    <t xml:space="preserve">independent-qa.json#/batches/B26/documents/issues-and-clarifications-b26.json/last3_complete/independent_clarifications/7</t>
  </si>
  <si>
    <t xml:space="preserve">e05fc01eaa9754d0bfc0c7e54dd1f6cd14603ddfaaeeeae2826c4832e5370e23</t>
  </si>
  <si>
    <t xml:space="preserve">{"business_financing_qualification":"ENfooterp8onwardandeligibility4.1p11;MScoverp27andeligibility4.1p33. GenericENcover/source-target omits,butdoesnotdeny,thisqualification. Firstpartycontractidentitycanbeproposedwiththisboundary,notanunqualifiedallvariantsmapping.","holder":"Schedule-definedYOU/ANDA(ENp10,MS32);noactualnamedholderestablished","holder_change":"No namedholdertransfer/novationwithin47pages;do not infer anybank/distributor asholder","individual_adoption":"Unknown;nogeneralproductadoptionorpersonalscheduleassumption","issuer":"Sun Life Malaysia Takaful Berhad","observed_master_reference":"MROC0220 inbothdatedendorsementsets;MROC001–010baseannexfamily","rider_relationship":"Integratedmaster+riderterms,notrider-only. DeathMROC006:deathRSC+paidridercontribution,accidentadditional100%ridercontribution. TPD MROC007similarlysubjectspecific1.5lowerTPDRSCcap;1.6riderendsTPDpay;1.7RM2maggregatecapexcludingROC. MROC008survivaltotermreturnsbasic+ridercontributionexcludingservicetax. MissingseparateROCleafdoesnotmeanmissingrideroperativebody.","source_label_preserved":true}</t>
  </si>
  <si>
    <t xml:space="preserve">delivery-batch26-20261026/remaining/005-result-v2.json#/identity</t>
  </si>
  <si>
    <t xml:space="preserve">execution-evidence.json#/batches/B26/documents/remaining~1005-result-v2.json/identity</t>
  </si>
  <si>
    <t xml:space="preserve">00e60f1227823184bfb9770c9a17e4b297b88bbcd4eddf682c654019aae6d5de</t>
  </si>
  <si>
    <t xml:space="preserve">[{"annex":"MROC003","effect":"Adds sanctions exclusion clause30;renumberfollowingifany. No cover/claim/reimbursement/contribution acceptance if prohibited;may suspend/terminate/voidcoverage andtransactions. MSheadingbenefitconditions mismatchdoesnotchangeexplicitMROC003/cl30.","effective_date":"2025-12-06","language_sequence":["EN","MS"],"master_reference":"MROC0220","physical_pages":[1,2],"type":"endorsement"},{"effect":"MROC003deletelegal18entirely;replacecash27. MROC004replacefundclause1collectivefund/coveroncontribution/investmentexpenses/qard/surplusMROC009. MROC005replacewakalahclause2includingnegligenceanddissolutionrefund. Otherprovisionsunchanged.","effective_date":"2020-07-01","language_blocks":{"EN":[3,4],"MS":[5,6]},"master_reference":"MROC0220","physical_pages":[3,4,5,6],"type":"endorsement"},{"edition_date":"not independently printed;do not infer edition date fromMROC0220orPDFmetadata","identity":"GroupMortgageReducingTermTakafultoBusinessFinancingapplicantswithintegratedRefundofContributionRider","language":"EN","physical_pages":[7,8,9,10,11,12,13,14,15,16,17,18,19,20,21,22,23,24,25,26],"printed_pages":"1–20;coverunnumberedbutfirstposition","schedule":"MROC002absent;introMROC001directlyfollowedMROC003withoutprintedpagehole","type":"base_master_contract"},{"identity":"MalaycoverexplicitBusinessFinancingwithRefundofContributionRider","language":"MS","physical_pages":[27,28,29,30,31,32,33,34,35,36,37,38,39,40,41,42,43,44,45,46,47],"printed_pages":"coverposition1;intro2;physical29blankposition3;general4–11thenannex12–21","schedule":"MROC002notpresent;physical29blank. Introfooter2of23stale,actualfinal21of21;not evidence oftwoadditionalmissingbenefitpages","type":"base_master_contract"}]</t>
  </si>
  <si>
    <t xml:space="preserve">delivery-batch26-20261026/remaining/005-result-v2.json#/component_map</t>
  </si>
  <si>
    <t xml:space="preserve">execution-evidence.json#/batches/B26/documents/remaining~1005-result-v2.json/component_map</t>
  </si>
  <si>
    <t xml:space="preserve">902a45bfb74e5215f494b6ddf0649f2deac28e5a4d7c48266f5080b55765df2c</t>
  </si>
  <si>
    <t xml:space="preserve">[{"EN":[8],"MS":[28],"code":"MROC001","function":"Introduction"},{"EN":[],"MS":[],"code":"MROC002","function":"Mastercontractschedule","status":"notpresent;holder/personalvariablesnotestablished"},{"EN":[9,10,11,12,13,14,15,16],"MS":[30,31,32,33,34,35,36,37],"code":"MROC003","function":"Generalconditions"},{"EN":[17],"MS":[38],"code":"MROC004","function":"Fundconditions","replacement":"2020clause1"},{"EN":[18],"MS":[39],"code":"MROC005","function":"Contributionsandcharges","replacement":"2020clause2"},{"EN":[19,20],"MS":[40,41],"code":"MROC006","function":"DeathbenefitwithROCpayments"},{"EN":[21,22,23],"MS":[42,43,44],"code":"MROC007","function":"TPDbenefitwithROCpayments"},{"EN":[24],"MS":[45],"code":"MROC008","function":"Finalsurvivalbenefit"},{"EN":[25],"MS":[46],"code":"MROC009","function":"Wakalahfees/stamp/surplus"},{"EN":[26],"MS":[47],"code":"MROC010","function":"RSCformula"}]</t>
  </si>
  <si>
    <t xml:space="preserve">delivery-batch26-20261026/remaining/005-result-v2.json#/annex_map</t>
  </si>
  <si>
    <t xml:space="preserve">execution-evidence.json#/batches/B26/documents/remaining~1005-result-v2.json/annex_map</t>
  </si>
  <si>
    <t xml:space="preserve">b48a0f7d9c9be4b3d755028b64abe375e0f56db179379993e423e38efa20b9aa</t>
  </si>
  <si>
    <t xml:space="preserve">delivery-batch26-20261026/remaining/005-result-v2.json#/unresolved_issues</t>
  </si>
  <si>
    <t xml:space="preserve">execution-evidence.json#/batches/B26/documents/remaining~1005-result-v2.json/unresolved_issues</t>
  </si>
  <si>
    <t xml:space="preserve">delivery-batch26-20261026/remaining/005-result-v2.json#/clarifications</t>
  </si>
  <si>
    <t xml:space="preserve">execution-evidence.json#/batches/B26/documents/remaining~1005-result-v2.json/clarifications</t>
  </si>
  <si>
    <t xml:space="preserve">[{"after":"FullcomponentchainandMScover/dualeligibilityestablishBusinessFinancingMRTTROCmasterwithintegratedrider;boundedprimaryproposalTrue;sourceunchanged","basis":"All47pagesplus216dpi11/27/33/19/21/24/42/45","before":"GenericMRTTROCtargetversusBusinessFinancingbodywithfullriderrelationshippending","field":"priorheldvariantmapping"},{"after":"Precisewording:cashVALUEamountvariescoverageperiod/time;chargeissubtractedbutitsrate/formulanotprovidedby2020replacement","basis":"216dpi3/5;originalpagenotespreserved,separatecorrectionhere","before":"Earlierworkingabbreviationcouldsuggestsurrenderchargevariesbycoverageperiod/time","field":"cashvalue-summary"},{"after":"216dpiconfirmedminusindex(12*n)-(t-1),nozero-ratebranch;nonblockingproduct-specificboundaryanalysisrecorded","basis":"216dpi26/47","before":"Initialpageproof26/47requested216dpiconfirmation","field":"formula-summary"},{"after":"full;verificationseparatelyneeds_review","basis":"47uniquephysicalpagessemanticproof,notdisplaycounts","before":null,"field":"content-review-axis"},{"after":false,"basis":"SeparateidentityholdproposalfromformalbaselineunchangedpendingQA. Complete47pagereviewestablishesboundedprimaryidentity;strictFalsebecausebodyissuesnotidentitymismatch. v1preserved.","before":true,"field":"proposed_axes.held"}]</t>
  </si>
  <si>
    <t xml:space="preserve">delivery-batch26-20261026/remaining/005-result-v2.json#/correction_basis</t>
  </si>
  <si>
    <t xml:space="preserve">execution-evidence.json#/batches/B26/documents/remaining~1005-result-v2.json/correction_basis</t>
  </si>
  <si>
    <t xml:space="preserve">f1e65021faac78ea6e717605c6b1b97d6fa9c99022f4824a519e2dd02ce29f9a</t>
  </si>
  <si>
    <t xml:space="preserve">[{"baseline_v101":null,"basis":"47of47semanticproof;pendingindependentQA","field":"content_review_status","formal_change":false,"proposed":"full"},{"baseline_v101":false,"basis":"Cover/eligibility/annex/endorsementchain,notfullalone","field":"is_primary","formal_change":false,"proposed":true,"scope":"BusinessFinancingMRTTROCmasteronly"},{"basis":"MROC003general/004fund/005contrib/006death/007TPD/008final/009fees/010formula","field":"document_role","formal_change":false,"proposed":"master_contract_with_integrated_ROC_rider_business_financing_variant"},{"baseline_v101":false,"basis":"ExactSHApreflightRC4,permissions−3392,copyfalse/printfalse,needs_password0;baseline nestedPDFmetadataalreadyRC4. Password-freeviewnotunencrypted.","field":"encrypted","formal_change":false,"proposed":true},{"basis":"MROC0220iscode;PDFcreation2020-06-26/modification2026-01-09notbasecontractedition","field":"edition_date","formal_change":false,"proposed":"Keep2020-07-01and2025-12-06endorsementdatesseparate;basenotexplicitlydated"},{"basis":"EN10/MS32andabsentMROC002","field":"holder","formal_change":false,"proposed":"schedule-definedunknown;nospecificbank/holderinferred"}]</t>
  </si>
  <si>
    <t xml:space="preserve">delivery-batch26-20261026/remaining/005-result-v2.json#/metadata_corrections</t>
  </si>
  <si>
    <t xml:space="preserve">execution-evidence.json#/batches/B26/documents/remaining~1005-result-v2.json/metadata_corrections</t>
  </si>
  <si>
    <t xml:space="preserve">524fd782cfeba05694be1ae9cfc192a7f38121a9e89ef48be7f87f7fe902e5ff</t>
  </si>
  <si>
    <t xml:space="preserve">47</t>
  </si>
  <si>
    <t xml:space="preserve">{"actual_denial":false,"archive_sha256_recomputed":"d8dd60e6ef6061e4984143b9d891b5dd848b86f8833f800902ad758355a66515","checked_at_utc":"2026-10-26T21:27:35.980678+00:00","copy_allowed":false,"member_bytes":1458689,"member_sha256_recomputed":"2c7725270f76af8d58c017ce5e3cf93f400b109acdcb043e5529fd32f984e24a","needs_password":0,"pdfinfo":"Creator:         PDF-XChange Editor 6.0.322.7\nProducer:        PDF-XChange Core API SDK (6.0.322.7)\nCreationDate:    Fri Jun 26 15:09:19 2020 JST\nModDate:         Fri Jan  9 15:55:30 2026 JST\nCustom Metadata: no\nMetadata Stream: yes\nTagged:          no\nUserProperties:  no\nSuspects:        no\nForm:            none\nJavaScript:      no\nPages:           47\nEncrypted:       yes (print:no copy:no change:no addNotes:no algorithm:RC4)\nPage size:       595.5 x 842.25 pts (A4)\nPage rot:        0\nFile size:       1458689 bytes\nOptimized:       no\nPDF version:     1.7\n","permissions":-3392,"physical_pages":47,"print_allowed":false,"task_id":"B26-MY-005","text_extraction_ocr_printing_unlock_permission_change":false}</t>
  </si>
  <si>
    <t xml:space="preserve">delivery-batch26-20261026/remaining/005-preflight.json#</t>
  </si>
  <si>
    <t xml:space="preserve">execution-evidence.json#/batches/B26/documents/remaining~1005-preflight.json</t>
  </si>
  <si>
    <t xml:space="preserve">234bab048a12319e2b61fd7f495d98931ac0e0d9c1cbccc1fb8bea857bda7898</t>
  </si>
  <si>
    <t xml:space="preserve">{"accepted_deltas":{"adoption":0,"full":1,"gap":0,"original":0,"package":0,"partial":-1,"primary":0,"product":0,"strict":0},"all_present_pages_reliably_reviewed_in_all_languages":true,"axes":{"full":true,"partial":false,"primary":false,"strict":false,"verification_status":"needs_review"},"basis":"Independent direct BI reading of every page and EN comparison; all8 source questions preserved. Full is comprehension/coverage, not translation equivalence or legal validation. Primary remains unsupported named-product role; strict remains0.","execution_manifest_sha256":"243a1e6f0efb5163b5e342cccb2cc90a123e93077d10d2014ee3ec3cf852f8e3","execution_result_sha256":"6787652e3a28a6c6d9514164c638979a96711b6951e762bba3ecbf074b1bc0ac","formal_application_performed":false,"independent_QA_accepted":true,"network_requests":0,"present_pages":18,"prior_partial_history_preserved":true,"public_release_authorized":false,"reliably_reviewed_pages":18,"source_owner_unchanged":true,"source_sha256":"590309d959b7ae50b98eae81041181a8c12d16d124fd9092106b428f7666a5aa","task_id":"B27-ID-001","unread_pages":[]}</t>
  </si>
  <si>
    <t xml:space="preserve">独立QA八项问题与澄清</t>
  </si>
  <si>
    <t xml:space="preserve">CL-01</t>
  </si>
  <si>
    <t xml:space="preserve">{"basis":["execution-evidence.json#/batches/B27/documents/B27-ID-001~1page-proof.json","provenance-and-equivalence.json#/historical_locator_fingerprints/6011429e4f82d583bc2955ce4858580d72be84288ba0f4a3b3c8dce7e09e6daf"],"clarification":"Full describes reliable direct reading of all supplied18 pages in both substantive languages. Detected ambiguity or conflicting wording is preserved as a finding; it is not a claim of bilingual equivalence, issuer intent, legal validity or complete contract package. Proposal remains needs_review.","id":"CL-01","subject":"Full review versus wording verification"}</t>
  </si>
  <si>
    <t xml:space="preserve">qa-b2627-final-review-20261026/issues-and-clarifications-b27.json#/clarifications/0</t>
  </si>
  <si>
    <t xml:space="preserve">independent-qa.json#/batches/B27/documents/issues-and-clarifications-b27.json/clarifications/0</t>
  </si>
  <si>
    <t xml:space="preserve">1f2cdf933b29b0cede9d6adbe536c48bb0dcc331b4842b1581beb7c89d2a6d42</t>
  </si>
  <si>
    <t xml:space="preserve">CL-02</t>
  </si>
  <si>
    <t xml:space="preserve">{"basis":["execution-evidence.json#/batches/B27/documents/B27-ID-001~1frozen-task.json","execution-evidence.json#/batches/B27/documents/B27-ID-001~1frozen-actual-record.json"],"clarification":"B4 partial was accurate for its explicitly limited governing-language review. B27 adds a new independent visual BI reading; it does not retroactively relabel B4 or overwrite its result/page-proof/accepted QA.","id":"CL-02","subject":"Prior partial history"}</t>
  </si>
  <si>
    <t xml:space="preserve">qa-b2627-final-review-20261026/issues-and-clarifications-b27.json#/clarifications/1</t>
  </si>
  <si>
    <t xml:space="preserve">independent-qa.json#/batches/B27/documents/issues-and-clarifications-b27.json/clarifications/1</t>
  </si>
  <si>
    <t xml:space="preserve">27ce0157ef1b68673ed04351e3787c66ada4b47490287d62c23e3a802e019e09</t>
  </si>
  <si>
    <t xml:space="preserve">CL-03</t>
  </si>
  <si>
    <t xml:space="preserve">{"basis":["execution-evidence.json#/batches/B27/documents/B27-ID-001~1page-proof.json","execution-evidence.json#/batches/B27/documents/B27-ID-001~1frozen-actual-record.json"],"clarification":"Asuransi MAG / A Fairfax Company branding is visible on all18 pages. The old odd-page evidence list was non-exhaustive, already noted by B4 QA. PT Asuransi Multi Artha Guna Tbk remains frozen source attribution, not a full corporate-name verification in the operative body.","id":"CL-03","subject":"Brand and legal entity"}</t>
  </si>
  <si>
    <t xml:space="preserve">qa-b2627-final-review-20261026/issues-and-clarifications-b27.json#/clarifications/2</t>
  </si>
  <si>
    <t xml:space="preserve">independent-qa.json#/batches/B27/documents/issues-and-clarifications-b27.json/clarifications/2</t>
  </si>
  <si>
    <t xml:space="preserve">6f6eefb7508351e98b8e583e3f01bcae3105d14d83289b3068c3c591a8de7060</t>
  </si>
  <si>
    <t xml:space="preserve">CL-04</t>
  </si>
  <si>
    <t xml:space="preserve">{"basis":["execution-evidence.json#/batches/B27/documents/B27-ID-001~1page-proof.json"],"clarification":"PSATSI-AAUI2021/MAG2021 appears as footer code on the supplied wording. It is version evidence, not an exact effective date or current named-product adoption. No new public-source acquisition, current-sale or product attribution claim.","id":"CL-04","subject":"Version versus effectiveness/adoption"}</t>
  </si>
  <si>
    <t xml:space="preserve">qa-b2627-final-review-20261026/issues-and-clarifications-b27.json#/clarifications/3</t>
  </si>
  <si>
    <t xml:space="preserve">independent-qa.json#/batches/B27/documents/issues-and-clarifications-b27.json/clarifications/3</t>
  </si>
  <si>
    <t xml:space="preserve">22b0514325502407b8074e29a9f4f245d0733c92b9d3da1b6a928fcd0d1fa1dd</t>
  </si>
  <si>
    <t xml:space="preserve">CL-05</t>
  </si>
  <si>
    <t xml:space="preserve">{"basis":["execution-evidence.json#/batches/B27/documents/B27-ID-001~1page-proof.json"],"clarification":"The body is18 consecutive printed pages ending Article28 and governing-language note. Absent named schedule/proposal/claim records are not automatically missing public standard-body annexures. Generic schedule-template necessity and any adopted endorsements are unknown; package completeness remains not established, separately from file reading and body questions.","id":"CL-05","subject":"Components not automatic file-level disqualifiers"}</t>
  </si>
  <si>
    <t xml:space="preserve">qa-b2627-final-review-20261026/issues-and-clarifications-b27.json#/clarifications/4</t>
  </si>
  <si>
    <t xml:space="preserve">independent-qa.json#/batches/B27/documents/issues-and-clarifications-b27.json/clarifications/4</t>
  </si>
  <si>
    <t xml:space="preserve">3dd3e55752e80883771503a2b95a21aa5cc4dffc911ed47d39e3549dabc705a0</t>
  </si>
  <si>
    <t xml:space="preserve">CL-06</t>
  </si>
  <si>
    <t xml:space="preserve">{"basis":["provenance-and-equivalence.json#/historical_locator_fingerprints/6011429e4f82d583bc2955ce4858580d72be84288ba0f4a3b3c8dce7e09e6daf"],"clarification":"All errors and differences are recorded as written. No renumbering, replacement translation, legal precedent, automatic special-over-general rule, or repaired formula is applied. No external advice or current-law verification is supplied.","id":"CL-06","subject":"No source edits"}</t>
  </si>
  <si>
    <t xml:space="preserve">qa-b2627-final-review-20261026/issues-and-clarifications-b27.json#/clarifications/5</t>
  </si>
  <si>
    <t xml:space="preserve">independent-qa.json#/batches/B27/documents/issues-and-clarifications-b27.json/clarifications/5</t>
  </si>
  <si>
    <t xml:space="preserve">061da69c232554e728ef75f003bbead024f25c92330fc044406fb6ccf49ee546</t>
  </si>
  <si>
    <t xml:space="preserve">CL-07</t>
  </si>
  <si>
    <t xml:space="preserve">{"basis":["provenance-and-equivalence.json#/historical_locator_fingerprints/6011429e4f82d583bc2955ce4858580d72be84288ba0f4a3b3c8dce7e09e6daf"],"clarification":"The progress-message claim of a newly discovered p6 scope tension was qualified after checking old authored notes: old B4 page-proof p6 already noted the tension. New work independently confirms it and records the EN any-insured-peril comparison.","id":"CL-07","subject":"Preventive-acts finding provenance"}</t>
  </si>
  <si>
    <t xml:space="preserve">qa-b2627-final-review-20261026/issues-and-clarifications-b27.json#/clarifications/6</t>
  </si>
  <si>
    <t xml:space="preserve">independent-qa.json#/batches/B27/documents/issues-and-clarifications-b27.json/clarifications/6</t>
  </si>
  <si>
    <t xml:space="preserve">75472a5178fb297bc246b889a14b806cbd0ba15950ba61b21b00d912817e2498</t>
  </si>
  <si>
    <t xml:space="preserve">ISS-01</t>
  </si>
  <si>
    <t xml:space="preserve">[9,11,16]</t>
  </si>
  <si>
    <t xml:space="preserve">{"blocks_full_reading":false,"correction_applied":false,"correction_basis":"Actual144dpi full pages plus216dpi p09-premium51/p11-claim813/p16-forfeiture show the numbers. No issuer erratum or adopted correction exists in this supplied file;8.1.3 is an observed candidate only.","id":"ISS-01","independent_QA_disposition":"confirmed_as_source_question_not_source_correction","independent_visual_basis":"180dpi complete pages plus independently regenerated288dpi sensitive clips","observation":"Both columns of23.1.1 literally cite Article5 paragraph5.1.3. Article5.1 visibly has only5.1.1 and5.1.2 before5.2. The12-month claim-lodging rule actually appears as8.1.3.","pages":[9,11,16],"previously_recorded":true,"required_clarification":"Which clause is intended by23.1.1, and what authoritative correction if any applies to this exact code?","status":"confirmed_as_written_intended_correction_unresolved","type":"broken_internal_cross_reference"}</t>
  </si>
  <si>
    <t xml:space="preserve">qa-b2627-final-review-20261026/issues-and-clarifications-b27.json#/issues/0</t>
  </si>
  <si>
    <t xml:space="preserve">independent-qa.json#/batches/B27/documents/issues-and-clarifications-b27.json/issues/0</t>
  </si>
  <si>
    <t xml:space="preserve">105e85423a60f2382299824fc42ea60a71f18a42f865669573d3307fa3cbc711</t>
  </si>
  <si>
    <t xml:space="preserve">ISS-02</t>
  </si>
  <si>
    <t xml:space="preserve">[4]</t>
  </si>
  <si>
    <t xml:space="preserve">{"blocks_full_reading":false,"correction_applied":false,"correction_basis":"216dpi p04-property-exception independently confirms both complete opening paragraphs; schedule and extension are not silently equated.","id":"ISS-02","independent_QA_disposition":"confirmed_as_source_question_not_source_correction","independent_visual_basis":"180dpi complete pages plus independently regenerated288dpi sensitive clips","observation":"BI1.3 makes its listed-property exclusion subject to express declaration as insured property/interest in the Schedule. EN instead says specifically extended and follows with a malformed cause-of phrase rather than an equivalent scheduled-property exception.","pages":[4],"previously_recorded":true,"required_clarification":"Whether the English opening has an authoritative correction and how the scheduled-property exception relates to any operative extension.","status":"confirmed_textual_difference_operative_equivalence_not_established","type":"property_exclusion_carveback_translation"}</t>
  </si>
  <si>
    <t xml:space="preserve">qa-b2627-final-review-20261026/issues-and-clarifications-b27.json#/issues/1</t>
  </si>
  <si>
    <t xml:space="preserve">independent-qa.json#/batches/B27/documents/issues-and-clarifications-b27.json/issues/1</t>
  </si>
  <si>
    <t xml:space="preserve">c7a6db061ba50f23daccfcbbb1d934c358a5df3d699ced95cd566819e925cb84</t>
  </si>
  <si>
    <t xml:space="preserve">ISS-03</t>
  </si>
  <si>
    <t xml:space="preserve">[8]</t>
  </si>
  <si>
    <t xml:space="preserve">{"blocks_full_reading":false,"correction_applied":false,"correction_basis":"216dpi p08-definition24. Definitions25/26 separately refer to preceding12 months/corresponding periods and do not authorize rewriting24.","id":"ISS-03","independent_QA_disposition":"confirmed_as_source_question_not_source_correction","independent_visual_basis":"180dpi complete pages plus independently regenerated288dpi sensitive clips","observation":"Definition24 BI uses tahun takwim (calendar year); EN uses financial year. These can differ. Neither a specific insured fiscal year nor an intended common calculation period is supplied.","pages":[8],"previously_recorded":true,"required_clarification":"Intended time basis for rate of gross profit for this wording; no loss or refund computation is made.","status":"confirmed_lexical_difference_no_actual_loss_calculation_inferred","type":"accounting_period_translation"}</t>
  </si>
  <si>
    <t xml:space="preserve">qa-b2627-final-review-20261026/issues-and-clarifications-b27.json#/issues/2</t>
  </si>
  <si>
    <t xml:space="preserve">independent-qa.json#/batches/B27/documents/issues-and-clarifications-b27.json/issues/2</t>
  </si>
  <si>
    <t xml:space="preserve">70625a6786cc135f44926f9f4c3fa104a43063854bf6f1c9d479dbe72131ab18</t>
  </si>
  <si>
    <t xml:space="preserve">ISS-04</t>
  </si>
  <si>
    <t xml:space="preserve">[2,10,17]</t>
  </si>
  <si>
    <t xml:space="preserve">{"blocks_full_reading":false,"correction_applied":false,"correction_basis":"216dpi p02-memo and p17-refund; p10 full-page Articles6/7. Distinct triggers alone do not erase the unqualified exclusion wording. Specific-over-general treatment would be an unverified interpretation, not a source correction.","id":"ISS-04","independent_QA_disposition":"confirmed_as_source_question_not_source_correction","independent_visual_basis":"180dpi complete pages plus independently regenerated288dpi sensitive clips","observation":"BI Section2 Memo2 provides a gross-profit-based premium return (six-month declaration,12-month accounting period,one-third cap), separate from Article25 termination refund. Article26 nevertheless states no refund except Articles6,7,25 and does not mention Memo2. Article7 is listed but has no explicit refund mechanism in the supplied body.","pages":[2,10,17],"previously_recorded":true,"required_clarification":"Does the Section2 special-condition Memo2 operate notwithstanding Article26, and how does the Article7 reference operate?","status":"textual_scope_distinction_confirmed_precedence_unresolved","type":"refund_scope_internal_tension"}</t>
  </si>
  <si>
    <t xml:space="preserve">qa-b2627-final-review-20261026/issues-and-clarifications-b27.json#/issues/3</t>
  </si>
  <si>
    <t xml:space="preserve">independent-qa.json#/batches/B27/documents/issues-and-clarifications-b27.json/issues/3</t>
  </si>
  <si>
    <t xml:space="preserve">149303c921968beb7a1e919294c86258a6527b63f9f5405b1cc8734593fa5cee</t>
  </si>
  <si>
    <t xml:space="preserve">ISS-05</t>
  </si>
  <si>
    <t xml:space="preserve">[1,6]</t>
  </si>
  <si>
    <t xml:space="preserve">{"blocks_full_reading":false,"correction_applied":false,"correction_basis":"144dpi p1 and216dpi p06-preventive; BI perils directly read rather than inferred from EN.","history_clarification":"Prior B4 page-proof p6 already recorded the coverage/definition tension. The B27 progress message calling this newly found was corrected to independent confirmation; English any-insured-peril contrast is now made explicit.","id":"ISS-05","independent_QA_disposition":"confirmed_as_source_question_not_source_correction","independent_visual_basis":"180dpi complete pages plus independently regenerated288dpi sensitive clips","observation":"Coverage1.4 links prevention to terrorism,sabotage and Makar. Definition8 BI refers to prevention/stopping/reduction of impacts of terrorism and sabotage; EN refers first to preventing/suppressing any insured perils and then minimizing consequences of terrorism/sabotage.","pages":[1,6],"previously_recorded":true,"required_clarification":"Intended scope of prevention relating to Makar and whether the English definition broadens the BI wording.","status":"confirmed_scope_tension_no_expansive_or_restrictive_construction_adopted","type":"preventive_acts_scope_and_translation"}</t>
  </si>
  <si>
    <t xml:space="preserve">qa-b2627-final-review-20261026/issues-and-clarifications-b27.json#/issues/4</t>
  </si>
  <si>
    <t xml:space="preserve">independent-qa.json#/batches/B27/documents/issues-and-clarifications-b27.json/issues/4</t>
  </si>
  <si>
    <t xml:space="preserve">eec05f09b89c64bd58a7fca2c0424255b967049a9220fb29a4a132afbfc187ed</t>
  </si>
  <si>
    <t xml:space="preserve">ISS-06</t>
  </si>
  <si>
    <t xml:space="preserve">[1,3,5]</t>
  </si>
  <si>
    <t xml:space="preserve">{"blocks_full_reading":false,"correction_applied":false,"correction_basis":"216dpi p05-looting. Read alongside p1 looting cover and p3 theft exclusion; no automatic reconciliation or coverage conclusion for an incident.","id":"ISS-06","independent_QA_disposition":"confirmed_as_source_question_not_source_correction","independent_visual_basis":"180dpi complete pages plus independently regenerated288dpi sensitive clips","observation":"BI defines unlawful taking/seizure for control or ownership and excludes persons under insured supervision. EN explicitly requires an intention permanently to deprive and separately names employed or controlled persons. BI does not expressly say permanently or separately name employees.","pages":[1,3,5],"previously_recorded":false,"required_clarification":"Whether these formulations are intended to have identical scope and whether an authoritative translation clarification exists.","status":"confirmed_formulation_difference_legal_equivalence_not_assumed","type":"looting_definition_translation"}</t>
  </si>
  <si>
    <t xml:space="preserve">qa-b2627-final-review-20261026/issues-and-clarifications-b27.json#/issues/5</t>
  </si>
  <si>
    <t xml:space="preserve">independent-qa.json#/batches/B27/documents/issues-and-clarifications-b27.json/issues/5</t>
  </si>
  <si>
    <t xml:space="preserve">3852cb6c5fd7db26ab9dfe6767aa0df6d445093e9a7e0ed46443f1fd5ab9b790</t>
  </si>
  <si>
    <t xml:space="preserve">ISS-07</t>
  </si>
  <si>
    <t xml:space="preserve">[1,2]</t>
  </si>
  <si>
    <t xml:space="preserve">{"blocks_full_reading":false,"correction_applied":false,"correction_basis":"216dpi p02-calculation. The observation is about the visible subject and counterfactual wording; no corrected BI sentence, insurer intent, numeric formula error or actual shortfall is asserted.","id":"ISS-07","independent_QA_disposition":"confirmed_as_source_question_not_source_correction","independent_visual_basis":"180dpi complete pages plus independently regenerated288dpi sensitive clips","observation":"In the BI additional-working-cost sentence, the relative clause refers to expenditure that would arise during the indemnity period; EN instead describes the turnover reduction that would have occurred but for the expenditure. The reasonable/necessary-cost purpose and cap are intelligible, but the BI relative-clause/counterfactual drafting is not equivalent as written.","pages":[1,2],"previously_recorded":false,"required_clarification":"Intended relation of the additional expenditure to the counterfactual turnover reduction in the governing BI wording.","status":"source_drafting_ambiguity_preserved_not_unreadable_text","type":"additional_working_cost_counterfactual_drafting"}</t>
  </si>
  <si>
    <t xml:space="preserve">qa-b2627-final-review-20261026/issues-and-clarifications-b27.json#/issues/6</t>
  </si>
  <si>
    <t xml:space="preserve">independent-qa.json#/batches/B27/documents/issues-and-clarifications-b27.json/issues/6</t>
  </si>
  <si>
    <t xml:space="preserve">3ffc93a3a776aa13e787b814442d9e2fd21d2690fbaf466796e2ad403af584d5</t>
  </si>
  <si>
    <t xml:space="preserve">ISS-08</t>
  </si>
  <si>
    <t xml:space="preserve">{"blocks_full_reading":false,"correction_applied":false,"correction_basis":"144dpi p4 full-page direct bilingual inspection. These lexical observations do not declare that a specific property is covered/excluded or that the entire list is mistranslated.","id":"ISS-08","independent_QA_disposition":"confirmed_as_source_question_not_source_correction","independent_visual_basis":"180dpi complete pages plus independently regenerated288dpi sensitive clips","observation":"In1.3.5 BI expressly includes naskah (manuscripts), not expressly named in the English list;1.3.8 BI bangunan di bawah tanah (underground buildings) is English basement.","pages":[4],"previously_recorded":false,"required_clarification":"Whether omitted/narrowly rendered property categories have an intended authoritative English equivalent.","status":"category_equivalence_not_established","type":"excluded_property_category_translation"}</t>
  </si>
  <si>
    <t xml:space="preserve">qa-b2627-final-review-20261026/issues-and-clarifications-b27.json#/issues/7</t>
  </si>
  <si>
    <t xml:space="preserve">independent-qa.json#/batches/B27/documents/issues-and-clarifications-b27.json/issues/7</t>
  </si>
  <si>
    <t xml:space="preserve">9ceb5e42e4c78f7fe61f67258f5a8461552174ba1e77588c7a307eab206785c3</t>
  </si>
  <si>
    <t xml:space="preserve">qa-b2627-final-review-20261026/issues-and-clarifications-b27.json#/no_issuer_intent_or_legal_effect_certification</t>
  </si>
  <si>
    <t xml:space="preserve">independent-qa.json#/batches/B27/documents/issues-and-clarifications-b27.json/no_issuer_intent_or_legal_effect_certification</t>
  </si>
  <si>
    <t xml:space="preserve">组成、身份及更正依据</t>
  </si>
  <si>
    <t xml:space="preserve">{"brand_pages":[1,2,3,4,5,6,7,8,9,10,11,12,13,14,15,16,17,18],"brand_visible":"Asuransi MAG / A Fairfax Company","components":[{"class":"present_generic_body","file_reading_complete_proposed":true,"item":"Standard PSATSI policy wording","status":"18 consecutive physical/printed pages; Articles1–28, BI/EN columns and final language note; directly reviewed in this pass"},{"class":"unknown_generic_template_vs_customer_component","item":"Policy schedule/Ikhtisar Pertanggungan","status":"Referenced for premises/property/SI/time excess/premium; no appended filled or blank schedule. Whether a separate public generic template is necessary is not established; do not infer missing named-product package."},{"class":"B_customer_or_event_specific","item":"Proposal/named insured/policy period/claim form/inventory/reports and proof","status":"Referenced but not supplied; not treated as an absent public standard-body annexure and not requested."},{"class":"unknown_adopted_component","item":"Endorsements/extensions/removal or SI changes","status":"Generic references only; no adopted endorsement or specific missing standard endorsement identity established."},{"class":"A_external_reference","item":"Laws/regulations/OJK/dispute bodies","status":"Recorded as policy references; current law/enforceability and institutions not verified or contacted."}],"contract_number":null,"current_named_product_adoption_verified":false,"current_sale_verified":false,"document_role":"branded_standard_policy_wording_support_not_named_product_primary","document_title":"Polis Standar Asuransi Terorisme dan Sabotase Indonesia / Indonesian Terrorism and Sabotage Insurance Standard Policy","effective_date":null,"governing_language":"Bahasa Indonesia","governing_language_pages":[18],"legal_entity_full_name_verified_in_body":false,"named_insured":null,"not_automatic_review_veto":"Unknown customer schedule/current adoption do not themselves block complete file reading or automatically make a generic body defective. Specific source-body questions in the issues register independently require needs_review.","source_insurer_preserved":"PT Asuransi Multi Artha Guna Tbk","version_code":"PSATSI-AAUI2021/MAG2021"}</t>
  </si>
  <si>
    <t xml:space="preserve">delivery-batch27-20261026/B27-ID-001/components-and-identity.json#</t>
  </si>
  <si>
    <t xml:space="preserve">execution-evidence.json#/batches/B27/documents/B27-ID-001~1components-and-identity.json</t>
  </si>
  <si>
    <t xml:space="preserve">bd14c24095592a66f2410184f7aff1804dba0c931fac5210d0473b96246b166c</t>
  </si>
  <si>
    <t xml:space="preserve">[{"basis":["execution-evidence.json#/batches/B27/documents/B27-ID-001~1page-proof.json","execution-evidence.json#/batches/B27/documents/B27-ID-001~1issues-and-clarifications.json"],"clarification":"Full describes reliable direct reading of all supplied18 pages in both substantive languages. Detected ambiguity or conflicting wording is preserved as a finding; it is not a claim of bilingual equivalence, issuer intent, legal validity or complete contract package. Proposal remains needs_review.","id":"CL-01","subject":"Full review versus wording verification"},{"basis":["execution-evidence.json#/batches/B27/documents/B27-ID-001~1frozen-task.json","execution-evidence.json#/batches/B27/documents/B27-ID-001~1frozen-actual-record.json"],"clarification":"B4 partial was accurate for its explicitly limited governing-language review. B27 adds a new independent visual BI reading; it does not retroactively relabel B4 or overwrite its result/page-proof/accepted QA.","id":"CL-02","subject":"Prior partial history"},{"basis":["execution-evidence.json#/batches/B27/documents/B27-ID-001~1page-proof.json","execution-evidence.json#/batches/B27/documents/B27-ID-001~1frozen-actual-record.json"],"clarification":"Asuransi MAG / A Fairfax Company branding is visible on all18 pages. The old odd-page evidence list was non-exhaustive, already noted by B4 QA. PT Asuransi Multi Artha Guna Tbk remains frozen source attribution, not a full corporate-name verification in the operative body.","id":"CL-03","subject":"Brand and legal entity"},{"basis":["execution-evidence.json#/batches/B27/documents/B27-ID-001~1page-proof.json"],"clarification":"PSATSI-AAUI2021/MAG2021 appears as footer code on the supplied wording. It is version evidence, not an exact effective date or current named-product adoption. No new public-source acquisition, current-sale or product attribution claim.","id":"CL-04","subject":"Version versus effectiveness/adoption"},{"basis":["execution-evidence.json#/batches/B27/documents/B27-ID-001~1page-proof.json"],"clarification":"The body is18 consecutive printed pages ending Article28 and governing-language note. Absent named schedule/proposal/claim records are not automatically missing public standard-body annexures. Generic schedule-template necessity and any adopted endorsements are unknown; package completeness remains not established, separately from file reading and body questions.","id":"CL-05","subject":"Components not automatic file-level disqualifiers"},{"basis":["execution-evidence.json#/batches/B27/documents/B27-ID-001~1issues-and-clarifications.json"],"clarification":"All errors and differences are recorded as written. No renumbering, replacement translation, legal precedent, automatic special-over-general rule, or repaired formula is applied. No external advice or current-law verification is supplied.","id":"CL-06","subject":"No source edits"},{"basis":["execution-evidence.json#/batches/B27/documents/B27-ID-001~1issues-and-clarifications.json"],"clarification":"The progress-message claim of a newly discovered p6 scope tension was qualified after checking old authored notes: old B4 page-proof p6 already noted the tension. New work independently confirms it and records the EN any-insured-peril comparison.","id":"CL-07","subject":"Preventive-acts finding provenance"}]</t>
  </si>
  <si>
    <t xml:space="preserve">delivery-batch27-20261026/B27-ID-001/clarifications-and-correction-basis.json#</t>
  </si>
  <si>
    <t xml:space="preserve">execution-evidence.json#/batches/B27/documents/B27-ID-001~1clarifications-and-correction-basis.json</t>
  </si>
  <si>
    <t xml:space="preserve">9fc579f73d8ff15b6bf44633b10a35345fc61292e2258b64887b379dd7981834</t>
  </si>
  <si>
    <t xml:space="preserve">"Zero: not primary and genuine body-level clarification questions remain; no automatic inherited strict or verified status."</t>
  </si>
  <si>
    <t xml:space="preserve">delivery-batch27-20261026/B27-ID-001/result.json#/strict_basis</t>
  </si>
  <si>
    <t xml:space="preserve">execution-evidence.json#/batches/B27/documents/B27-ID-001~1result.json/strict_basis</t>
  </si>
  <si>
    <t xml:space="preserve">c2d0372cfe366821c12c5673e0dbe63f1a051ec750ebb3a0c23296c453106890</t>
  </si>
  <si>
    <t xml:space="preserve">"Branded standard-policy wording support; no named marketed-product primary mapping established."</t>
  </si>
  <si>
    <t xml:space="preserve">delivery-batch27-20261026/B27-ID-001/result.json#/primary_basis</t>
  </si>
  <si>
    <t xml:space="preserve">execution-evidence.json#/batches/B27/documents/B27-ID-001~1result.json/primary_basis</t>
  </si>
  <si>
    <t xml:space="preserve">88b1f81e8441bacce07ab119ad99a1c3b348400d7bc44f7ea3bc4d5b611fd91f</t>
  </si>
  <si>
    <t xml:space="preserve">"Actual internal cross-reference defect, unresolved refund/preventive-scope relationship and bilingual wording differences in supplied body. Not an automatic penalty for absent personal schedules or unverified current adoption."</t>
  </si>
  <si>
    <t xml:space="preserve">delivery-batch27-20261026/B27-ID-001/result.json#/needs_review_basis</t>
  </si>
  <si>
    <t xml:space="preserve">execution-evidence.json#/batches/B27/documents/B27-ID-001~1result.json/needs_review_basis</t>
  </si>
  <si>
    <t xml:space="preserve">0254913ec3165827bf6ab867267e240015d1c390cc4deeddd057e4ea58ac8b27</t>
  </si>
  <si>
    <t xml:space="preserve">"Existing exact-ID provenance and coarse review/language/role status only after root QA/application. No originals, renders, detailed clauses, private paths or fulltext may be published."</t>
  </si>
  <si>
    <t xml:space="preserve">delivery-batch27-20261026/B27-ID-001/result.json#/public_boundary</t>
  </si>
  <si>
    <t xml:space="preserve">execution-evidence.json#/batches/B27/documents/B27-ID-001~1result.json/public_boundary</t>
  </si>
  <si>
    <t xml:space="preserve">9dd694e6119cf00324a1353a399a4586d34a93a2d7a67a3735d4c193514a1648</t>
  </si>
  <si>
    <t xml:space="preserve">"All supplied physical pages reliably reviewed in every substantive language; not product/package completeness, universal translation equivalence, or legal validity."</t>
  </si>
  <si>
    <t xml:space="preserve">delivery-batch27-20261026/B27-ID-001/result.json#/full_metric_scope</t>
  </si>
  <si>
    <t xml:space="preserve">execution-evidence.json#/batches/B27/documents/B27-ID-001~1result.json/full_metric_scope</t>
  </si>
  <si>
    <t xml:space="preserve">9e9bea14cbaba2331337beb5551faa4162ab691039b3b627b0683f2b2ee28a0c</t>
  </si>
  <si>
    <t xml:space="preserve">"False means not proven complete, not proof that absent referenced material is public/generic or universally required."</t>
  </si>
  <si>
    <t xml:space="preserve">delivery-batch27-20261026/B27-ID-001/result.json#/package_boolean_semantics</t>
  </si>
  <si>
    <t xml:space="preserve">execution-evidence.json#/batches/B27/documents/B27-ID-001~1result.json/package_boolean_semantics</t>
  </si>
  <si>
    <t xml:space="preserve">8b03e123f1cfb41516766c2b63b95193bab3d50841a1f737030209557e93e836</t>
  </si>
  <si>
    <t xml:space="preserve">{"actual_pages":18,"checked_at_utc":"2026-10-26T21:06:34.681278+00:00","copy_allowed":true,"gate":"passed_read_only_visual","is_encrypted":false,"needs_password":0,"no_content_extraction":true,"permissions":-4,"print_allowed":true,"read_route":"Ordinary read-only visual display only; no text extraction, OCR, print or permission changes. Render permission not a re-use license."}</t>
  </si>
  <si>
    <t xml:space="preserve">delivery-batch27-20261026/B27-ID-001/preflight.json#</t>
  </si>
  <si>
    <t xml:space="preserve">execution-evidence.json#/batches/B27/documents/B27-ID-001~1preflight.json</t>
  </si>
  <si>
    <t xml:space="preserve">ad72725465ac2bedd72554d4cacea62c5005a95e1287900950f9be616faf87fc</t>
  </si>
  <si>
    <t xml:space="preserve">B25批次历史</t>
  </si>
  <si>
    <t xml:space="preserve">批次完整更正及撤回历史</t>
  </si>
  <si>
    <t xml:space="preserve">qa-b25-full-review-20261026/issues-and-clarifications.json#/classification_histories_preserved</t>
  </si>
  <si>
    <t xml:space="preserve">independent-qa.json#/batches/B25/documents/issues-and-clarifications.json/classification_histories_preserved</t>
  </si>
  <si>
    <t xml:space="preserve">{"bytes":224739,"path":"execution-evidence.json#/batches/B25/documents/correction-register.json","sha256":"533f2e4e9041819c2f43abf238e0dc6e7fca127af24023318048f681c1e7412a"}</t>
  </si>
  <si>
    <t xml:space="preserve">qa-b25-full-review-20261026/issues-and-clarifications.json#/execution_correction_register_reference</t>
  </si>
  <si>
    <t xml:space="preserve">independent-qa.json#/batches/B25/documents/issues-and-clarifications.json/execution_correction_register_reference</t>
  </si>
  <si>
    <t xml:space="preserve">36fa159bc20073d8ad1d8d107eb0d8c82d1f1d71d8bbdea219b32fe526fdd5ef</t>
  </si>
  <si>
    <t xml:space="preserve">["004","006","007"]</t>
  </si>
  <si>
    <t xml:space="preserve">qa-b25-full-review-20261026/issues-and-clarifications.json#/final_classification_only</t>
  </si>
  <si>
    <t xml:space="preserve">independent-qa.json#/batches/B25/documents/issues-and-clarifications.json/final_classification_only</t>
  </si>
  <si>
    <t xml:space="preserve">a3ca2a469598b300d8e488f156b7372d89bc2be7c5f131823031bce9c98d14d0</t>
  </si>
  <si>
    <t xml:space="preserve">{"artifact":"page_proof","full_metadata_row":{"component":"PA011 optional weekly income printed22","corrected_at_utc":"2026-10-26T19:04:48.069558+00:00","correction_basis":"Direct 216dpi visual re-read of English p42 PA011 1.6 confirms SHALL NOT BE MORE THAN 104 WEEKS; Malay p68 also not exceed104. Initial English omission of NOT withdrawn; no bilingual104-week contradiction.","display_sha256":"6b6edfb715256d6146083b27f9fb0977b7bb9218aa9b2813953b253a6e483bdf","initial_note_before_zoom_correction":"Acceleratesbasic sum; temporarytotaldisability within20daysaccident;80%averageweeklyearningssubjectcap. Initialread1.6 literally SHALL BE MORE THAN104WEEKS; highresolutionconfirmationpending. Paidamountreducesbasicsum,total&lt;=100%, oneclaimperevent; NCDreset; endsdeath/TPD/100%paid/ineligible.","language":"en","method":"ordinary_read_only_visual_144dpi","physical_page":42,"reviewed_at_utc":"2026-10-26T18:56:11.361711+00:00","semantic_note":"Optional weekly income accelerates basic sum; TTD within20days;80% averageweeklyearnings subject cap; duration NOT MORE THAN104weeks per injury from first doctor examination, matching other language. Paidamount reduces basic sum,total&lt;=100%,oneclaim/event,NCDreset; ends death/TPD/100%paid/ineligible.","semantic_read":true,"task_id":"B25-MY-001"},"physical_page":42,"task_id":"B25-MY-001"}</t>
  </si>
  <si>
    <t xml:space="preserve">qa-b25-full-review-20261026/issues-and-clarifications.json#/frozen_execution_correction_history/0</t>
  </si>
  <si>
    <t xml:space="preserve">independent-qa.json#/batches/B25/documents/issues-and-clarifications.json/frozen_execution_correction_history/0</t>
  </si>
  <si>
    <t xml:space="preserve">44424274fc0b0e05c017ae814c341815137c9b890e60f76036df11d6b860feed</t>
  </si>
  <si>
    <t xml:space="preserve">{"artifact":"page_proof","full_metadata_row":{"component":"PA011 weekly income printed24","corrected_at_utc":"2026-10-26T19:04:48.069575+00:00","correction_basis":"Direct 216dpi visual re-read of English p42 PA011 1.6 confirms SHALL NOT BE MORE THAN 104 WEEKS; Malay p68 also not exceed104. Initial English omission of NOT withdrawn; no bilingual104-week contradiction.","display_sha256":"724c7f50fffa405734e63db83de1da59f22369ebeb1dcb099cc6803ee79a3f5b","initial_note_before_zoom_correction":"Optionalacceleratedbasic sum;TTDwithin20days;80%earningscap;1.6 says TIDAK SEHARUSNYA MELEBIHI104weeks (notexceed), unlikeEnglishinitialreadmorethan. Paidreducesbasic,total&lt;=100%,oneclaimperevent,NCDreset,endsdeath/TPD/100%paid/ineligible.","language":"ms","method":"ordinary_read_only_visual_144dpi","physical_page":68,"reviewed_at_utc":"2026-10-26T18:59:05.364133+00:00","semantic_note":"Optional weekly income accelerates basic sum; TTD within20days;80% averageweeklyearnings subject cap; duration NOT MORE THAN104weeks per injury from first doctor examination, matching other language. Paidamount reduces basic sum,total&lt;=100%,oneclaim/event,NCDreset; ends death/TPD/100%paid/ineligible.","semantic_read":true,"task_id":"B25-MY-001"},"physical_page":68,"task_id":"B25-MY-001"}</t>
  </si>
  <si>
    <t xml:space="preserve">qa-b25-full-review-20261026/issues-and-clarifications.json#/frozen_execution_correction_history/1</t>
  </si>
  <si>
    <t xml:space="preserve">independent-qa.json#/batches/B25/documents/issues-and-clarifications.json/frozen_execution_correction_history/1</t>
  </si>
  <si>
    <t xml:space="preserve">f82a0faef3b050404dcb2126eddf597d4ffa1d8e14703de3dafa93e26df62960</t>
  </si>
  <si>
    <t xml:space="preserve">{"artifact":"result","complete_correction_and_clarification_fields":{"clarifications":[{"clarification":"Initial English104week reading omitted NOT.216dpi confirms notmore104weeks, matchingMalay; alleged contradiction withdrawn.","correction_basis":"Direct enlarged visualread p42PA0111.6 andp68; initial notes retained inpageproof.","pages":[42,68]},{"clarification":"OFS endorsement headingPA013 while actual base importantnoticePA012; targeted FMB replacement identifiable bysubject, bounded code error not blanket invalidity.","correction_basis":"Compared endorsement language and both complete base contents/notices.","pages":[17,18,21,43,45,69]},{"clarification":"Fund post-Qard allocation and surplus less-Qard wording read together; no double-Qard assertion.","correction_basis":"Explicit2019 replacements and joint reading.","pages":[1,2,3,4]},{"clarification":"English hazardous-avocation list expressly includes boxing; Malay does not, but open-ended hazardous/unlisted-activity exclusion remains. Do not infer boxing coverage.","correction_basis":"216dpi bilingual exclusion comparison.","pages":[34,60]},{"clarification":"Malay contents footer says1of24 but actual complete printed1-25; bounded denominator mismatch, no inferred absentpage.","correction_basis":"Allpresent69physicalpagesreviewed.","pages":[45,69]}],"correction_basis":"Initial semantic mistake retained and corrected in p42/p68 pageproof; no silently overwritten contradiction. Result fields above reflect216dpi confirmation.","prior_task_id":"B17-MY-015"},"task_id":"B25-MY-001"}</t>
  </si>
  <si>
    <t xml:space="preserve">qa-b25-full-review-20261026/issues-and-clarifications.json#/frozen_execution_correction_history/2</t>
  </si>
  <si>
    <t xml:space="preserve">independent-qa.json#/batches/B25/documents/issues-and-clarifications.json/frozen_execution_correction_history/2</t>
  </si>
  <si>
    <t xml:space="preserve">66cbb8a40180e8fb2e9d9f6f3f44f0afed288513a9f6cf0cfa3580266ce73c3e</t>
  </si>
  <si>
    <t xml:space="preserve">{"artifact":"result","complete_correction_and_clarification_fields":{"clarifications":[{"observation":"English17.1 less-qard read with16.4 expressly after qard repayment;Malay16.4/17.1 explicitly after repayment. No factual double deduction established.","pages":[1,2,3,4]},{"observation":"Both languages literally bar legal proceedings before expiry of2years;not mistranscribed as after2years;no current enforceability opinion.","pages":[8,14]},{"observation":"2018specific reduced continuing death balance inSID0021.3 read with generalTPD termination subject contract;not automatically a contradiction or unconditional forfeiture.","pages":[9,10,16,32,58]},{"observation":"Malay brokenbones1.4 explicitly once/year,English says payable everyyear &lt;=1claim/event. Both schedule a fixed annual benefit and annual reinstatement;no unsupported assertion of different total payout.","pages":[23,39,47,65]}],"prior_task_id":"B17-MY-016"},"task_id":"B25-MY-002"}</t>
  </si>
  <si>
    <t xml:space="preserve">qa-b25-full-review-20261026/issues-and-clarifications.json#/frozen_execution_correction_history/3</t>
  </si>
  <si>
    <t xml:space="preserve">independent-qa.json#/batches/B25/documents/issues-and-clarifications.json/frozen_execution_correction_history/3</t>
  </si>
  <si>
    <t xml:space="preserve">87b5dfe84c5d3e39a2e0f2b64c7761a294923eccef4e2d37cbdbf269d1be260a</t>
  </si>
  <si>
    <t xml:space="preserve">{"artifact":"page_proof","full_metadata_row":{"clarification":"PA013 source label differs from actual PA014 important notice; express amendment is contact-only.","component":"Undated OFS endorsement","correction_basis":"Contents and actual bilingual notices read; source unchanged.","display_sha256":"337adfbd711086293f4891ffc3bd4026310cbeecc0af2989daa54f4248f3ed5c","language":"en","method":"ordinary_read_only_visual_144dpi","physical_page":17,"reviewed_at_utc":"2026-10-26T18:22:03.371769+00:00","semantic_note":"BR-LSL001-19012015;replaces Financial Mediation Bureau contact with OFS in notice labeledPA013,calendar effective date absent,other provisions unchanged.","semantic_read":true,"task_id":"B25-MY-003"},"physical_page":17,"task_id":"B25-MY-003"}</t>
  </si>
  <si>
    <t xml:space="preserve">qa-b25-full-review-20261026/issues-and-clarifications.json#/frozen_execution_correction_history/4</t>
  </si>
  <si>
    <t xml:space="preserve">independent-qa.json#/batches/B25/documents/issues-and-clarifications.json/frozen_execution_correction_history/4</t>
  </si>
  <si>
    <t xml:space="preserve">4b1aebdbb0171a25111193c55825a48687332debafae0a5cf4d5e81d440d928f</t>
  </si>
  <si>
    <t xml:space="preserve">{"artifact":"page_proof","full_metadata_row":{"clarification":"PA013 source label differs from actual PA014 important notice; express amendment is contact-only.","component":"Undated OFS endorsement","correction_basis":"Contents and actual bilingual notices read; source unchanged.","display_sha256":"1dc2894e8c8e15e68f747fe2360496dceb1d0b77e68f4a188c3105bedb5ad7e6","language":"ms","method":"ordinary_read_only_visual_144dpi","physical_page":18,"reviewed_at_utc":"2026-10-26T18:22:03.371941+00:00","semantic_note":"Malay same code and PA013 notice label;explicit target is FMB contact replacement only,not pregnancy benefit removal.","semantic_read":true,"task_id":"B25-MY-003"},"physical_page":18,"task_id":"B25-MY-003"}</t>
  </si>
  <si>
    <t xml:space="preserve">qa-b25-full-review-20261026/issues-and-clarifications.json#/frozen_execution_correction_history/5</t>
  </si>
  <si>
    <t xml:space="preserve">independent-qa.json#/batches/B25/documents/issues-and-clarifications.json/frozen_execution_correction_history/5</t>
  </si>
  <si>
    <t xml:space="preserve">22c28b48397c698c871d9e7c8b15f7d22d3c9dff8db69002e7a5d15daf5e067f</t>
  </si>
  <si>
    <t xml:space="preserve">{"artifact":"page_proof","full_metadata_row":{"clarification":"Compare third-party payable (EN39) versus already paid (MS68); unresolved operative measure.","component":"PA009 printed21","correction_basis":"Paired ordinary read-only 216dpi PA0091.3 review.","display_sha256":"1a4bf2fd53eddc1298b478aeb1e8ef1c5750d04ce685b9edc9de170d0dffdc66","language":"en","method":"ordinary_read_only_visual_144dpi","physical_page":39,"reviewed_at_utc":"2026-10-26T18:24:18.499356+00:00","semantic_note":"Medical reimbursement cap certificate,first treatment48hours,subsequent180days,inforce,doctor/necessary/reasonable;thirdparty excess only,original receipts,annual reset;approved claim NCD removal;death/TPD/ineligible end.","semantic_read":true,"task_id":"B25-MY-003"},"physical_page":39,"task_id":"B25-MY-003"}</t>
  </si>
  <si>
    <t xml:space="preserve">qa-b25-full-review-20261026/issues-and-clarifications.json#/frozen_execution_correction_history/6</t>
  </si>
  <si>
    <t xml:space="preserve">independent-qa.json#/batches/B25/documents/issues-and-clarifications.json/frozen_execution_correction_history/6</t>
  </si>
  <si>
    <t xml:space="preserve">8d62846ff8ba47ed62070dc2e91003b52344048756c3a36e71d72c54cf6a762a</t>
  </si>
  <si>
    <t xml:space="preserve">{"artifact":"page_proof","full_metadata_row":{"clarification":"EN41 expressly at ATM itself in 30-minute branch; MS70 lacks that express incident-location phrase; OR1km alternative retained.","component":"PA011 printed23","correction_basis":"Paired ordinary read-only 216dpi PA0111.3 review.","display_sha256":"fe8d20fd491a9eb32dd911eb71754d0118ef152cbf8d208b9454f795fa6f47c6","language":"en","method":"ordinary_read_only_visual_144dpi","physical_page":41,"reviewed_at_utc":"2026-10-26T18:24:18.499756+00:00","semantic_note":"ComboA worldwide ATM robbery requires inclusion;incident within30minutes atATM OR within1km,police plus withdrawal amount evidence;once/year annual reset,NCD removal;death/TPD/ineligible end.","semantic_read":true,"task_id":"B25-MY-003"},"physical_page":41,"task_id":"B25-MY-003"}</t>
  </si>
  <si>
    <t xml:space="preserve">qa-b25-full-review-20261026/issues-and-clarifications.json#/frozen_execution_correction_history/7</t>
  </si>
  <si>
    <t xml:space="preserve">independent-qa.json#/batches/B25/documents/issues-and-clarifications.json/frozen_execution_correction_history/7</t>
  </si>
  <si>
    <t xml:space="preserve">9ef1c385006979068a73397cb37c463bbcafbbfd83c4c9216d49b89dabc04c15</t>
  </si>
  <si>
    <t xml:space="preserve">{"artifact":"page_proof","full_metadata_row":{"clarification":"Lower table repeats basic-benefits header; individual combo A clauses retain schedule/certificate inclusion condition.","component":"PA002 printed4","correction_basis":"Comparison with EN22 and MS69–72, not inferred automatic inclusion.","display_sha256":"a35465449d640d2705f1bd6d3b845c946f51695eb718d0172318038a5c53602d","language":"ms","method":"ordinary_read_only_visual_144dpi","physical_page":49,"reviewed_at_utc":"2026-10-26T18:25:03.729085+00:00","semantic_note":"Malay numeric tiers/basic sums,medical2/4/6k,NCD20%,theft250/500/750,ATM andjoy500/1000/1500,pregnancy1/2/3k matchEnglish. Lower table header says basic benefits instead of RidercomboA;later specific rider inclusion clauses control,not proof automatic rider inclusion.","semantic_read":true,"task_id":"B25-MY-003"},"physical_page":49,"task_id":"B25-MY-003"}</t>
  </si>
  <si>
    <t xml:space="preserve">qa-b25-full-review-20261026/issues-and-clarifications.json#/frozen_execution_correction_history/8</t>
  </si>
  <si>
    <t xml:space="preserve">independent-qa.json#/batches/B25/documents/issues-and-clarifications.json/frozen_execution_correction_history/8</t>
  </si>
  <si>
    <t xml:space="preserve">b7294eb5854f7a321e7c4819550f294985dbb54edf00b18f0c5df2653b4af141</t>
  </si>
  <si>
    <t xml:space="preserve">{"artifact":"page_proof","full_metadata_row":{"clarification":"Compare third-party payable (EN39) versus already paid (MS68); unresolved operative measure.","component":"PA009 printed23","correction_basis":"Paired ordinary read-only 216dpi PA0091.3 review.","display_sha256":"64c940c55ca62ebdf83d062bdd09f209500ad2665163a9faed614dcb3fc6fff7","language":"ms","method":"ordinary_read_only_visual_144dpi","physical_page":68,"reviewed_at_utc":"2026-10-26T18:26:40.315854+00:00","semantic_note":"Malay medical48hourfirst/180dayssubsequent,inforce,necessarydoctorreasonablefees,originalreceipts,annualreset/NCD/endconditions. Thirdparty clause deducts amount already paid(telah dibayar),whereEnglishp39says payable;potential reimbursement-base difference needs confirmation.","semantic_read":true,"task_id":"B25-MY-003"},"physical_page":68,"task_id":"B25-MY-003"}</t>
  </si>
  <si>
    <t xml:space="preserve">qa-b25-full-review-20261026/issues-and-clarifications.json#/frozen_execution_correction_history/9</t>
  </si>
  <si>
    <t xml:space="preserve">independent-qa.json#/batches/B25/documents/issues-and-clarifications.json/frozen_execution_correction_history/9</t>
  </si>
  <si>
    <t xml:space="preserve">16291b467aa9db598cc01c0c5bf2c82afad592f8df32a16ab339f2ec008a78f1</t>
  </si>
  <si>
    <t xml:space="preserve">{"artifact":"page_proof","full_metadata_row":{"clarification":"EN41 expressly at ATM itself in 30-minute branch; MS70 lacks that express incident-location phrase; OR1km alternative retained.","component":"PA011 printed25","correction_basis":"Paired ordinary read-only 216dpi PA0111.3 review.","display_sha256":"a5747f4a422972e52fe6e72c9fd834a4c863fa3c6b29386363e572b29c8797b7","language":"ms","method":"ordinary_read_only_visual_144dpi","physical_page":70,"reviewed_at_utc":"2026-10-26T18:26:40.316160+00:00","semantic_note":"MalayATM benefit inclusion/worldwide/netdebt,30minutes afterwithdrawal ORwithin1km,police+withdrawalproof,once/yearreset/NCD/end. UnlikeEnglishp41(a),no explicit atATM itself location in30minute limb;potential spatialscope discrepancy.","semantic_read":true,"task_id":"B25-MY-003"},"physical_page":70,"task_id":"B25-MY-003"}</t>
  </si>
  <si>
    <t xml:space="preserve">qa-b25-full-review-20261026/issues-and-clarifications.json#/frozen_execution_correction_history/10</t>
  </si>
  <si>
    <t xml:space="preserve">independent-qa.json#/batches/B25/documents/issues-and-clarifications.json/frozen_execution_correction_history/10</t>
  </si>
  <si>
    <t xml:space="preserve">9728d8e249ab6af4b5fd229f326aca1feb26565223093ceb3c938c627210db98</t>
  </si>
  <si>
    <t xml:space="preserve">{"artifact":"result","complete_correction_and_clarification_fields":{"clarifications":[{"correction_basis":"Full replacement clauses and paired bilingual reading.","observation":"English clause 17.1 less-qard phrasing read with clause 16.4 expressly after qard repayment; Malay clauses 16.4/17.1 explicitly after repayment. No double deduction established.","pages":[1,2,3,4]},{"correction_basis":"216dpi confirmation of prior to / sebelum.","observation":"Both languages literally prohibit proceedings before expiry of two years; not an after-two-year limitation transcription. No current-law enforceability opinion.","pages":[8,14]},{"correction_basis":"Express notwithstanding and SID002 clause 1.3.","observation":"2018 notwithstanding additions provide specified-infection death/TPD despite contrary base general disease/vector exclusions. Specific continuing reduced death balance after smaller TPD payment is read with termination subject to contract terms, not automatic forfeiture.","pages":[5,9,10,11,16,34,62,63]},{"correction_basis":"PA013 clause 2.1 bilingual exception.","observation":"Pregnancy rider expressly excepts the general pregnancy/childbirth/miscarriage exclusion; general exclusion does not by itself nullify this rider.","pages":[34,43,63,72]}],"prior_task_id":"B17-MY-017"},"task_id":"B25-MY-003"}</t>
  </si>
  <si>
    <t xml:space="preserve">qa-b25-full-review-20261026/issues-and-clarifications.json#/frozen_execution_correction_history/11</t>
  </si>
  <si>
    <t xml:space="preserve">independent-qa.json#/batches/B25/documents/issues-and-clarifications.json/frozen_execution_correction_history/11</t>
  </si>
  <si>
    <t xml:space="preserve">425c0f28f464b7d06f7866e4849a9d658ed6b2052ce1956caa778411dee3b01e</t>
  </si>
  <si>
    <t xml:space="preserve">{"artifact":"page_proof","full_metadata_row":{"clarification":"Introduction004 label inconsistent with both base Introduction001; excess004 has no clause3. Replacement content identifies introduction.","component":"2015 endorsement","correction_basis":"Actual bilingual base comparison at7/26 and9/28; source unchanged.","display_sha256":"9e2dc6de86774cde5b36d786fd6e8dc894457e8d9c007f5a7a2f0fa59e42067e","language":"ms","method":"ordinary_read_only_visual_144dpi","physical_page":3,"reviewed_at_utc":"2026-10-26T18:34:24.376535+00:00","semantic_note":"Malay same LTHORI32/date and replacement Introduction clause3/IFSA Schedule9 plus clause18 consumer reasonable-care/disclosure/update duties. Heading labels Introduction LTHORI004 rather than English LTHORI001; preserve mismatch pending base comparison.","semantic_read":true,"task_id":"B25-MY-004"},"physical_page":3,"task_id":"B25-MY-004"}</t>
  </si>
  <si>
    <t xml:space="preserve">qa-b25-full-review-20261026/issues-and-clarifications.json#/frozen_execution_correction_history/12</t>
  </si>
  <si>
    <t xml:space="preserve">independent-qa.json#/batches/B25/documents/issues-and-clarifications.json/frozen_execution_correction_history/12</t>
  </si>
  <si>
    <t xml:space="preserve">1ab2551c9cf6474db9209874c3b589762bbcf2d5c03264cf75453bce3cc2b0d1</t>
  </si>
  <si>
    <t xml:space="preserve">{"artifact":"page_proof","full_metadata_row":{"clarification":"Initial possible omission suspicion withdrawn: negative tiada is present.","component":"LTHORI009 printed15/21","corrected_at_utc":"2026-10-26T18:42:27.830089+00:00","correction_basis":"216dpi enlarged ordinary read-only visual confirmation of clause16.4 on physical38.","display_sha256":"b2b935121792f82313c97b7a4d2d4cfbd020b5b7d6b20cf0b3d5d70da8c361cd","language":"ms","method":"ordinary_read_only_visual_144dpi","physical_page":38,"prior_semantic_note":"Malay reasonable maintenance/notified-defect exclusion; full sum reinstatement with pro-rata extra contribution. Lower covered/market value, depreciation and valuation sources. Clause16.4 cites IFSA2013 twice (EN18 second reference1984), and its opening appears to omit the EN absence-of-provider condition; needs enlarged comparison. Claim-free net surplus per certificate.","reviewed_at_utc":"2026-10-26T18:38:49.446235+00:00","semantic_note":"Malay reasonable maintenance/notified-defect exclusion; full sum reinstatement with pro-rata extra contribution. Lower covered/market value and depreciation;16.4 explicitly says tiada pengeluar (no manufacturer/provider), matching English fallback trigger. Malay cites IFSA2013 twice versus English second1984; claim-free net surplus per certificate.","semantic_read":true,"task_id":"B25-MY-004"},"physical_page":38,"task_id":"B25-MY-004"}</t>
  </si>
  <si>
    <t xml:space="preserve">qa-b25-full-review-20261026/issues-and-clarifications.json#/frozen_execution_correction_history/13</t>
  </si>
  <si>
    <t xml:space="preserve">independent-qa.json#/batches/B25/documents/issues-and-clarifications.json/frozen_execution_correction_history/13</t>
  </si>
  <si>
    <t xml:space="preserve">d03aaf98cc5cbb04596a5a37a05e3b0d6cb0d453c793b92093365b821c913443</t>
  </si>
  <si>
    <t xml:space="preserve">{"artifact":"result","complete_correction_and_clarification_fields":{"clarifications":[{"correction_basis":"Cross-read actual introductions/excess clauses and explicit replacement content; no source text changed.","observation":"Malay2015 endorsement Introduction heading says LTHORI004; English and both base contents/body identify Introduction as LTHORI001, with LTHORI004 being Excess. Replacement title and clause3 subject identify introduction, while excess has no clause3. Preserve wrong source label, not an amendment of excess.","pages":[1,3,6,7,9,25,26,28]},{"correction_basis":"Paired216dpi confirmation; no invented statutory amendment.","observation":"English16.4 first cites Islamic Financial Services Act2013 then1984 for loss-adjuster valuation evidence; Malay cites2013 in both places. Bounded statutory-year source inconsistency retained; valuation mechanism, absence-of-provider trigger and mutually appointed fallback align. No external legal validity assessment.","pages":[18,38]},{"correction_basis":"004-zoom-038.png ordinary read-only visual review confirmed the negative tiada.","observation":"Initial144dpi note suspected missing absence condition. 216dpi confirms tiada pengeluar is present; Malay fallback is conditional on no supplier/contractor just like English. Suspicion withdrawn, not a substantive finding.","pages":[38]},{"correction_basis":"Paired216dpi LTHORI0035.2/6 review.","observation":"Water exclusion English left unattended is rendered Malay tidak dihuni (unoccupied). Preserve literal language nuance; do not invent a residency definition, grace period or actual coverage outcome. Theft separately specifies &gt;90 cumulative unoccupied days.","pages":[8,27]},{"correction_basis":"Express scope restrictions in FE34 special conditions.","observation":"FE34 special cancellation no refund on participant request applies to the extension only; base pro-rata cancellation remains for base coverage. FE34 notwithstanding cover and special exclusions prevent treating base riot exclusion as automatically voiding extension.","pages":[17,21,22,23,37,41,42,43,44]},{"correction_basis":"Actual saving clauses in both languages.","observation":"FC51 date-recognition exclusion retains subsequent-covered-peril saving. FC48 data/software exclusion retains direct physical-property-damage exception; awkward English participant physical damage phrasing not silently rewritten.","pages":[20,21,40,41]}],"prior_task_id":"B17-MY-018"},"task_id":"B25-MY-004"}</t>
  </si>
  <si>
    <t xml:space="preserve">qa-b25-full-review-20261026/issues-and-clarifications.json#/frozen_execution_correction_history/14</t>
  </si>
  <si>
    <t xml:space="preserve">independent-qa.json#/batches/B25/documents/issues-and-clarifications.json/frozen_execution_correction_history/14</t>
  </si>
  <si>
    <t xml:space="preserve">03eef36bc5e3b854e2e75a4ede7e309b9c4b85301fb68dc13414039353521b4c</t>
  </si>
  <si>
    <t xml:space="preserve">{"artifact":"page_proof","full_metadata_row":{"clarification":"2019Malayinvestmentprofitfinalparagraph reverses24/25: terminationunder24 thenapply25, unlikeEnglish25→24 andMalay surplusparagraph25→24. Actualbothbaseheadingsare24Rights/options and25Termination; preservewrongcrossreferences withoutsilentsourcecorrection.","component":"2019 rights/profit endorsement","correction_basis":"216dpi ordinaryread-onlyvisual paired-pageconfirmation; sourceunchanged.","display_sha256":"c652a6f2f4ea2d50d60a671207ad071f1660c4565cf8a0e536ffa0dfd9c39519","language":"ms","method":"ordinary_read_only_visual_144dpi","physical_page":10,"reviewed_at_utc":"2026-10-26T18:44:42.268206+00:00","semantic_note":"Malay same&lt;=RM10 bank/charity, surplus0104.2 correctly25termination→24rights. Profit split10%/90% matches, but final investment paragraph reverses crossrefs to termination24→apply25 unlike English25→24 and preceding Malay surplus; preserve source reference discrepancy.","semantic_read":true,"task_id":"B25-MY-005"},"physical_page":10,"task_id":"B25-MY-005"}</t>
  </si>
  <si>
    <t xml:space="preserve">qa-b25-full-review-20261026/issues-and-clarifications.json#/frozen_execution_correction_history/15</t>
  </si>
  <si>
    <t xml:space="preserve">independent-qa.json#/batches/B25/documents/issues-and-clarifications.json/frozen_execution_correction_history/15</t>
  </si>
  <si>
    <t xml:space="preserve">1566ae1b2e8c04ca444c40ea74d0b17baa5f217c0c33de1661214029eee12afa</t>
  </si>
  <si>
    <t xml:space="preserve">{"artifact":"page_proof","full_metadata_row":{"clarification":"No bilingual assignment contradiction: both prohibit assignment.","component":"MRTT004 general printed9","corrected_at_utc":"2026-10-26T18:51:42.259647+00:00","correction_basis":"216dpi ordinary read-only enlarged display of Englishp23 clearly shows not before assignable; Malayp43 confirms negative. Initial144dpi note missedEnglishnegation; no sourceedit.","display_sha256":"10a92b687584895d64959b3eac122f7ff60687c66c547f4f424afcf732ef8b67","language":"en","method":"ordinary_read_only_visual_144dpi","physical_page":23,"prior_semantic_note":"Malaysian law prevails; surrender cash account less charge terminates next monthly anniversary. Expiry account value,15day free-look contribution refund less medical expense; benefits assignable. Nominee treatment differentiates nonMuslim/Muslim statutory/inheritance references;2020 adds expiry clauses.","reviewed_at_utc":"2026-10-26T18:47:46.679480+00:00","semantic_note":"English19.1 says benefits are NOT assignable; Malaysianlaw, surrenderaccountlesscharge/nextmonthlytermination, expiryaccount,15dayfree-looklessmedicalcost and nomination provisions read.2020 adds expiry clauses.","semantic_read":true,"task_id":"B25-MY-005"},"physical_page":23,"task_id":"B25-MY-005"}</t>
  </si>
  <si>
    <t xml:space="preserve">qa-b25-full-review-20261026/issues-and-clarifications.json#/frozen_execution_correction_history/16</t>
  </si>
  <si>
    <t xml:space="preserve">independent-qa.json#/batches/B25/documents/issues-and-clarifications.json/frozen_execution_correction_history/16</t>
  </si>
  <si>
    <t xml:space="preserve">c36ed028efef6e62952c69e0db08754e0b2c87b5a6e46781d0d03ceff1065505</t>
  </si>
  <si>
    <t xml:space="preserve">{"artifact":"page_proof","full_metadata_row":{"clarification":"Malaydefinition(m)pointsformulaMRTT010;Englishpoints011,andactualbilingualformula/contentsare011. Formula exists;boundedwronglabel,notmissingannexure.","component":"MRTT003 definitions printed4","correction_basis":"216dpi ordinaryread-onlyvisual paired-pageconfirmation; sourceunchanged.","display_sha256":"d3589589bdde95a8ec0db922dd8aef78a487417a0d600a54c6b5559648b91f53","language":"ms","method":"ordinary_read_only_visual_144dpi","physical_page":38,"reviewed_at_utc":"2026-10-26T18:49:22.777101+00:00","semantic_note":"Malay account netcontribution/investmentgainloss/surplus/tabarru,holderinstitution,monthlyanniversary,qard align. Reducing-sumdefinition refersformulaMRTT010 unlikeEnglish011; actualformula andcontentsare011, so boundedwrongcrossreference retained, notmissingformula.","semantic_read":true,"task_id":"B25-MY-005"},"physical_page":38,"task_id":"B25-MY-005"}</t>
  </si>
  <si>
    <t xml:space="preserve">qa-b25-full-review-20261026/issues-and-clarifications.json#/frozen_execution_correction_history/17</t>
  </si>
  <si>
    <t xml:space="preserve">independent-qa.json#/batches/B25/documents/issues-and-clarifications.json/frozen_execution_correction_history/17</t>
  </si>
  <si>
    <t xml:space="preserve">dcaa1aa2ee6f6249d0eb57b72be203c5d13c05c5686d1ef3d5f571fd405a5dd8</t>
  </si>
  <si>
    <t xml:space="preserve">{"artifact":"page_proof","full_metadata_row":{"clarification":"No bilingual assignment contradiction: both prohibit assignment.","component":"MRTT004 general printed9","corrected_at_utc":"2026-10-26T18:51:42.259684+00:00","correction_basis":"216dpi ordinary read-only enlarged display of Englishp23 clearly shows not before assignable; Malayp43 confirms negative. Initial144dpi note missedEnglishnegation; no sourceedit.","display_sha256":"92c3c3f7a14c19e01b888ca4d6006489230cb798a0a0afad57a58b0bda29d74f","language":"ms","method":"ordinary_read_only_visual_144dpi","physical_page":43,"prior_semantic_note":"Malaysianregulator/law, surrenderaccountlesscharge,nextmonthlytermination,expiryvalue,15dayfree-look align. Material19.1difference: Malay benefits tidak boleh diserah hak (not assignable), whileEnglish23 says assignable; no endorsement seen amending19.1;requiresenlargedconfirmation.","reviewed_at_utc":"2026-10-26T18:49:54.783636+00:00","semantic_note":"Malay19.1 says benefits tidak boleh diserah hak (NOT assignable), matching English. Malaysianlaw, surrenderaccountlesscharge, expiryaccount and15dayfree-look provisions align; initial alleged assignment conflict withdrawn.","semantic_read":true,"task_id":"B25-MY-005"},"physical_page":43,"task_id":"B25-MY-005"}</t>
  </si>
  <si>
    <t xml:space="preserve">qa-b25-full-review-20261026/issues-and-clarifications.json#/frozen_execution_correction_history/18</t>
  </si>
  <si>
    <t xml:space="preserve">independent-qa.json#/batches/B25/documents/issues-and-clarifications.json/frozen_execution_correction_history/18</t>
  </si>
  <si>
    <t xml:space="preserve">c58f709447e801f289cdaeeb7766303bfef2378261afd48b880e26e60347e9d2</t>
  </si>
  <si>
    <t xml:space="preserve">{"artifact":"page_proof","full_metadata_row":{"clarification":"Confirmed bilingualtabarrufactorlistdifferenceandmissinggeneric006clause4; specific010surrenderclausepresent.","component":"MRTT006 charges printed13","correction_basis":"216dpi ordinaryread-onlyvisual paired-pageconfirmation; sourceunchanged.","display_sha256":"72d46fa100af5d137352cb1e688d383673b790b146f61acffe4ae6fca3bd4e4e","language":"ms","method":"ordinary_read_only_visual_144dpi","physical_page":47,"reviewed_at_utc":"2026-10-26T18:50:20.468496+00:00","semantic_note":"Singlecontribution90dayfuturecertificatechanges,wakalah90daynotice(clause2replaced2020),sumatriskfloor0matchEnglish. Tabarrufactors list onlyage/occupation/health, unlikeEnglish additionalgender/underwritingcategory. Malaypageends3.4andnextstarts007, missingEnglish006clause4generic surrender provision, though010specificchargepresent.","semantic_read":true,"task_id":"B25-MY-005"},"physical_page":47,"task_id":"B25-MY-005"}</t>
  </si>
  <si>
    <t xml:space="preserve">qa-b25-full-review-20261026/issues-and-clarifications.json#/frozen_execution_correction_history/19</t>
  </si>
  <si>
    <t xml:space="preserve">independent-qa.json#/batches/B25/documents/issues-and-clarifications.json/frozen_execution_correction_history/19</t>
  </si>
  <si>
    <t xml:space="preserve">9198896f51e0b18ab90792eaedd3434a9f6bccb8fe35e5ab798cc0c4bcb07005</t>
  </si>
  <si>
    <t xml:space="preserve">{"artifact":"page_proof","full_metadata_row":{"clarification":"Confirmedfirsttermheader1–5Malayversus3–5English;notOCRerror.","component":"MRTT010 fees printed18","correction_basis":"216dpi ordinaryread-onlyvisual paired-pageconfirmation; sourceunchanged.","display_sha256":"4c996391e5e66989aa6c5cb9efc8b01b1423f5315682101c35ef1d7a2c606fa9","language":"ms","method":"ordinary_read_only_visual_144dpi","physical_page":52,"reviewed_at_utc":"2026-10-26T18:50:47.865637+00:00","semantic_note":"Malaywakalahpercentages correspondEnglishcellbycell, butfirstfinancingtermheader1–5years vsEnglish3–5bothsexes. Underlyingtermeligibility/ratefor1–2notreconciled. LesserRM50/account surrender,90dayfuturecertificatecondition;2018explicitreplacementapplies.","semantic_read":true,"task_id":"B25-MY-005"},"physical_page":52,"task_id":"B25-MY-005"}</t>
  </si>
  <si>
    <t xml:space="preserve">qa-b25-full-review-20261026/issues-and-clarifications.json#/frozen_execution_correction_history/20</t>
  </si>
  <si>
    <t xml:space="preserve">independent-qa.json#/batches/B25/documents/issues-and-clarifications.json/frozen_execution_correction_history/20</t>
  </si>
  <si>
    <t xml:space="preserve">390a644c374bbd50c0a5e341ccfffd07f9f973ca4879acef979fdd06e2a665c4</t>
  </si>
  <si>
    <t xml:space="preserve">{"artifact":"result","complete_correction_and_clarification_fields":{"clarifications":[{"correction_basis":"Ordinaryread-only216dpiEnglish23 shows are not assignable;Malay43 says tidak boleh diserah hak. Priorsemanticnotes andcorrectionfields retained.","observation":"Bothlanguagesprohibitassignment. Initial144dpi Englishnote missed not andmistakenlyalleged bilingualconflict;216dpiconfirmation withdrewit.","pages":[23,43]},{"correction_basis":"Paired216dpiendorsement andactualbaseheading comparison.","observation":"2019Malayinvestmentprofitfinalparagraph reverses24/25: terminationunder24 thenapply25, unlikeEnglish25→24 andMalay surplusparagraph25→24. Actualbothbaseheadingsare24Rights/options and25Termination; preservewrongcrossreferences withoutsilentsourcecorrection.","pages":[9,10,24,44,45]},{"correction_basis":"Actual011formula pages plusdefinitioncomparison;sourceunchanged.","observation":"Malaydefinition(m)pointsformulaMRTT010;Englishpoints011,andactualbilingualformula/contentsare011. Formula exists;boundedwronglabel,notmissingannexure.","pages":[18,34,38,54]},{"correction_basis":"Paired216dpi21.1 review.","observation":"MastercancellationnoticeEnglish90days vsMalay3months. Theseare not assumedcalendaridentical;bothpreserveexistingindividualcoverageuntil expiry/25event.","pages":[24,44]},{"correction_basis":"Completeadjacentpagesread; specific2018lesserRM50/account andfuturecertificate90dayrevisionrule.","observation":"Malay006ends3.4withoutEnglish006clause4generic surrendercharges. Specific010chargeand2018wholeclause2replacement existinbothlanguages;no inferenceofsurrenderfeeabsenceor doublefee.","pages":[27,47,32,52,11,12]},{"correction_basis":"Paired216dpiTPDdefinition review.","observation":"TPDlimblossEnglish says at or above wrist/ankle;Malay di atas wording literallyabove. Six-monthand3of6ADLtests align;literalboundarynuance retainedwithoutclaimoutcome.","pages":[19,39]},{"correction_basis":"Bothlanguagesexpresswholeclausedeletion/replacementanddates.","observation":"RM53GST2015 andRM50in2018 are chronologicalexplicitentireclause2replacements,notunreconciledsimultaneouscharges.2015GSTfootnote historicalonly.","pages":[11,12,13,14,32,52]},{"correction_basis":"Contentsandactualpageheadings.","observation":"Englishcontentslistsfuneralatprinted16;actualfuneralprinted17andMalaycontents17. Benefitbodypresentandread.","pages":[16,31,36,51]}],"prior_task_id":"B17-MY-019"},"task_id":"B25-MY-005"}</t>
  </si>
  <si>
    <t xml:space="preserve">qa-b25-full-review-20261026/issues-and-clarifications.json#/frozen_execution_correction_history/21</t>
  </si>
  <si>
    <t xml:space="preserve">independent-qa.json#/batches/B25/documents/issues-and-clarifications.json/frozen_execution_correction_history/21</t>
  </si>
  <si>
    <t xml:space="preserve">033ad766ba0d4d88b125649a0e9a6d35e2df193e58879690e6f1d236333149d5</t>
  </si>
  <si>
    <t xml:space="preserve">{"artifact":"page_proof","full_metadata_row":{"component":"general printed5","corrected_at_utc":"2026-10-26T18:38:42.256697+00:00","correction_basis":"216dpi ordinary visual confirmation of p26 without and p40 tanpa; initial144dpi reading with was incorrect. No source amendment.","display_sha256":"f551b98860f9104dacbbacdcd3adb4d3f6b38554af957f183754d83278b97e20","initial_note_before_zoom_correction":"Old age-ineligible fundbenefit limited accumulated tabarru less surplus; oldgender contribution/recalculation rules later2020replaced. Retakaful/reinsuranceShariahapproved; old amendment requires covered consent unlike explicit2020replacement. Severability. First-issued certificate15-dayfree-look: account lessmedicalcost plus deductedtabarru/wakalah refund.","language":"en","method":"ordinary_read_only_visual_144dpi","physical_page":26,"reviewed_at_utc":"2026-10-26T18:32:52.161866+00:00","semantic_note":"Old age-ineligible fund benefit limited accumulated tabarru less surplus; old gender contribution/recalculation rules later2020replaced. Retakaful/reinsurance Shariah-approved. Original English clause9 says WITHOUT covered consent, holder/operator written agreement. Severability. First-issued certificate15-dayfree-look refunds account lessmedicalcost plus deductedtabarru/wakalah.","semantic_read":true,"task_id":"B25-MY-006"},"physical_page":26,"task_id":"B25-MY-006"}</t>
  </si>
  <si>
    <t xml:space="preserve">qa-b25-full-review-20261026/issues-and-clarifications.json#/frozen_execution_correction_history/22</t>
  </si>
  <si>
    <t xml:space="preserve">independent-qa.json#/batches/B25/documents/issues-and-clarifications.json/frozen_execution_correction_history/22</t>
  </si>
  <si>
    <t xml:space="preserve">f3e100aa4f936c0233077b9d5675673bcf183704f8da737c1e3ff3f262bd6e33</t>
  </si>
  <si>
    <t xml:space="preserve">{"artifact":"page_proof","full_metadata_row":{"component":"general printed18","corrected_at_utc":"2026-10-26T18:38:42.256713+00:00","correction_basis":"216dpi ordinary visual confirmation of p26 without and p40 tanpa; initial144dpi reading with was incorrect. No source amendment.","display_sha256":"598169b62f928ca6e81c160f3d5b5726123034098b1bcba6d325463f1b0a696a","initial_note_before_zoom_correction":"Malay oldage/gender recalculations andineligibleage formula; retakaful only whileEnglishalso expressreinsuranceapproval. Oldclause9 says withoutcoveredconsent contraryEnglishwithconsent, but2020entire replacementnowexplicitwithoutconsent; retainhistoricaldifference, notunresolvedcurrentclause. Severabilitybegins.","language":"ms","method":"ordinary_read_only_visual_144dpi","physical_page":40,"reviewed_at_utc":"2026-10-26T18:35:05.083768+00:00","semantic_note":"Malay old age/gender recalculations and ineligible age formula; retakaful only while English additionally expresses reinsurance/approval. Clause9 TANPA izin means without consent, matching English confirmed at216dpi;2020 replacement also without consent. Severability begins.","semantic_read":true,"task_id":"B25-MY-006"},"physical_page":40,"task_id":"B25-MY-006"}</t>
  </si>
  <si>
    <t xml:space="preserve">qa-b25-full-review-20261026/issues-and-clarifications.json#/frozen_execution_correction_history/23</t>
  </si>
  <si>
    <t xml:space="preserve">independent-qa.json#/batches/B25/documents/issues-and-clarifications.json/frozen_execution_correction_history/23</t>
  </si>
  <si>
    <t xml:space="preserve">18a1e7823f357d48fca5bb1a48dd793827200ed84c897e5ea1355cbd6054db22</t>
  </si>
  <si>
    <t xml:space="preserve">{"artifact":"result","complete_correction_and_clarification_fields":{"clarifications":[{"observation":"Clause21 in both languages expressly makes English definitive and prevailing; bilingual differences below are retained but not unresolved choice between equal-priority texts.","pages":[28,42]},{"correction_basis":"p26 enlarged English without; p40 Malay tanpa izin. 2020 also explicitlywithout; no actualhistoricalconsentcontradiction.","observation":"Original amendmentclause9 is without covered consent in BOTH languages. Initial low-resolution note suggesting with consent was corrected after enlargedvisualread.","pages":[26,40]},{"observation":"2012 notice removesSpecialFund and sets50/50. Laterdated contract-specific2019notwithstanding replacementrestates50/25/balance;2020 expresslyreplacesagain to50/50 and fund2 explicitlymentionsSpecialFund thenQardh. Preserve time/scope order; do not erase2020wording usingearlier2012notice or inferdoubleqarddeduction.","pages":[21,35,9,11,3,4,7,8]},{"observation":"Distinct entire surrender-clause replacements retained: undatedRM50,undatedRM50inclusive0%GST,dated2015RM53inclusive6%. No calendar dates inferred for undatedpages and no single current fee adopted. This is document-version scope limitation, not automatically invalidity.","pages":[13,14,15,16,17,18,34,47]},{"observation":"Masterterminationclause15 refersparagraph18 forcontinuing individualcover; actual18 isrecords while20 istermination. Preserve erroneousnumber; do not silently amend or infercovervoid.","pages":[27,41,28,42]},{"observation":"Formula retained literally: RSC=ISC for t=0..12dp; for positive i numerator exponent12n-(t-1),denominator12pp; for i=0 ratio(12n-t)/(12pp). Branch endpoint difference not silently harmonized; separate expresslydefinedbranches, not assumed typo. v=1/(1+i/12),n=dp+pp.","pages":[33,48]},{"observation":"English t runs from Commencement Date; Malay uses Effective Date. Definitions distinguishthese; expressEnglishpriority resolves documentary choice, not proofdatescoincide.","pages":[33,48,28,42]},{"observation":"Malay large-loan rowkeatas can overlap atRM250000 withsmallrow; English explicitabove resolves thresholdat22.5% forRM250000. SourceMalaynotrewritten.","pages":[34,47,28,42]},{"observation":"Malay omits expressreinsurance/Shariahapproval wording and English excludedTPDonsettermination/tabarruceasing sentences. Englishpriority retained; no inferenceofMalayextraentitlement.","pages":[26,40,32,46,47]},{"observation":"Generalterminationread with ThirdSchedule specific notwithstanding residualdeathcontinuation aftersmallerTPD; no unsupportedautomatictotaltermination.","pages":[28,31,32,42,45,46]}],"prior_task_id":"B17-MY-020"},"task_id":"B25-MY-006"}</t>
  </si>
  <si>
    <t xml:space="preserve">qa-b25-full-review-20261026/issues-and-clarifications.json#/frozen_execution_correction_history/24</t>
  </si>
  <si>
    <t xml:space="preserve">independent-qa.json#/batches/B25/documents/issues-and-clarifications.json/frozen_execution_correction_history/24</t>
  </si>
  <si>
    <t xml:space="preserve">e73f3efe21d65538b5c78802df9ff6392b1105ffa032533f9d1fbbcf83ebc970</t>
  </si>
  <si>
    <t xml:space="preserve">{"artifact":"page_proof","full_metadata_row":{"clarification":"216dpi confirms literal positive-interest numerator1-v^((12*n)-(t-1));zero-interest numerator12*n-t;denominator12*pp;no silent formula normalization. EnglishtimeoriginCommencementDate governs overMalayEffectiveDate viaSecond21.","component":"Fifthformula printed13","correction_basis":"Direct216dpi visual comparison physical34/48 andEnglishpriority28/42;initialpendingconfirmationclosed.","display_sha256":"04acb5d17c2c220a75511a9a6d3a774ff4befa7ce3d1177ce7617dcee286a71c","language":"en","method":"ordinary_read_only_visual_144dpi","physical_page":34,"reviewed_at_utc":"2026-10-26T19:08:38.285197+00:00","semantic_note":"ThreeexplicitRSCbranches: ISCthrough12dp;positiveinterestdiscountformula exponent12n-(t-1), denominator12pp;zerointerest(12n-t)/(12pp)timesISC;v=1/(1+i/12),n=dp+pp,tmonths. Exactexponent/branchreadingpending216dpi;do notsilentlynormalize.","semantic_read":true,"task_id":"B25-MY-007"},"physical_page":34,"task_id":"B25-MY-007"}</t>
  </si>
  <si>
    <t xml:space="preserve">qa-b25-full-review-20261026/issues-and-clarifications.json#/frozen_execution_correction_history/25</t>
  </si>
  <si>
    <t xml:space="preserve">independent-qa.json#/batches/B25/documents/issues-and-clarifications.json/frozen_execution_correction_history/25</t>
  </si>
  <si>
    <t xml:space="preserve">c691aebdfe027f951b1bc8d26a95f3718090edfdd18e7abc0c2b10992ba771eb</t>
  </si>
  <si>
    <t xml:space="preserve">{"artifact":"page_proof","full_metadata_row":{"clarification":"216dpi confirms literal positive-interest numerator1-v^((12*n)-(t-1));zero-interest numerator12*n-t;denominator12*pp;no silent formula normalization. EnglishtimeoriginCommencementDate governs overMalayEffectiveDate viaSecond21.","component":"Fifthformula printed26","correction_basis":"Direct216dpi visual comparison physical34/48 andEnglishpriority28/42;initialpendingconfirmationclosed.","display_sha256":"c0d141afcd415e634508bdf4ceb07062af260200a2f3f98a1de8ae180d08d0a0","language":"ms","method":"ordinary_read_only_visual_144dpi","physical_page":48,"reviewed_at_utc":"2026-10-26T19:09:48.859338+00:00","semantic_note":"MalaythreeRSCformula branchesappear matchsymbolsEnglish; tmonthslabelTarikhBerkuatkuasa(effective) vsEnglishCommencementDate;Englishpriorityresolvestimeorigin. Zoompendingexactexponents.","semantic_read":true,"task_id":"B25-MY-007"},"physical_page":48,"task_id":"B25-MY-007"}</t>
  </si>
  <si>
    <t xml:space="preserve">qa-b25-full-review-20261026/issues-and-clarifications.json#/frozen_execution_correction_history/26</t>
  </si>
  <si>
    <t xml:space="preserve">independent-qa.json#/batches/B25/documents/issues-and-clarifications.json/frozen_execution_correction_history/26</t>
  </si>
  <si>
    <t xml:space="preserve">87a253043cf4e559b91e643055995e6cce198e3e783919d6cefc9a9a5fbe25e6</t>
  </si>
  <si>
    <t xml:space="preserve">"result"</t>
  </si>
  <si>
    <t xml:space="preserve">qa-b25-full-review-20261026/issues-and-clarifications.json#/frozen_execution_correction_history/27/artifact</t>
  </si>
  <si>
    <t xml:space="preserve">independent-qa.json#/batches/B25/documents/issues-and-clarifications.json/frozen_execution_correction_history/27/artifact</t>
  </si>
  <si>
    <t xml:space="preserve">d9fd9a3d81d750e6edc61aec66e7c4112f7af7c34ebe0a0d20189464ec9df135</t>
  </si>
  <si>
    <t xml:space="preserve">{"clarifications":[{"clarification":"2012removedSpecialFundclauses;2019and2020explicitlaterreplacementsreintroducenamedfundreferences tospecifiedextent.2020Fourth3 controls50/50,not2019/base50/25/balance.2020fund2stillusesSpecialFundbeforeQard. No cumulativeallocations/doubleQard inference.","correction_basis":"Dated notwithstanding endorsements and exact replacementtargets;chronology ratherthanphysicalorder.","pages":[1,3,4,8,9,11,21,35]},{"clarification":"Englishprevails expresslySecond21. ResolvesMalayomittedShariahreinsuranceapproval/TPDtabarrucease,sameRM250000boundarykeatas, andformulaEffectiveversusCommencementDate. Preservebilingualdifferences without treating unresolvedafterpriority.","correction_basis":"Englishp28 andMalayp42 languagepriority confirmed216dpi.","pages":[26,28,34,40,42,47,48]},{"clarification":"Mastertermination15 referencesparagraph18 though18 isrecords;actualindividualtermination20 andThirdbenefitsidentifyevents. Boundedcrossreferenceerror,notautomaticinvalidity.","correction_basis":"Readbothlanguageclauses15,18,20andbenefittermination.","pages":[27,28,41,42]},{"clarification":"Positive-interest andzero-interest formulas differ byone-monthnumerator convention;literalbranchesconfirmed,notnormalizedorcalledmathematicalinvalidity.","correction_basis":"216dpiEnglish/Malayformula confirmation.","pages":[34,48]},{"clarification":"Scope correction: separate historical surrendercharge replacements are each understandable and not stated to apply simultaneously. No effective date for RM50 layers; cannot establish relevant applicability period/currentadoption, but that uncertainty alone is not an unresolved same-level operative contradiction and does not defeat file-level verified proposal.","correction_basis":"Reconsidered distinction between document-level semantic verification and choosing an adopted historical version. Originalneeds_reviewclassification retained; allsourceamounts/datesunchanged. No inferencefromotherPDF.","pages":[13,14,15,16,17,18]}],"classification_corrected_at_utc":"2026-10-26T19:14:35.121790+00:00","correction_basis":"No initialsemanticerrorrequiredwithdrawal;pendingformula readingsclosedbyenlargedcomparison andexpresslanguagepriority. Pageproofretainsinitialpendingnoteswithclarification. Classification correction: earlierneeds_review was based onlyonundatedhistoricalfee ordering, not a simultaneous textualcontradiction; nowverifiedproposalwithlimits andpriorclassification preserved.","initial_classification_before_scope_correction":{"finding":[{"component":"FourthSchedule2 surrendercharge replacements","effect":"Operative surrenderamount/version ordering remainsunresolved withinthisfile. Not an assertionofdoublecharge,invalidity,orcurrenttaxrate.","finding":"Two undated endorsements replace surrendercharge with min(RM50,account), oneincludingGSTcurrently0%;dated1April2015 endorsement replaces sameclause withmin(RM53includingGST6%,account). Neitherundatedeffective date is supplied;fileposition alone does not establishoperative chronology.","id":"007-F1","pages":[13,14,15,16,17,18]}],"strict_blocker_basis":["Undated operativeRM50 surrenderreplacement chronology versusdatedRM53replacementnotresolvablefromthefile."],"strict_eligible_proposal":false,"verification_status":"needs_review"},"prior_task_id":"B17-MY-021"}</t>
  </si>
  <si>
    <t xml:space="preserve">qa-b25-full-review-20261026/issues-and-clarifications.json#/frozen_execution_correction_history/27/complete_correction_and_clarification_fields</t>
  </si>
  <si>
    <t xml:space="preserve">independent-qa.json#/batches/B25/documents/issues-and-clarifications.json/frozen_execution_correction_history/27/complete_correction_and_clarification_fields</t>
  </si>
  <si>
    <t xml:space="preserve">b05b470d3b19c0178af45b18e91ec6b508e85e4f3720b4af244e84fd6e88225d</t>
  </si>
  <si>
    <t xml:space="preserve">qa-b25-full-review-20261026/issues-and-clarifications.json#/frozen_execution_correction_history/27/task_id</t>
  </si>
  <si>
    <t xml:space="preserve">independent-qa.json#/batches/B25/documents/issues-and-clarifications.json/frozen_execution_correction_history/27/task_id</t>
  </si>
  <si>
    <t xml:space="preserve">{"artifact":"page_proof","full_metadata_row":{"clarification":"English MRTTRI008 2.1(c) expressly includes immorality as an additional TPD exclusion; Malay equivalent lists suicide, attempted suicide and intentional self-injury but no equivalent immorality phrase. No express language-priority clause found in present pages.","component":"008TPD printed12","corrected_at_utc":"2026-10-26T19:24:09.623957+00:00","correction_basis":"Independent216dpi reread of physical pages32 and47 identified omission from initial short note, not a source amendment.","display_sha256":"5f647fd35ef3a52558e8bb089bf41333373ef8a8ad6f194d9327a5badbf8256a","initial_note_before_zoom_correction":"TPDpaysreducingminusaccount+account oraccountifgreater;on/aftereffective,inforce,before65monthlyanniversary/priorlastcoverage. Exclusionswar,intoxication,selfharm/noncommercialair/crimeexceptinnocent/AIDS/artificialbreathingunderwater/nuclear. NoaggregateRM2mlimitinthispage.","language":"en","method":"ordinary_read_only_visual_144dpi","physical_page":32,"reviewed_at_utc":"2026-10-26T19:17:22.587594+00:00","semantic_note":"TPDpaysreducingminusaccount+account oraccountifgreater;on/aftereffective,inforce,before65monthlyanniversary/priorlastcoverage. Exclusionswar,intoxication,selfharm/noncommercialair/crimeexceptinnocent/AIDS/artificialbreathingunderwater/nuclear. NoaggregateRM2mlimitinthispage. English MRTTRI008 2.1(c) expressly includes immorality as an additional TPD exclusion; Malay equivalent lists suicide, attempted suicide and intentional self-injury but no equivalent immorality phrase. No express language-priority clause found in present pages.","semantic_read":true,"task_id":"B25-MY-008"},"physical_page":32,"task_id":"B25-MY-008"}</t>
  </si>
  <si>
    <t xml:space="preserve">qa-b25-full-review-20261026/issues-and-clarifications.json#/frozen_execution_correction_history/28</t>
  </si>
  <si>
    <t xml:space="preserve">independent-qa.json#/batches/B25/documents/issues-and-clarifications.json/frozen_execution_correction_history/28</t>
  </si>
  <si>
    <t xml:space="preserve">3d806a4c5527ed4bdf9db214556b737ffa3350c345e320eabc7139307a6b57ce</t>
  </si>
  <si>
    <t xml:space="preserve">{"artifact":"page_proof","full_metadata_row":{"clarification":"English MRTTRI008 2.1(c) expressly includes immorality as an additional TPD exclusion; Malay equivalent lists suicide, attempted suicide and intentional self-injury but no equivalent immorality phrase. No express language-priority clause found in present pages.","component":"MRTTRI008 TPD1–2","corrected_at_utc":"2026-10-26T19:24:09.623974+00:00","correction_basis":"Independent216dpi reread of physical pages32 and47 identified omission from initial short note, not a source amendment.","display_sha256":"9f97c7d8c1f3fec6f91647f697257537073784788d5ff6858944418c55f0c9a8","initial_note_before_zoom_correction":"TPD pays RSC less account plus account or higher account, onset effective/in force and before monthly anniversary on/after age65 and last coverage; exclusions war, intoxication, intentional self-harm, aviation except scheduled commercial passenger, criminal acts except innocent party, AIDS. 2015 endorsement adds commencement/in-force language to1.1.","language":"Malay","method":"ordinary_read_only_visual_144dpi","physical_page":47,"reviewed_at_utc":"2026-10-26T19:20:58.446819+00:00","semantic_note":"TPD pays RSC less account plus account or higher account, onset effective/in force and before monthly anniversary on/after age65 and last coverage; exclusions war, intoxication, intentional self-harm, aviation except scheduled commercial passenger, criminal acts except innocent party, AIDS. 2015 endorsement adds commencement/in-force language to1.1. English MRTTRI008 2.1(c) expressly includes immorality as an additional TPD exclusion; Malay equivalent lists suicide, attempted suicide and intentional self-injury but no equivalent immorality phrase. No express language-priority clause found in present pages.","semantic_read":true,"task_id":"B25-MY-008"},"physical_page":47,"task_id":"B25-MY-008"}</t>
  </si>
  <si>
    <t xml:space="preserve">qa-b25-full-review-20261026/issues-and-clarifications.json#/frozen_execution_correction_history/29</t>
  </si>
  <si>
    <t xml:space="preserve">independent-qa.json#/batches/B25/documents/issues-and-clarifications.json/frozen_execution_correction_history/29</t>
  </si>
  <si>
    <t xml:space="preserve">10f21384bd731403146753bd1a93946e19c7c871b7f62e1160509499baf51bea</t>
  </si>
  <si>
    <t xml:space="preserve">{"artifact":"result","complete_correction_and_clarification_fields":{"clarifications":[{"clarification":"2018 and2015 surrender endorsements both explicitly delete/rewrite0092 in entirety; effective dates establish historical sequence, not double fee or unresolved simultaneous rate.","pages":[13,14,15,16]},{"clarification":"Missing MRTTRI002 printed3 and personal certificate/annualRSC schedule are preserved component/context limits, not by themselves the reason for needs_review. Formula ambiguity is grounded in present operative003/010 wording, not assumed missing personal sum.","pages":[22,23,24,37,38,39]},{"clarification":"General18 surrender termination is read with specific11.1 first monthly anniversary after surrender payment; no automatic contradiction asserted.","pages":[27,28,42,43]},{"clarification":"Initial short notes omitted English immorality exclusion distinction.216dpi bilingual reread added and preserved the correction in page proof.","pages":[32,47]},{"clarification":"No zero-profit-rate branch appears; a hypothetical zero input would make displayedratio0/0, but no zero-rate loan applicability is established, so not used as independent strict blocker.","pages":[35,50]}],"correction_basis":[{"basis":"216dpi original-resolution displays confirmed English immorality phrase and absence from corresponding Malay list. Original short notes retained in initial_note_before_zoom_correction; no source text modified.","pages":[32,47]}],"prior_task_id":"B17-MY-022"},"task_id":"B25-MY-008"}</t>
  </si>
  <si>
    <t xml:space="preserve">qa-b25-full-review-20261026/issues-and-clarifications.json#/frozen_execution_correction_history/30</t>
  </si>
  <si>
    <t xml:space="preserve">independent-qa.json#/batches/B25/documents/issues-and-clarifications.json/frozen_execution_correction_history/30</t>
  </si>
  <si>
    <t xml:space="preserve">5f6f053dad8d2ce0c76b8612a58e700973aa48d7316861b5b4f8fcde842c4c7b</t>
  </si>
  <si>
    <t xml:space="preserve">{"artifact":"result","complete_correction_and_clarification_fields":{"clarifications":[{"clarification":"Dated2018whole0102 replacement resolves earlier2015RM53/GST6% history tolesserRM50/account within source; no simultaneousfee/doublechargeclaim.","pages":[11,12,13,14]},{"clarification":"Englishcontentsfuneral009 pointsprinted16; actualfuneralprinted17present. Malaycontentscorrect17. Boundedlookupdefect, not missingfuneralcomponent.","pages":[16,31,36,51]},{"clarification":"Malay003RSCdefinition points010, but uniqueactualformulais011presentinbothlanguages. Preservecodeerror separately from amount-factorambiguity.","pages":[18,34,38,54]},{"clarification":"Missing002printed3/personalcertificate/annualRSCschedule retained ascontextlimit; absencealone notthebasisforneeds_review.","pages":[16,17,18,36,37,38]},{"clarification":"Specificcashvalue16.1 firstmonthlyannivaftersurrenderpayment read withgeneral25surrendertermination, notautomaticcontradiction.","pages":[23,24,43,44,45]},{"clarification":"Malay006omitsEnglish4surrendercharge subsection, but2018bilingual0102expresslyprovides charge/90daynotice/prospectivecertificaterule; noindependentmissingfeeblock.","pages":[27,47,11,12]},{"clarification":"Nozeroprofitratebranchwritten; hypotheticalzeroinputdomainnotestablished, sonotindependentstrictblock.","pages":[34,54]}],"correction_basis":[],"prior_task_id":"B17-MY-023"},"task_id":"B25-MY-009"}</t>
  </si>
  <si>
    <t xml:space="preserve">qa-b25-full-review-20261026/issues-and-clarifications.json#/frozen_execution_correction_history/31</t>
  </si>
  <si>
    <t xml:space="preserve">independent-qa.json#/batches/B25/documents/issues-and-clarifications.json/frozen_execution_correction_history/31</t>
  </si>
  <si>
    <t xml:space="preserve">22e44daf6949dedf9e0f5d8d14d12ac8112ce6c57c2eb3e2b8892fb11f577913</t>
  </si>
  <si>
    <t xml:space="preserve">{"artifact":"result","complete_correction_and_clarification_fields":{"clarifications":[{"observation":"2020age8,surrender13,fund1,wakalah2 areentirereplacements;definitionsadded/renumbered. 2019change11.1replaced andrights12.3/surplus4.2added. Do notretainoldineligibleage8.3asanindependentunamendedcondition.","pages":[1,2,3,4,5,6,7,8,9]},{"observation":"Generalcertificateendafterbenefitpayment readwithspecificRTT0063.1(b)/RTT0071.6and6.1(a)preservingdeathafterlowerTPD. Notautomaticunresolvedterminationconflict.","pages":[15,17,20,21,23,32,34,37,38,40]},{"observation":"Both displayedformulas:IA(t)=min(SC*((1+il*rp/12)-P(t)-R(t)),SC);P(t)=(1+il*rp/12)/rp*t;R(t)=((rp-t)*(rp+1-t)/(rp*(rp+1)))*il*rp/12. ContributionSC*rate/1000. SCmultiplieswholeinnerexpression;do notmisreadasSC-onlyfirstterm.","pages":[25,42]},{"observation":"Malayeligibility4.1specifiespersonalfinancing-iapplicant;Englishgenericparticipantsspecifiedmasterschedule. Keepbothandmissingmasterscheduledetails;donotassertallloantypeseligible.","pages":[13,29]},{"observation":"NominationEnglishcertificateholdervsMalaycovered;noticeheading21Malaynumber19.1retainedasboundednumberingdefect;notshiftnoticeintownershipclause.","pages":[17,33]},{"observation":"RTT002masterschedule/printed3absent. Malayfooters25switch22onRTT008andlastprinted22;do notderiveanexactmissingpagecountfrominconsistentpagination.42actualpagesallread.","pages":[11,12,27,28,41,42]},{"observation":"Personalcontribution/wakalahandholderdetailsunestablishedbydesignofRTT008references;thisaloneisnotstrictblocker. PrimaryblockerismissingRTT010andmaterialexistingwordingdifferences.","pages":[24,41,8,9]}],"prior_task_id":"B17-MY-026"},"task_id":"B25-MY-010"}</t>
  </si>
  <si>
    <t xml:space="preserve">qa-b25-full-review-20261026/issues-and-clarifications.json#/frozen_execution_correction_history/32</t>
  </si>
  <si>
    <t xml:space="preserve">independent-qa.json#/batches/B25/documents/issues-and-clarifications.json/frozen_execution_correction_history/32</t>
  </si>
  <si>
    <t xml:space="preserve">a757440c6b4e5c07c98d1627da62de674960e5fae580855472e0e1ce844293dc</t>
  </si>
  <si>
    <t xml:space="preserve">{"artifact":"result","complete_correction_and_clarification_fields":{"clarifications":[{"observation":"2025notwithstandingendorsement expressly revises/amendsSRE00328 and supplies fullnewclause; basegeneralstops27. Do nottreat absentold28asseparateunreadoperativecomponentwhenfullreplacementispresent.","pages":[1,2,12,32]},{"observation":"Englishdeathdefinition referencesliteralSR010;MalaySRE010 andboth actualformulaheadingsSRE010. Subject/formulalocationresolvesboundedcrossreferencevariant;notmissingformula.","pages":[5,21,24,41]},{"observation":"Specific lowerTPDcontinuation/proportionatedeathreduction provisions readwithgeneraltermination/payment clauses;notautomaticunresolvedterminationcontradiction.","pages":[10,12,15,16,17,30,31,35,36,37,38]},{"observation":"No contributionrefundoutsidefree-look distinct from expresscashvalue accountlesssurrendercharge/debt;doesnotnegatesurrendercashbenefit.","pages":[10,11,29,30,31]},{"observation":"SRE010completeformula levelt&lt;=D then IA=min(SC*((1+il*rp/12)-P(t)-R(t)),SC);P=((1+il*rp/12)/rp)*(t-D);R=((rp+D-t)*(rp+D+1-t)/(rp*(rp+1)))*il*(rp/12). SCmultiplieswholeinnerexpression;bothlanguagesmatch. rp excludesdefermentD.","pages":[20,21,40,41]},{"observation":"Englishprinted1–19 consecutive;Malaycover,introduction2,then4–21,withoutSRE002. Personalholderschedule/individualcertificateabsent limits packageandrateapplicationonly;notprimarystrictblocker.","pages":[3,4,5,22,23,24]},{"observation":"Malayhazardoussports examples saymountainclimbing,Englishrockclimbingormountaineering; broadnonexhaustivehazardousactivityexclusionretained,nocoveragegapinferred.","pages":[16,17,36,37]}],"correction_basis":"No semantic reversal required after22 targeted216dpi checks. Boundedcode/paginationandgeneral-versus-specificclarifications preserveoriginalwording;proposalsnotcurrentlegalinterpretations.","prior_task_id":"B17-MY-027"},"task_id":"B25-MY-011"}</t>
  </si>
  <si>
    <t xml:space="preserve">qa-b25-full-review-20261026/issues-and-clarifications.json#/frozen_execution_correction_history/33</t>
  </si>
  <si>
    <t xml:space="preserve">independent-qa.json#/batches/B25/documents/issues-and-clarifications.json/frozen_execution_correction_history/33</t>
  </si>
  <si>
    <t xml:space="preserve">dab7ce42954447b11180d87f9d7095fc2a22f8013ca274b3e67d396783e3710e</t>
  </si>
  <si>
    <t xml:space="preserve">{"artifact":"page_proof","full_metadata_row":{"clarification":"BaseSR0083.1prints50/50surplusandasteriskoldRM2description.2019saysdescriptionunder3.1isreplacedandreplacementbeginsasteriskeligibility. This supportseligibility-footnote readingbutdoesnotreprintallocationratio; preserveamendmentscopeambiguity ratherthanassert anewrate, extinguishedratio, orunqualifiedcurrent50/50.","component":"2019 endorsement","correction_basis":"Paired216dpireview ofexpressreplacementlanguage,asterisks,baseallocationtableandallothertermsunchanged.","display_sha256":"a57f072421cf697d4f44c96d97c1e499dd7f86e6642a5b0ea8146671b59fa190","language":"en","method":"ordinary_read_only_visual_144dpi","physical_page":6,"reviewed_at_utc":"2026-10-26T18:56:22.266305+00:00","semantic_note":"Permanenttotalparalysisand2appointedexaminerapprovalcompleteTPD. Rights14.3&lt;=RM10perowner/yearbankorcharityreplacement;deletes15.3surrenderand22.3cash. SR0083.1replacementtext eligibilitynotlapsed/notsurrenderedbeforeyearend;terminated16atdistributionapplies14;asteriskretainedforbasecomparison.","semantic_read":true,"task_id":"B25-MY-012"},"physical_page":6,"task_id":"B25-MY-012"}</t>
  </si>
  <si>
    <t xml:space="preserve">qa-b25-full-review-20261026/issues-and-clarifications.json#/frozen_execution_correction_history/34</t>
  </si>
  <si>
    <t xml:space="preserve">independent-qa.json#/batches/B25/documents/issues-and-clarifications.json/frozen_execution_correction_history/34</t>
  </si>
  <si>
    <t xml:space="preserve">f083e3a0e5b34b2e4c90f776384f84bc7870b1f5179dec85a3e44be88fb24938</t>
  </si>
  <si>
    <t xml:space="preserve">{"artifact":"page_proof","full_metadata_row":{"clarification":"BaseSR0083.1prints50/50surplusandasteriskoldRM2description.2019saysdescriptionunder3.1isreplacedandreplacementbeginsasteriskeligibility. This supportseligibility-footnote readingbutdoesnotreprintallocationratio; preserveamendmentscopeambiguity ratherthanassert anewrate, extinguishedratio, orunqualifiedcurrent50/50.","component":"2019 endorsement","correction_basis":"Paired216dpireview ofexpressreplacementlanguage,asterisks,baseallocationtableandallothertermsunchanged.","display_sha256":"24e1bfe5794a6e2e06661cf4be623c815444b61192543ca25acaaa82e7560f47","language":"ms","method":"ordinary_read_only_visual_144dpi","physical_page":8,"reviewed_at_utc":"2026-10-26T18:56:22.266996+00:00","semantic_note":"Malayseveredtwo limbs/eye-and-limbat/abovejoint,permanentparalysis,2examiners align. Rights&lt;=RM10bank/charity,deletes15.3/22.3andSR0083.1eligibility/16→14sameEnglish;no simultaneousdeletedclauses inferred.","semantic_read":true,"task_id":"B25-MY-012"},"physical_page":8,"task_id":"B25-MY-012"}</t>
  </si>
  <si>
    <t xml:space="preserve">qa-b25-full-review-20261026/issues-and-clarifications.json#/frozen_execution_correction_history/35</t>
  </si>
  <si>
    <t xml:space="preserve">independent-qa.json#/batches/B25/documents/issues-and-clarifications.json/frozen_execution_correction_history/35</t>
  </si>
  <si>
    <t xml:space="preserve">bc2ace42cded6d7cc291e7042bb32efb0df01a0ddfe77f97efa53f441620398f</t>
  </si>
  <si>
    <t xml:space="preserve">{"artifact":"page_proof","full_metadata_row":{"clarification":"BaseSR0083.1prints50/50surplusandasteriskoldRM2description.2019saysdescriptionunder3.1isreplacedandreplacementbeginsasteriskeligibility. This supportseligibility-footnote readingbutdoesnotreprintallocationratio; preserveamendmentscopeambiguity ratherthanassert anewrate, extinguishedratio, orunqualifiedcurrent50/50.","component":"SR008 fees/surplus printed17","correction_basis":"Paired216dpireview ofexpressreplacementlanguage,asterisks,baseallocationtableandallothertermsunchanged.","display_sha256":"309d6cc005d23b19e1773eacd04f763419b747fa59d5525ae7369ac77005e724","language":"en","method":"ordinary_read_only_visual_144dpi","physical_page":24,"reviewed_at_utc":"2026-10-26T18:58:37.189770+00:00","semantic_note":"Wakalahpercentagerefersindividualcertificate;operatorRM10stamp. Base50/50surplus withasteriskeligibilityfootnoteRM2bank/charity.2019replacementintroducedasteriskeligibilitytextunder3.1,readwithunchangedratioandexplicitnew14.3;preservewording scope ratherthan inventnewrate.","semantic_read":true,"task_id":"B25-MY-012"},"physical_page":24,"task_id":"B25-MY-012"}</t>
  </si>
  <si>
    <t xml:space="preserve">qa-b25-full-review-20261026/issues-and-clarifications.json#/frozen_execution_correction_history/36</t>
  </si>
  <si>
    <t xml:space="preserve">independent-qa.json#/batches/B25/documents/issues-and-clarifications.json/frozen_execution_correction_history/36</t>
  </si>
  <si>
    <t xml:space="preserve">3b6a999c74cfd7e1136dc8836fbd356793399f5b81aa890845eb3b1d2d18e21d</t>
  </si>
  <si>
    <t xml:space="preserve">{"artifact":"page_proof","full_metadata_row":{"clarification":"BaseSR0083.1prints50/50surplusandasteriskoldRM2description.2019saysdescriptionunder3.1isreplacedandreplacementbeginsasteriskeligibility. This supportseligibility-footnote readingbutdoesnotreprintallocationratio; preserveamendmentscopeambiguity ratherthanassert anewrate, extinguishedratio, orunqualifiedcurrent50/50.","component":"SR008 fees / surplus","correction_basis":"Paired216dpireview ofexpressreplacementlanguage,asterisks,baseallocationtableandallothertermsunchanged.","display_sha256":"065699362aee7380df1a08ef53fa283cbf4de815d1333797105f95ffc7a8f0e3","language":"ms","method":"ordinary_read_only_visual_144dpi","physical_page":43,"reviewed_at_utc":"2026-10-26T19:03:43.779056+00:00","semantic_note":"Wakalah rate refers to individual certificate; operator bears RM10 stamp duty. Base 50/50 surplus allocation has eligibility asterisk; 2019 replaces its description. Footer says Reducing Term Takaful and 19 of 22 unlike surrounding Sinar Riayah 23-page footer, a literal template label discrepancy.","semantic_read":true,"task_id":"B25-MY-012"},"physical_page":43,"task_id":"B25-MY-012"}</t>
  </si>
  <si>
    <t xml:space="preserve">qa-b25-full-review-20261026/issues-and-clarifications.json#/frozen_execution_correction_history/37</t>
  </si>
  <si>
    <t xml:space="preserve">independent-qa.json#/batches/B25/documents/issues-and-clarifications.json/frozen_execution_correction_history/37</t>
  </si>
  <si>
    <t xml:space="preserve">58af91ad7cd45bc6cbf7e479bc6fe9d49c82a65774f83aa7cfd86fff6c1a23e0</t>
  </si>
  <si>
    <t xml:space="preserve">{"artifact":"result","complete_correction_and_clarification_fields":{"clarifications":[{"correction_basis":"Paired216dpireview ofexpressreplacementlanguage,asterisks,baseallocationtableandallothertermsunchanged.","observation":"BaseSR0083.1prints50/50surplusandasteriskoldRM2description.2019saysdescriptionunder3.1isreplacedandreplacementbeginsasteriskeligibility. This supportseligibility-footnote readingbutdoesnotreprintallocationratio; preserveamendmentscopeambiguity ratherthanassert anewrate, extinguishedratio, orunqualifiedcurrent50/50.","pages":[6,8,24,43]},{"correction_basis":"ActualbaseSR004and2020replacementtextreviewed,including216dpi.","observation":"English2020SR004heading saysGeneralconditionsbutactualSR004isfundprovisions;Malayheadingisfund. Malaycostparagraphrepeats1.1after1.4thenrenumberssurplus/qard1.5/1.6. Wholefund1replacementandcontentmakeintendedcomponentclear;labeldifferencesnotnewbenefits.","pages":[1,4,19,37]},{"correction_basis":"Bothlanguages216dpibaseanddeletionconfirmation.","observation":"Baselegal18literallybarsactionbeforeexpiryof2years,notafter;2020expresslydeleteswhole18andrenumbersfollowingclauses. Notclaimedasoperative2yearbar.","pages":[17,35,1,3]},{"correction_basis":"ExpressspecificSR0063.1b/SR0071.7,1.8,5.1a inbothlanguages.","observation":"GeneralpaymentterminationreadwithspecificlesserTPDdeathcontinuance,notasautomaticterminationaftereverypartialTPDpayment. DeathbeforeTPDpaymentpaysdeathonly;no doubledbenefitsinferred.","pages":[18,21,22,23,36,39,40,41]},{"correction_basis":"216dpiparentheses,negative signs,denominatorsandbilingualdefinitionsconfirmed;no personalcalculation.","observation":"SR009:levelsumfor t&lt;=D; thereafter IA(t)=min(SC*((1+il*(rp/12))-P(t)-R(t)),SC); P(t)=((1+il*(rp/12))/rp)*(t-D); R(t)=((rp+D-t)*(rp+D+1-t)/(rp*(rp+1)))*il*(rp/12). Contribution=initialsum*rate/1000. Thisisnotcashvalueformula.","pages":[25,44]},{"correction_basis":"216dpifooterandpairedSR008bodycomparison.","observation":"MalaySR008footerlabelsReducingTermTakafuland19of22,unlikesurroundingSinarRiayah23-pagefooter. AnnexurecodeandmatchingEnglishfee/surplusbodyidentifylocalcomponent; retainedasliteraltemplate discrepancy,notasprovenforeigncontractinsertion.","pages":[43]}],"prior_task_id":"B17-MY-028"},"task_id":"B25-MY-012"}</t>
  </si>
  <si>
    <t xml:space="preserve">qa-b25-full-review-20261026/issues-and-clarifications.json#/frozen_execution_correction_history/38</t>
  </si>
  <si>
    <t xml:space="preserve">independent-qa.json#/batches/B25/documents/issues-and-clarifications.json/frozen_execution_correction_history/38</t>
  </si>
  <si>
    <t xml:space="preserve">b04cc696ef1459b6cc6513f015d2b945f1431387d7518c148a28fb6f096cf07a</t>
  </si>
  <si>
    <t xml:space="preserve">{"artifact":"page_proof","full_metadata_row":{"clarification":"Renewal-bonus EN1.1 starts second certificate year; MS1.1 says second anniversary while its own table gives year2=10%. 2018 replaces only1.3,not1.1. Timing discrepancy remains unresolved.","component":"PA008 renewal bonus","corrected_at_utc":"2026-10-26T19:23:00.427157+00:00","correction_basis":"216dpi visual comparison physical46/81 and2018 physical8/14.","display_sha256":"9614d2d20d8f05fe9fba1edba149ab24245ac7cfb56902818dd8b4047aebe889","language":"en","method":"ordinary_read_only_visual_144dpi","physical_page":46,"reviewed_at_utc":"2026-10-26T19:11:28.835153+00:00","semantic_note":"Year1zero,year2plus10%,year3onplus20%thenlevel;paidrenewalcontributionrequired,schemechangeresetsfirstyear.1.3scopeamended2018toincludeinfectionbenefits.","semantic_read":true,"task_id":"B25-MY-013"},"physical_page":46,"task_id":"B25-MY-013"}</t>
  </si>
  <si>
    <t xml:space="preserve">qa-b25-full-review-20261026/issues-and-clarifications.json#/frozen_execution_correction_history/39</t>
  </si>
  <si>
    <t xml:space="preserve">independent-qa.json#/batches/B25/documents/issues-and-clarifications.json/frozen_execution_correction_history/39</t>
  </si>
  <si>
    <t xml:space="preserve">401fc8d1d159363c5f6a7aff98370358d69fb881b986e9426ff6e9bef6026c23</t>
  </si>
  <si>
    <t xml:space="preserve">{"artifact":"page_proof","full_metadata_row":{"clarification":"Medical excess clause1.3: EN third-party amount payable,MS amount already paid (telah dibayar); preserve as material wording difference,not choose a settlement rule.","component":"PA010 accident medical","corrected_at_utc":"2026-10-26T19:23:00.427174+00:00","correction_basis":"216dpi visual comparison physical48/83.","display_sha256":"d898323d0126bcaaf6294cebf0591a7b4e8f59adeb17d7bfd24a35c9f8a7458b","language":"en","method":"ordinary_read_only_visual_144dpi","physical_page":48,"reviewed_at_utc":"2026-10-26T19:11:28.835462+00:00","semantic_note":"Firsttreatment48h,subsequent180days,inforce/doctor/necessary/reasonable. Thirdpartyreimbursementclauseexcessaboveamountpayablebythirdparty;originalreceipts,annualresetnotcumulative,schemeclaimremovesnextNCD;death/TPD/ineligibilityends.","semantic_read":true,"task_id":"B25-MY-013"},"physical_page":48,"task_id":"B25-MY-013"}</t>
  </si>
  <si>
    <t xml:space="preserve">qa-b25-full-review-20261026/issues-and-clarifications.json#/frozen_execution_correction_history/40</t>
  </si>
  <si>
    <t xml:space="preserve">independent-qa.json#/batches/B25/documents/issues-and-clarifications.json/frozen_execution_correction_history/40</t>
  </si>
  <si>
    <t xml:space="preserve">0d0e36a4228e7309ebd9b8ecea777bc1a2b6c845c29dfe92422f193533c42c46</t>
  </si>
  <si>
    <t xml:space="preserve">{"artifact":"page_proof","full_metadata_row":{"clarification":"ATM1.3(a): EN at ATM itself;MS says withdrawal from that ATM without express robbery-location limit; both retain alternative OR within1km. Do not silently reconcile.","component":"PA012 ATM rider","corrected_at_utc":"2026-10-26T19:23:00.427177+00:00","correction_basis":"216dpi physical50/85.","display_sha256":"38ee0afc62eb548cf1ac6aa9bded5a18781e65449cf6914a688aa8b0dbcd7440","language":"en","method":"ordinary_read_only_visual_144dpi","physical_page":50,"reviewed_at_utc":"2026-10-26T19:11:51.227901+00:00","semantic_note":"ComboAonlyincluded;worldwidewithdrawalrobbery. Incidentwithin30minutesafterwithdrawalatATMitself ORwithin1km;policedocumentandwithdrawalamountproof;onceyearannualreset/NCDremoval.","semantic_read":true,"task_id":"B25-MY-013"},"physical_page":50,"task_id":"B25-MY-013"}</t>
  </si>
  <si>
    <t xml:space="preserve">qa-b25-full-review-20261026/issues-and-clarifications.json#/frozen_execution_correction_history/41</t>
  </si>
  <si>
    <t xml:space="preserve">independent-qa.json#/batches/B25/documents/issues-and-clarifications.json/frozen_execution_correction_history/41</t>
  </si>
  <si>
    <t xml:space="preserve">0e9321c02c36f1a97dd2d8a83ff9685bf3ef60442eac410cbc688ca2276140e2</t>
  </si>
  <si>
    <t xml:space="preserve">{"artifact":"page_proof","full_metadata_row":{"clarification":"Renewal-bonus EN1.1 starts second certificate year; MS1.1 says second anniversary while its own table gives year2=10%. 2018 replaces only1.3,not1.1. Timing discrepancy remains unresolved.","component":"PA008 renewal bonus","corrected_at_utc":"2026-10-26T19:23:00.427182+00:00","correction_basis":"216dpi visual comparison physical46/81 and2018 physical8/14.","display_sha256":"9334ed8fd86e70977abdfc62b4f676deb1730adec5c9a303194757bd214ec3df","language":"ms","method":"ordinary_read_only_visual_144dpi","physical_page":81,"reviewed_at_utc":"2026-10-26T19:15:10.342951+00:00","semantic_note":"Tableyear1zero/year2ten/year3ontwentyandresetschemechange. Prose1.1sayssecondanniversary(tarikhulangtahunkedua),unlikeEnglishsecondcertificateyearandowntableyear2;timingscopeneedshighresolutionconfirmation.1.3amended2018infectionaddition.","semantic_read":true,"task_id":"B25-MY-013"},"physical_page":81,"task_id":"B25-MY-013"}</t>
  </si>
  <si>
    <t xml:space="preserve">qa-b25-full-review-20261026/issues-and-clarifications.json#/frozen_execution_correction_history/42</t>
  </si>
  <si>
    <t xml:space="preserve">independent-qa.json#/batches/B25/documents/issues-and-clarifications.json/frozen_execution_correction_history/42</t>
  </si>
  <si>
    <t xml:space="preserve">897862f29cb52d11e9c8468f497df3d11e6a47685b4a9f0e512e087c417663f8</t>
  </si>
  <si>
    <t xml:space="preserve">{"artifact":"page_proof","full_metadata_row":{"clarification":"Medical excess clause1.3: EN third-party amount payable,MS amount already paid (telah dibayar); preserve as material wording difference,not choose a settlement rule.","component":"PA010 accident medical","corrected_at_utc":"2026-10-26T19:23:00.427184+00:00","correction_basis":"216dpi visual comparison physical48/83.","display_sha256":"9aef338eaec1a6a6a02d7252961c567624b01df2af883881961e5e3415d31141","language":"ms","method":"ordinary_read_only_visual_144dpi","physical_page":83,"reviewed_at_utc":"2026-10-26T19:15:10.344062+00:00","semantic_note":"48hfirst/180dayssubsequent,inforce/necessary/reasonable/doctor;1.3excessoverthirdpartyamountalready paid(telahdibayar),unlikeEnglishpayable;originalreceipts/annualreset/NCDremovalalign.","semantic_read":true,"task_id":"B25-MY-013"},"physical_page":83,"task_id":"B25-MY-013"}</t>
  </si>
  <si>
    <t xml:space="preserve">qa-b25-full-review-20261026/issues-and-clarifications.json#/frozen_execution_correction_history/43</t>
  </si>
  <si>
    <t xml:space="preserve">independent-qa.json#/batches/B25/documents/issues-and-clarifications.json/frozen_execution_correction_history/43</t>
  </si>
  <si>
    <t xml:space="preserve">e697a32ab2815a603364899b24db6c284e660928c37acd2dd640719f97050346</t>
  </si>
  <si>
    <t xml:space="preserve">{"artifact":"page_proof","full_metadata_row":{"clarification":"ATM1.3(a): EN at ATM itself;MS says withdrawal from that ATM without express robbery-location limit; both retain alternative OR within1km. Do not silently reconcile.","component":"PA012 ATM rider","corrected_at_utc":"2026-10-26T19:23:00.427185+00:00","correction_basis":"216dpi physical50/85.","display_sha256":"20731b977a8d4873fa763a363b3e0fb16562461b5f096e56e21c35deb091ba00","language":"ms","method":"ordinary_read_only_visual_144dpi","physical_page":85,"reviewed_at_utc":"2026-10-26T19:18:22.714696+00:00","semantic_note":"Combo A only if included. Robbery within30min after withdrawal dari ATM tersebut (from that ATM), or within1km; no explicit incident-at-ATM location unlike English50. Police and withdrawal-amount proof,once/year annual reset,NCD removed after scheme claim.","semantic_read":true,"task_id":"B25-MY-013"},"physical_page":85,"task_id":"B25-MY-013"}</t>
  </si>
  <si>
    <t xml:space="preserve">qa-b25-full-review-20261026/issues-and-clarifications.json#/frozen_execution_correction_history/44</t>
  </si>
  <si>
    <t xml:space="preserve">independent-qa.json#/batches/B25/documents/issues-and-clarifications.json/frozen_execution_correction_history/44</t>
  </si>
  <si>
    <t xml:space="preserve">424a3f2ef026ca0e46eff0d1dc40f27a04658a65b7d55c1b2f637114d875d80f</t>
  </si>
  <si>
    <t xml:space="preserve">{"artifact":"result","complete_correction_and_clarification_fields":{"clarifications":[{"clarification":"2019explicitly replacesqarddefinition,15.1andwhole16/17. 16.4afterqard and17.1lessqard are retainedwithoutdouble-deductioninference;&lt;=RM10bank-first supersedes oldcharity-only.","pages":[1,2,3,4,37,72]},{"clarification":"2018notwithstandingadds6specifiedinfectiondeath/TPD anddiagnostictests. BaseaccidentalTPD/infectionexclusionsdonotmakeaddedcoverinvalid. SID002smallTPDdeathcontinuanceisspecificexceptionto generaltermination;noautomaticbothbenefitpayment.","pages":[5,6,8,9,10,11,12,14,15,16,17,32,41,67,77]},{"clarification":"OFSendorsement mislabels importantnotice PA013;actualnoticePA014,PA013weeklyincome. Clearcontact-replacementsubjectdoesnotdeleteweeklybenefit.","pages":[18,19,51,52,86,87]},{"clarification":"NCD1.1wholeclaimfreeyear/nextanniversary andsummaryfollowingyear coexistwith1.2firstentitlementsecondanniversary. Preserveliteral restriction;do notsilentlycallitsecondcertificateyear.","pages":[23,47,57,82]},{"clarification":"Childdefinitioninclusive21/23 differsfromspecificterminationattaining21/23;preserveboundarywording,do notassertcoverthroughwhole21st/23rdyear.","pages":[30,40,64,74]},{"clarification":"ENexplicitboxingnotnamedMS;MSstillcontainsbroadhazardous/unlistedrecreationexclusion,soomissiondoesnotestablishboxingcoverage.","pages":[41,76]},{"clarification":"2018legalproceedingsliteralbeforeexpiry2years,notafter;no2020deletionpresent. Source-reviewonly,nolegalenforceabilityopinion.","pages":[8,14]},{"clarification":"GST6%tablesaresourcehistoricalvaluesandexpresslysubjectchange;notclaimedcurrenttaxrate.","pages":[25,26,27,28,59,60,61,62]},{"clarification":"Genericschemetablesarepresent;selectedpersonalcertificate/schedule/currentadoptionnotestablished. Thatabsencealoneisnotstrictfailure.","pages":[23,24,29,56,57,58,63]}],"correction_basis":"All87presentpagesoriginalvisualsemanticnotes;52target216dpi confirmations includingmaterialpairs andexplicitamendments.","prior_task_id":"B18-MY-003"},"task_id":"B25-MY-013"}</t>
  </si>
  <si>
    <t xml:space="preserve">qa-b25-full-review-20261026/issues-and-clarifications.json#/frozen_execution_correction_history/45</t>
  </si>
  <si>
    <t xml:space="preserve">independent-qa.json#/batches/B25/documents/issues-and-clarifications.json/frozen_execution_correction_history/45</t>
  </si>
  <si>
    <t xml:space="preserve">f3183937a1474c9ac99fc2ef49d9c1cdc7c5407dcb23e7c63f2f49617c600ad9</t>
  </si>
  <si>
    <t xml:space="preserve">{"artifact":"page_proof","full_metadata_row":{"component":"Endorsement02/2019 PA003","corrected_at_utc":"2026-10-26T19:18:08.598370+00:00","correction_basis":"216dpi originalpage1 display resolves small-font final I in CIMBI; original144dpi provisional duplicate impression corrected, notsourceconflict.","display_sha256":"88e93898df44492d0c076cba5ef813a54caf926c10a9f9576763231a582ee158","initial_note_before_zoom_correction":"SunPowerLifeSenior-i effective1July2019; EnglishmasterheaderappearsduplicatedCIMB-SPLS001-16032016bothentries pendingzoom. ReplacesQarddef,15.1tabarrunetwakalah,entire16fund;16.3directclaimsrelatedexpenses,16.4afterQard50/50,16.5loanrepaidprofitability,16.6yearendeligibilitytermination26-&gt;17.","language":"en","method":"ordinary_read_only_visual_144dpi","physical_page":1,"reviewed_at_utc":"2026-10-26T18:58:29.903557+00:00","semantic_note":"SunPowerLifeSenior-i effective1July2019;216dpi confirms masterheaderCIMB-SPLS001-16032016 AND CIMBI-SPLS001-16032016, notduplicateCIMB. ReplacesQarddef,15.1tabarrunetwakalah,entire16fund;16.3directclaimsrelatedexpenses,16.4afterQard50/50,16.5loanrepaidprofitability,16.6yearendeligibilitytermination26-&gt;17.","semantic_read":true,"task_id":"B25-MY-014"},"physical_page":1,"task_id":"B25-MY-014"}</t>
  </si>
  <si>
    <t xml:space="preserve">qa-b25-full-review-20261026/issues-and-clarifications.json#/frozen_execution_correction_history/46</t>
  </si>
  <si>
    <t xml:space="preserve">independent-qa.json#/batches/B25/documents/issues-and-clarifications.json/frozen_execution_correction_history/46</t>
  </si>
  <si>
    <t xml:space="preserve">7c47d010ebd7ec81abe283019d6977cd9606bf947a30efb5f820cdf31c2625ec</t>
  </si>
  <si>
    <t xml:space="preserve">{"artifact":"page_proof","full_metadata_row":{"clarification_after_zoom":"English1.1 explicitly secondCERTIFICATEYEAR, consistenttableyear2=10%;Malayp79sayssecondANNIVERSARY despite sameyear2table. Preserve operative timingdifference, no silentharmonization.","component":"PA008renewalbonus","display_sha256":"a45af2bd9652afe22b1d206072f2d5932f7e031e567486be6d0c7abc584dd159","language":"en","method":"ordinary_read_only_visual_144dpi","physical_page":45,"reviewed_at_utc":"2026-10-26T19:04:37.013422+00:00","semantic_note":"Firstyear0,second10%,thirdonwards20%basicbenefit,incrementsstaylevel;renewalpaid;schemechangeresetsfirstyear. Original1.3accidentaldeath/TPD/public replaced2018addingSID.","semantic_read":true,"task_id":"B25-MY-014"},"physical_page":45,"task_id":"B25-MY-014"}</t>
  </si>
  <si>
    <t xml:space="preserve">qa-b25-full-review-20261026/issues-and-clarifications.json#/frozen_execution_correction_history/47</t>
  </si>
  <si>
    <t xml:space="preserve">independent-qa.json#/batches/B25/documents/issues-and-clarifications.json/frozen_execution_correction_history/47</t>
  </si>
  <si>
    <t xml:space="preserve">df7cae283a56731dbb9e6abec392f6d9cad533ca11b5d0e04a2f30b7837957d5</t>
  </si>
  <si>
    <t xml:space="preserve">{"artifact":"result","complete_correction_and_clarification_fields":{"clarifications":[{"observation":"216dpi correctsinitialp1provisionalduplicateCIMBimpression:secondcodeCIMBI;bothlanguagesconsistent. Initialnotepreservedwithcorrectionbasis.","pages":[1,3,5,11,18,19]},{"observation":"2019explicitreplacementofentire16/17;50/50afterQardand17allocationreadtogether,notdoubleQarddeduction. &lt;=RM10bankfirstelsecharityreplacesoldautomaticcharity.","pages":[1,2,3,4,36,37,70]},{"observation":"LegalproceedingsliteralNOactionBEFOREexpiration2yearsfromevent,notanAFTER2yearsdeadline. Noopiniononenforceability.","pages":[8,14]},{"observation":"SixspecifiedinfectionsEnglishacute vsMalayteruk(severe)terminologyretained;sameidentifieddiseases/vectors/diagnostictests. Do notinventaseparateunwrittenseveritytest.","pages":[6,12]},{"observation":"SpecificSIDlowerTPDproportionateresidualdeathcontinuationreadwithgeneraltermination;notautomaticoperativecontradiction.","pages":[9,10,16,17,38,39,72,73]},{"observation":"OFSendorsementmiscitesPA013importantnotice;actualnoticePA014withnamedFMBreplacementtargetlocatable. PA013actuallysnatchbenefit. Boundedcodeerrornotmissingcomponent.","pages":[18,19,52,86]},{"observation":"NCD1.1onefullclaim-freeyearnextanniversary;1.2explicitfirstentitlementonlysecondanniversary. Keepbothliteralconditions;1.2maylimitfirstentitlement,notassertindependentcontradictionoroverwriteasfirstanniversary.","pages":[46,80]},{"observation":"EnglishboxingexampleomittedMalaybutbroadunlisted/hazardoussportsclausesremain;notautomaticboxingcoverage.","pages":[40,74]},{"observation":"Spinalcordinjuryconfirmedbothlanguages;EnglishkneecapsexclusionversusMalaylutut(knee)retainedboundedtranslationissue,notmedicalcoverageopinion.","pages":[47,81]},{"observation":"Allcontributioncellsconfirmedincludingcrowded500k/600krows;historical6%GSTtablesretainedwithoutcurrenttax/rateadoptionclaim.","pages":[25,26,27,28,58,59,60,61]}],"correction_basis":"Page1 initial144dpi provisionalduplicateCIMB impression correctedat216dpi toCIMB+CIMBI; originalnoteandtimestampretained. Englishrenewal1.1secondYEARversusMalaysecondANNIVERSARYconfirmedat216dpi. 50 targetedpagechecks recorded; allotherclarificationsretainliteralwordingandexplicitreplacementscope.","prior_task_id":"B18-MY-004"},"task_id":"B25-MY-014"}</t>
  </si>
  <si>
    <t xml:space="preserve">qa-b25-full-review-20261026/issues-and-clarifications.json#/frozen_execution_correction_history/48</t>
  </si>
  <si>
    <t xml:space="preserve">independent-qa.json#/batches/B25/documents/issues-and-clarifications.json/frozen_execution_correction_history/48</t>
  </si>
  <si>
    <t xml:space="preserve">2170d3495fc96ae82fc8dbefb585865f1ea9acbdcd3ac7f504e5551faf4b8218</t>
  </si>
  <si>
    <t xml:space="preserve">{"artifact":"page_proof","full_metadata_row":{"clarification":"English PA0081.1 says second certificate YEAR; Malay p70 says second ANNIVERSARY, although both tables show year2=10%,year3+=20%. Table does not expressly correct operative prose.","component":"PA008renewalprinted22","corrected_at_utc":"2026-10-26T19:53:26.359967+00:00","correction_basis":"Independent216dpi comparison of physical42/70 and2018replacementscope PA0081.3 only.","display_sha256":"40f42f2ca3d0bedb94c5ae4991a0fe32dd625a1b42d7e9b19b7f2636f70cedf3","initial_note_before_zoom_correction":"Year1zero/year2ten/year3onward20%bonuslevelthereafter,renewalcontributionpaid;schemechangeresetsfirstyear.1.3benefitlist expresslyexpanded2018toinfectiondeath/TPD.","language":"English","method":"ordinary_read_only_visual_144dpi","physical_page":42,"reviewed_at_utc":"2026-10-26T19:41:21.631980+00:00","semantic_note":"Year1zero/year2ten/year3onward20%bonuslevelthereafter,renewalcontributionpaid;schemechangeresetsfirstyear.1.3benefitlist expresslyexpanded2018toinfectiondeath/TPD. English PA0081.1 says second certificate YEAR; Malay p70 says second ANNIVERSARY, although both tables show year2=10%,year3+=20%. Table does not expressly correct operative prose.","semantic_read":true,"task_id":"B25-MY-015"},"physical_page":42,"task_id":"B25-MY-015"}</t>
  </si>
  <si>
    <t xml:space="preserve">qa-b25-full-review-20261026/issues-and-clarifications.json#/frozen_execution_correction_history/49</t>
  </si>
  <si>
    <t xml:space="preserve">independent-qa.json#/batches/B25/documents/issues-and-clarifications.json/frozen_execution_correction_history/49</t>
  </si>
  <si>
    <t xml:space="preserve">e36d397ba58ce47a73a15bf7cd814b42d0ec634bf092733911affdadf1213d4d</t>
  </si>
  <si>
    <t xml:space="preserve">{"artifact":"result","complete_correction_and_clarification_fields":{"clarifications":[{"clarification":"Importantnotice endorsement PA013code differsactualPA012; uniqueheadingandFMBentityidentify intendedpresentcomponent, boundedcross-reference defect notmissingcomponent.","pages":[18,19,46,74]},{"clarification":"2018notwithstandingaddition coversspecifiedinfectiondeath/TPD notwithstandingoldaccidentdefinition/infectionexclusions; no impossiblecover orinvalidity inferred.","pages":[5,6,9,10,11,12,16,17,28,29,38,56,57,66]},{"clarification":"Fundsurplus/Qard clauses readsequentially; no doubleQarddeduction inferred.","pages":[1,2,3,4]},{"clarification":"Malay hazardavocationlist omitsEnglishboxingword, but nonlistedrecreations/generalhazardexclusion remains; not independentmaterialcoverageconflict.","pages":[37,65,35,63]},{"clarification":"English PA0081.1 says second certificate YEAR; Malay p70 says second ANNIVERSARY, although both tables show year2=10%,year3+=20%. Table does not expressly correct operative prose.","correction_basis":"Independent216dpi comparison of physical42/70 and2018replacementscope PA0081.3 only.","pages":[42,70]},{"clarification":"Bothlanguages capweeklybenefit NOTMORETHAN104weeks; no negation mismatch.","pages":[45,73]}],"correction_basis":[{"clarification":"English PA0081.1 says second certificate YEAR; Malay p70 says second ANNIVERSARY, although both tables show year2=10%,year3+=20%. Table does not expressly correct operative prose.","correction_basis":"Independent216dpi comparison of physical42/70 and2018replacementscope PA0081.3 only.","initial_note_before_zoom_correction":"Year1zero/year2ten/year3onward20%bonuslevelthereafter,renewalcontributionpaid;schemechangeresetsfirstyear.1.3benefitlist expresslyexpanded2018toinfectiondeath/TPD.","pages":[42,70]}],"prior_task_id":"B18-MY-005"},"task_id":"B25-MY-015"}</t>
  </si>
  <si>
    <t xml:space="preserve">qa-b25-full-review-20261026/issues-and-clarifications.json#/frozen_execution_correction_history/50</t>
  </si>
  <si>
    <t xml:space="preserve">independent-qa.json#/batches/B25/documents/issues-and-clarifications.json/frozen_execution_correction_history/50</t>
  </si>
  <si>
    <t xml:space="preserve">74bb4b5e3c17ba65a97e541ce2679db77077b789edf6b70daaf80bcbc681d210</t>
  </si>
  <si>
    <t xml:space="preserve">{"artifact":"page_proof","full_metadata_row":{"clarification":"216dpi confirms English SID002 physical6 DOES contain Exclusions heading and all three limbs (30 days after latest reinstatement, other causes, pre-existing conditions with termination), matching Malay12. Apparent omission in lower-resolution display is withdrawn; do not classify missing exclusions.","component":"SID002","corrected_at_utc":"2026-10-26T19:33:08.379729+00:00","correction_basis":"Direct enlarged 216dpi ordinary visual comparison of physical6 and12; no extraction/OCR.","display_sha256":"9dd6f55e3d80d4a40278b57386dc40a3ae9788bc665f17dddedb7ecd598a1e78","language":"en","method":"ordinary_read_only_visual_144dpi","physical_page":6,"prior_semantic_note":"DeathreductionfromTPDonset;NCDremove;30dayslastreinstatement/othercauses/preexisting;TPDnotice30days,proofclaimantcost,disabilitynot&lt;6months,operatorpaidexam;terminationTPD/ineligibilitysubjectspecificcontinuance.","reviewed_at_utc":"2026-10-26T19:24:00.854591+00:00","semantic_note":"DeathreductionfromTPDonset;NCDremove;30dayslastreinstatement/othercauses/preexisting;TPDnotice30days,proofclaimantcost,disabilitynot&lt;6months,operatorpaidexam;terminationTPD/ineligibilitysubjectspecificcontinuance.","semantic_read":true,"task_id":"B25-MY-016"},"physical_page":6,"task_id":"B25-MY-016"}</t>
  </si>
  <si>
    <t xml:space="preserve">qa-b25-full-review-20261026/issues-and-clarifications.json#/frozen_execution_correction_history/51</t>
  </si>
  <si>
    <t xml:space="preserve">independent-qa.json#/batches/B25/documents/issues-and-clarifications.json/frozen_execution_correction_history/51</t>
  </si>
  <si>
    <t xml:space="preserve">acb1c7c478783390c36ea326c3de0eb426bb9d7356ddf45b07fc530957dc6c01</t>
  </si>
  <si>
    <t xml:space="preserve">{"artifact":"page_proof","full_metadata_row":{"clarification":"216dpi confirms English SID002 physical6 DOES contain Exclusions heading and all three limbs (30 days after latest reinstatement, other causes, pre-existing conditions with termination), matching Malay12. Apparent omission in lower-resolution display is withdrawn; do not classify missing exclusions.","component":"SID002","corrected_at_utc":"2026-10-26T19:33:08.379747+00:00","correction_basis":"Direct enlarged 216dpi ordinary visual comparison of physical6 and12; no extraction/OCR.","display_sha256":"2e91c939587bb21a26d71cb6f17d6810b9afce5a1956525d1fe042f8d844875e","language":"ms","method":"ordinary_read_only_visual_144dpi","physical_page":12,"prior_semantic_note":"2mTPDaggregate,smallerTPDdeathcontinuesreducedratiofromonset,NCD. MS2.1 lists(a)30dayslastreinstatement,(b)othercauses,(c)preexistingandtermination;EN6 appears to omit all three listed limbs. Notice30days/proofclaimantcost/no&lt;6months.","reviewed_at_utc":"2026-10-26T19:24:56.810372+00:00","semantic_note":"Malay SID002 sets RM2m aggregate cap and proportional death continuance from TPD onset, removes scheme NCD, and excludes events within30days of latest reinstatement, other causes and pre-existing conditions with termination. All three match English6 after enlarged confirmation. Notice30days, claimant proof cost and six-month minimum disability.","semantic_read":true,"task_id":"B25-MY-016"},"physical_page":12,"task_id":"B25-MY-016"}</t>
  </si>
  <si>
    <t xml:space="preserve">qa-b25-full-review-20261026/issues-and-clarifications.json#/frozen_execution_correction_history/52</t>
  </si>
  <si>
    <t xml:space="preserve">independent-qa.json#/batches/B25/documents/issues-and-clarifications.json/frozen_execution_correction_history/52</t>
  </si>
  <si>
    <t xml:space="preserve">dfd863e620a129021e8e7894ede2ada18918d6908d5e1bec9a3ec906d3fc5391</t>
  </si>
  <si>
    <t xml:space="preserve">{"artifact":"page_proof","full_metadata_row":{"clarification":"English10.3 states reliance on truth but lacks the explicit false/withheld-information set-aside sentence in Malay10.3; English10.4 refers to doing this and10.5 to set-aside refund. Preserve incomplete antecedent, not infer no remedies.","component":"PA003 payment/reinstatement","corrected_at_utc":"2026-10-26T19:36:28.365325+00:00","correction_basis":"216dpi visual physical26/55.","display_sha256":"ef3c02d0bd8925e448a750acec0edcc489cf8c8cf6660abe975fffda7e1c7258","language":"en","method":"ordinary_read_only_visual_144dpi","physical_page":26,"reviewed_at_utc":"2026-10-26T19:26:49.531185+00:00","semantic_note":"60daynotice ratechangesnextanniversary;60daygraceinclusivecoverthenlapse/novalue,claimlessdebt. Reinstatewithin2yearsformtruthinfoarrears;10.4says onlyfirst2yearsexceptfraud/nonpay but lacks explicit incorrect/withheld-information set-aside sentence before it;nonfraudrefundsince notbeforereinstatement;travelunrestricted.","semantic_read":true,"task_id":"B25-MY-016"},"physical_page":26,"task_id":"B25-MY-016"}</t>
  </si>
  <si>
    <t xml:space="preserve">qa-b25-full-review-20261026/issues-and-clarifications.json#/frozen_execution_correction_history/53</t>
  </si>
  <si>
    <t xml:space="preserve">independent-qa.json#/batches/B25/documents/issues-and-clarifications.json/frozen_execution_correction_history/53</t>
  </si>
  <si>
    <t xml:space="preserve">ceb8c5445c9671decea9a35436915fade9dae0954e23989d892cf95dbc227625</t>
  </si>
  <si>
    <t xml:space="preserve">{"artifact":"page_proof","full_metadata_row":{"clarification":"PA0051.1 English deducts debt AND prior accelerated optional benefit where applicable; Malay1.1 expressly deducts debt only. No personal selected accelerated rider is established; do not assume a double payment or settle language priority.","component":"PA005 death","corrected_at_utc":"2026-10-26T19:36:28.365341+00:00","correction_basis":"216dpi physical33/62.","display_sha256":"27434d4fe4756a2a2896a969fc4516a02cd7c426f672091fd31e65690fdb5b85","language":"en","method":"ordinary_read_only_visual_144dpi","physical_page":33,"reviewed_at_utc":"2026-10-26T19:27:40.347567+00:00","semantic_note":"Deathaccidentwithin180days,sumlessdebt/prioraccelerated;disappearance365dayswithaccidentalevidence/refundiflateralive;death/ineligibilityend.","semantic_read":true,"task_id":"B25-MY-016"},"physical_page":33,"task_id":"B25-MY-016"}</t>
  </si>
  <si>
    <t xml:space="preserve">qa-b25-full-review-20261026/issues-and-clarifications.json#/frozen_execution_correction_history/54</t>
  </si>
  <si>
    <t xml:space="preserve">independent-qa.json#/batches/B25/documents/issues-and-clarifications.json/frozen_execution_correction_history/54</t>
  </si>
  <si>
    <t xml:space="preserve">5ab28dfd8de8e7895da57470fc705f28711a79aa8ba1591ed5fec3fb6e7400e1</t>
  </si>
  <si>
    <t xml:space="preserve">{"artifact":"page_proof","full_metadata_row":{"clarification":"Renewal1.1 English second certificate year versus Malay second anniversary; both tables year2 ten percent. 2018 only replaces1.3.","component":"PA008 renewal","corrected_at_utc":"2026-10-26T19:36:28.365345+00:00","correction_basis":"216dpi physical36/65 and4/10.","display_sha256":"33e2cf3fc78d277004a094074af648322bc632739a6ec93d9d395e25d076978b","language":"en","method":"ordinary_read_only_visual_144dpi","physical_page":36,"reviewed_at_utc":"2026-10-26T19:27:40.348103+00:00","semantic_note":"10%fromsecondcertificateyear,max20subsequent;tableyear1zero,2ten,3+twenty;paidrenewalrequired,schemereset;1.3expandedby2018.","semantic_read":true,"task_id":"B25-MY-016"},"physical_page":36,"task_id":"B25-MY-016"}</t>
  </si>
  <si>
    <t xml:space="preserve">qa-b25-full-review-20261026/issues-and-clarifications.json#/frozen_execution_correction_history/55</t>
  </si>
  <si>
    <t xml:space="preserve">independent-qa.json#/batches/B25/documents/issues-and-clarifications.json/frozen_execution_correction_history/55</t>
  </si>
  <si>
    <t xml:space="preserve">6187ba3deb64dbcc8751c757e71e4711d00b0b8feb29d5dcec97ab90c324c0ea</t>
  </si>
  <si>
    <t xml:space="preserve">{"artifact":"page_proof","full_metadata_row":{"clarification":"PA011/012/013 clause1.4 begins with expenses already reimbursed wholly/partly in BOTH languages; English then calculates excess over third-party amount payable, Malay over amount already paid. The issue is offset measure, not absence of a reimbursement trigger.","component":"PA011 medical rider","corrected_at_utc":"2026-10-26T19:36:28.365348+00:00","correction_basis":"216dpi physical39-41/68-70.","display_sha256":"1225c21e79fb207dc499e93e74681a57cd134385970af8e716ab73c42645f3ed","language":"en","method":"ordinary_read_only_visual_144dpi","physical_page":39,"reviewed_at_utc":"2026-10-26T19:27:40.348680+00:00","semantic_note":"Onlyif includedcertificate/schedule;firsttreatment48h/subsequent180days,inforce/doctor/necessary/reasonable;thirdpartyexcessoveramountpayable;originalreceipts,annualreset,NCDremove.","semantic_read":true,"task_id":"B25-MY-016"},"physical_page":39,"task_id":"B25-MY-016"}</t>
  </si>
  <si>
    <t xml:space="preserve">qa-b25-full-review-20261026/issues-and-clarifications.json#/frozen_execution_correction_history/56</t>
  </si>
  <si>
    <t xml:space="preserve">independent-qa.json#/batches/B25/documents/issues-and-clarifications.json/frozen_execution_correction_history/56</t>
  </si>
  <si>
    <t xml:space="preserve">74ca7bf968bc378155c3421dd0af0347240771f3ff32a1275f95f6a7589b3c4d</t>
  </si>
  <si>
    <t xml:space="preserve">{"artifact":"page_proof","full_metadata_row":{"clarification":"PA011/012/013 clause1.4 begins with expenses already reimbursed wholly/partly in BOTH languages; English then calculates excess over third-party amount payable, Malay over amount already paid. The issue is offset measure, not absence of a reimbursement trigger.","component":"PA012 ambulance rider","corrected_at_utc":"2026-10-26T19:36:28.365350+00:00","correction_basis":"216dpi physical39-41/68-70.","display_sha256":"c2e2559813e6a0a1487ef6b3f9cbc4826e31bd421f492198818de82a19b3119f","language":"en","method":"ordinary_read_only_visual_144dpi","physical_page":40,"reviewed_at_utc":"2026-10-26T19:27:40.348866+00:00","semantic_note":"Onlyifincluded;accidenthospitalisationneedsambulanceto/from/betweenhospital,actualexpensecap;inforce/within180days/medicallynecessary;thirdpartyexcessoverpayable,originalreceipts,annualreset,NCDremove.","semantic_read":true,"task_id":"B25-MY-016"},"physical_page":40,"task_id":"B25-MY-016"}</t>
  </si>
  <si>
    <t xml:space="preserve">qa-b25-full-review-20261026/issues-and-clarifications.json#/frozen_execution_correction_history/57</t>
  </si>
  <si>
    <t xml:space="preserve">independent-qa.json#/batches/B25/documents/issues-and-clarifications.json/frozen_execution_correction_history/57</t>
  </si>
  <si>
    <t xml:space="preserve">dd3418c0908c83831260f6a4525fc63e8f49e2743554df5272dd9dc5040c3c60</t>
  </si>
  <si>
    <t xml:space="preserve">{"artifact":"page_proof","full_metadata_row":{"clarification":"PA011/012/013 clause1.4 begins with expenses already reimbursed wholly/partly in BOTH languages; English then calculates excess over third-party amount payable, Malay over amount already paid. The issue is offset measure, not absence of a reimbursement trigger.","component":"PA013 corrective surgery","corrected_at_utc":"2026-10-26T19:36:28.365351+00:00","correction_basis":"216dpi physical39-41/68-70.","display_sha256":"4fdc3c9a6dacf6f58f2747691475ca0dcd831d25455b2a9dd9c58e242d05a5f3","language":"en","method":"ordinary_read_only_visual_144dpi","physical_page":41,"reviewed_at_utc":"2026-10-26T19:28:38.745283+00:00","semantic_note":"Conditionalridercosmeticcorrectivesurgeryaboveneckfollowingaccident,age18inclusive,within180days/inforce/licensedcosmeticsurgeon/necessary/reasonable;excessoverthird-partypayable,originalreceipts,annualreset,NCDremove.","semantic_read":true,"task_id":"B25-MY-016"},"physical_page":41,"task_id":"B25-MY-016"}</t>
  </si>
  <si>
    <t xml:space="preserve">qa-b25-full-review-20261026/issues-and-clarifications.json#/frozen_execution_correction_history/58</t>
  </si>
  <si>
    <t xml:space="preserve">independent-qa.json#/batches/B25/documents/issues-and-clarifications.json/frozen_execution_correction_history/58</t>
  </si>
  <si>
    <t xml:space="preserve">f3300bc168e9416d0d4dd8da6eded0564dd85bd5772493acd2ccb4a472557e46</t>
  </si>
  <si>
    <t xml:space="preserve">{"artifact":"page_proof","full_metadata_row":{"clarification":"English10.3 states reliance on truth but lacks the explicit false/withheld-information set-aside sentence in Malay10.3; English10.4 refers to doing this and10.5 to set-aside refund. Preserve incomplete antecedent, not infer no remedies.","component":"PA003 reinstatement/travel/age","corrected_at_utc":"2026-10-26T19:36:28.365355+00:00","correction_basis":"216dpi visual physical26/55.","display_sha256":"311d5e37821a2de1968c77300b07165850f7144376ee0b7f429ffdc52647cb13","language":"ms","method":"ordinary_read_only_visual_144dpi","physical_page":55,"reviewed_at_utc":"2026-10-26T19:31:23.162058+00:00","semantic_note":"Reinstatement is discretionary within two years with truth, information and arrears. Unlike English 10.3 on physical 26, Malay 10.3 explicitly permits setting aside/termination for false or withheld information; two-year restriction except fraud/nonpayment follows. Nonfraud refund starts from latest reinstatement; travel unrestricted; out-of-range age liability is contribution paid.","semantic_read":true,"task_id":"B25-MY-016"},"physical_page":55,"task_id":"B25-MY-016"}</t>
  </si>
  <si>
    <t xml:space="preserve">qa-b25-full-review-20261026/issues-and-clarifications.json#/frozen_execution_correction_history/59</t>
  </si>
  <si>
    <t xml:space="preserve">independent-qa.json#/batches/B25/documents/issues-and-clarifications.json/frozen_execution_correction_history/59</t>
  </si>
  <si>
    <t xml:space="preserve">4b040d37a2aeb418d436657d4faf53e6f2d32a80ee897a388e454b64255a92d9</t>
  </si>
  <si>
    <t xml:space="preserve">{"artifact":"page_proof","full_metadata_row":{"clarification":"PA0051.1 English deducts debt AND prior accelerated optional benefit where applicable; Malay1.1 expressly deducts debt only. No personal selected accelerated rider is established; do not assume a double payment or settle language priority.","component":"PA005 accidental death","corrected_at_utc":"2026-10-26T19:36:28.365357+00:00","correction_basis":"216dpi physical33/62.","display_sha256":"89384df75de2368aefcc39d84e06e5c3cf894403c886c6dddb2afbc91c55f8a8","language":"ms","method":"ordinary_read_only_visual_144dpi","physical_page":62,"reviewed_at_utc":"2026-10-26T19:32:04.694420+00:00","semantic_note":"Death within 180 days of an in-force accident pays certificate sum less debts. Disappearance for 365 days requires accident/death evidence and repayment undertaking if found alive. Death or ineligibility terminates this benefit.","semantic_read":true,"task_id":"B25-MY-016"},"physical_page":62,"task_id":"B25-MY-016"}</t>
  </si>
  <si>
    <t xml:space="preserve">qa-b25-full-review-20261026/issues-and-clarifications.json#/frozen_execution_correction_history/60</t>
  </si>
  <si>
    <t xml:space="preserve">independent-qa.json#/batches/B25/documents/issues-and-clarifications.json/frozen_execution_correction_history/60</t>
  </si>
  <si>
    <t xml:space="preserve">271f397443597b7767a04a4d45d06aad29eb182c5ad0f451664efcc87c4dc4ec</t>
  </si>
  <si>
    <t xml:space="preserve">{"artifact":"page_proof","full_metadata_row":{"clarification":"Renewal1.1 English second certificate year versus Malay second anniversary; both tables year2 ten percent. 2018 only replaces1.3.","component":"PA008 renewal bonus","corrected_at_utc":"2026-10-26T19:36:28.365359+00:00","correction_basis":"216dpi physical36/65 and4/10.","display_sha256":"7a96cc707fe38e55cc6b1c4b2c773cc4c00be8447fa88fa1a87cb946f3fd94e9","language":"ms","method":"ordinary_read_only_visual_144dpi","physical_page":65,"reviewed_at_utc":"2026-10-26T19:32:25.865788+00:00","semantic_note":"Malay 1.1 starts 10% from second anniversary, unlike English second certificate year. Table itself gives certificate year1 zero, year2 ten and year3 onward twenty percent. Scheme change resets year1; 2018 changes only 1.3.","semantic_read":true,"task_id":"B25-MY-016"},"physical_page":65,"task_id":"B25-MY-016"}</t>
  </si>
  <si>
    <t xml:space="preserve">qa-b25-full-review-20261026/issues-and-clarifications.json#/frozen_execution_correction_history/61</t>
  </si>
  <si>
    <t xml:space="preserve">independent-qa.json#/batches/B25/documents/issues-and-clarifications.json/frozen_execution_correction_history/61</t>
  </si>
  <si>
    <t xml:space="preserve">327cf1bca08d9af7beb5a6cf2336afc828fd3927c0640a33481db46d0f78fe8b</t>
  </si>
  <si>
    <t xml:space="preserve">{"artifact":"page_proof","full_metadata_row":{"clarification":"PA011/012/013 clause1.4 begins with expenses already reimbursed wholly/partly in BOTH languages; English then calculates excess over third-party amount payable, Malay over amount already paid. The issue is offset measure, not absence of a reimbursement trigger.","component":"PA011 medical rider","corrected_at_utc":"2026-10-26T19:36:28.365363+00:00","correction_basis":"216dpi physical39-41/68-70.","display_sha256":"620daad133822ea2399d6295e85b19b91b42e671ba358df626c41d7e9da0f1f8","language":"ms","method":"ordinary_read_only_visual_144dpi","physical_page":68,"reviewed_at_utc":"2026-10-26T19:32:25.866324+00:00","semantic_note":"Conditional rider requires first treatment within48h and follow-ups within180days, in-force accident/treatment, doctor, necessity and reasonable charges. Clause1.4 offsets expenses already paid by third party, whereas English physical39 says payable. Original bills/receipts, annual reset and NCD loss apply.","semantic_read":true,"task_id":"B25-MY-016"},"physical_page":68,"task_id":"B25-MY-016"}</t>
  </si>
  <si>
    <t xml:space="preserve">qa-b25-full-review-20261026/issues-and-clarifications.json#/frozen_execution_correction_history/62</t>
  </si>
  <si>
    <t xml:space="preserve">independent-qa.json#/batches/B25/documents/issues-and-clarifications.json/frozen_execution_correction_history/62</t>
  </si>
  <si>
    <t xml:space="preserve">3764a18df82d9f93cc2e6f249b903c435a44504e2301c5f40d2f5b65b856c705</t>
  </si>
  <si>
    <t xml:space="preserve">{"artifact":"page_proof","full_metadata_row":{"clarification":"PA011/012/013 clause1.4 begins with expenses already reimbursed wholly/partly in BOTH languages; English then calculates excess over third-party amount payable, Malay over amount already paid. The issue is offset measure, not absence of a reimbursement trigger.","component":"PA012 ambulance rider","corrected_at_utc":"2026-10-26T19:36:28.365368+00:00","correction_basis":"216dpi physical39-41/68-70.","display_sha256":"4bff8200f7d619e8665a1c1a7cea4e5da876b99df03fa9be1ff209d940b8927b","language":"ms","method":"ordinary_read_only_visual_144dpi","physical_page":69,"reviewed_at_utc":"2026-10-26T19:32:43.090364+00:00","semantic_note":"Conditional ambulance rider covers actual capped transport to/from/between hospitals after accidental injury, admission within180days and necessary inpatient care. Third-party offset in1.4 is amounts already paid, not English payable. Original evidence, annual reset and NCD loss apply.","semantic_read":true,"task_id":"B25-MY-016"},"physical_page":69,"task_id":"B25-MY-016"}</t>
  </si>
  <si>
    <t xml:space="preserve">qa-b25-full-review-20261026/issues-and-clarifications.json#/frozen_execution_correction_history/63</t>
  </si>
  <si>
    <t xml:space="preserve">independent-qa.json#/batches/B25/documents/issues-and-clarifications.json/frozen_execution_correction_history/63</t>
  </si>
  <si>
    <t xml:space="preserve">2d05b237cbbae7c4a8c938c858c325099b17931eeb95ba4723d0c0b343633a62</t>
  </si>
  <si>
    <t xml:space="preserve">{"artifact":"page_proof","full_metadata_row":{"clarification":"PA011/012/013 clause1.4 begins with expenses already reimbursed wholly/partly in BOTH languages; English then calculates excess over third-party amount payable, Malay over amount already paid. The issue is offset measure, not absence of a reimbursement trigger.","component":"PA013 corrective surgery rider","corrected_at_utc":"2026-10-26T19:36:28.365370+00:00","correction_basis":"216dpi physical39-41/68-70.","display_sha256":"bf0f16001c069a00c616e13e02859ab5f2b083d9f544be8cfad4a545bfa1a265","language":"ms","method":"ordinary_read_only_visual_144dpi","physical_page":70,"reviewed_at_utc":"2026-10-26T19:32:43.090605+00:00","semantic_note":"Conditional surgery is cosmetic repair above neck, accident from age18 inclusive, surgery within180days by licensed cosmetic surgeon, medically necessary and reasonably charged. Third-party1.4 offset is already paid versus English payable. Original receipts, annual reset and NCD loss apply.","semantic_read":true,"task_id":"B25-MY-016"},"physical_page":70,"task_id":"B25-MY-016"}</t>
  </si>
  <si>
    <t xml:space="preserve">qa-b25-full-review-20261026/issues-and-clarifications.json#/frozen_execution_correction_history/64</t>
  </si>
  <si>
    <t xml:space="preserve">independent-qa.json#/batches/B25/documents/issues-and-clarifications.json/frozen_execution_correction_history/64</t>
  </si>
  <si>
    <t xml:space="preserve">adbb2c195bcceb6d8c40a4ae1e3775475b8f7f27f54774c7c36f5101332fd4b3</t>
  </si>
  <si>
    <t xml:space="preserve">{"artifact":"result","complete_correction_and_clarification_fields":{"clarifications":[{"clarification":"216dpi confirms EnglishSID002threeexclusionlimbsandheadingareallpresentandmatchMalay. Lower-resolutionapparentomissionwithdrawn;notamissingcomponent.","correction_basis":"Direct enlarged ordinaryvisual6/12;pageproofpriornote retained.","pages":[6,12]},{"clarification":"2018notwithstandingaddssixinfectiondeath/TPD;accident-onlydefinition/baseinfectionexclusionsdonotnullifyaddition. SmallerTPDdeathcontinuanceisspecificexceptiontogeneraltermination.","pages":[1,4,5,6,7,10,11,12,13,23,31,51,61]},{"clarification":"OFSendorsementmislabelsnoticePA013;actualPA013correctivesurgery,noticePA014. Clearcontactreplacementdoesnotdelete surgerybenefit.","pages":[14,15,41,42,70,71]},{"clarification":"No2019endorsementpresent. Thisfilehasgeneralfundqardand&lt;=RM10charity-onlysurplus;donotimportbank-firsttermsfromotherfiles. Qardrepaymentisnotdouble deduction.","pages":[28,57]},{"clarification":"NCDfirsteligibilitysecondanniversaryliteralcoexistswithwholeclaimfreeyear/nextanniversary;notsecondcertificateyear.","pages":[37,66]},{"clarification":"Inclusivechilddefinition21/23andspecificterminationattaining21/23bothretained;noassumedextrayear.","pages":[21,30,49,59,61]},{"clarification":"BoxingexplicitENnotnamedMS,butMSbroadhazardous/unlistedrecreationexclusionsremain;notcoveredinference.","pages":[31,60]},{"clarification":"Legalproceedingsliteralbeforeexpiry2years,notafter;no2020deletionpresent. Nolegalenforceabilityopinion.","pages":[4,10]},{"clarification":"GST6%issourcehistoricalandsubjectchange,notcurrenttaxadvice.","pages":[20,47]},{"clarification":"Genericbenefit/contribution/wakalahschedulespresent;personalcertificate,selectedschemeandcurrentadoptionnotestablished. Thataloneisnotstrictfailure.","pages":[19,20,46,47,48]}],"correction_basis":"All71presentpagesoriginalvisualsemanticnotes;37 targeted216dpi confirmations;falsemissingexclusionssuspicionswithdrawnwithpriornote preserved.","prior_task_id":"B18-MY-006"},"task_id":"B25-MY-016"}</t>
  </si>
  <si>
    <t xml:space="preserve">qa-b25-full-review-20261026/issues-and-clarifications.json#/frozen_execution_correction_history/65</t>
  </si>
  <si>
    <t xml:space="preserve">independent-qa.json#/batches/B25/documents/issues-and-clarifications.json/frozen_execution_correction_history/65</t>
  </si>
  <si>
    <t xml:space="preserve">422b4212ac175436a4286a8edd9f13961d81c98c5010cd4893a14dd28b4c3fbb</t>
  </si>
  <si>
    <t xml:space="preserve">{"artifact":"page_proof","full_metadata_row":{"clarification":"216dpi confirms cash fallback SSI0061.2 only states provider cost exceeds scheduled amount; English p40 additionally allows arrangement unavailable. 2020 adds alterations clause2, not replacement of1.2.","component":"SSI006 Badal Hajj1–2.2","corrected_at_utc":"2026-10-26T20:15:17.167999+00:00","correction_basis":"Independent 216dpi bilingual comparison of physical pages 40/80","display_sha256":"a1498bf2ad858ebfa0f4e6888c8642b085e7e5bf4227407f9a1c6351a4d7ba6d","initial_note_before_zoom_correction":"Death/TPD/one36CI pays appointed service provider;1.2 cash fallback explicitly cost exceeds scheduled benefit, unlike English p40 also provider unavailable (zoom pending). One payment ends Badal benefit; debt deduction. Death suicide/preexisting12months; TPD preexisting12months/AIDS/HIV exclusions begin.","language":"Malay","method":"ordinary_read_only_visual_144dpi","physical_page":80,"reviewed_at_utc":"2026-10-26T20:04:52.236876+00:00","semantic_note":"Death/TPD/one36CI pays appointed service provider;1.2 cash fallback explicitly cost exceeds scheduled benefit, unlike English p40 also provider unavailable (zoom pending). One payment ends Badal benefit; debt deduction. Death suicide/preexisting12months; TPD preexisting12months/AIDS/HIV exclusions begin. 216dpi confirms cash fallback SSI0061.2 only states provider cost exceeds scheduled amount; English p40 additionally allows arrangement unavailable. 2020 adds alterations clause2, not replacement of1.2.","semantic_read":true,"task_id":"B25-MY-017"},"physical_page":80,"task_id":"B25-MY-017"}</t>
  </si>
  <si>
    <t xml:space="preserve">qa-b25-full-review-20261026/issues-and-clarifications.json#/frozen_execution_correction_history/66</t>
  </si>
  <si>
    <t xml:space="preserve">independent-qa.json#/batches/B25/documents/issues-and-clarifications.json/frozen_execution_correction_history/66</t>
  </si>
  <si>
    <t xml:space="preserve">ee780a29dd5abd5f53e8d6ed4878c188fd96c31850806c32ceb787231734bc19</t>
  </si>
  <si>
    <t xml:space="preserve">{"artifact":"page_proof","full_metadata_row":{"clarification":"Zoom confirms SSI007 1.2(b) ends ATAU (OR), whereas English p43 ends AND; initial summary flattened conjunction. Minimum6h, medically necessary and shorter45/15days/actual trip are listed, but conjunction differs. Heading still expressly accidental; no inference of unrestricted sickness coverage.","component":"SSI007 accidental Hajj hospital1","corrected_at_utc":"2026-10-26T20:15:17.168017+00:00","correction_basis":"Independent 216dpi bilingual comparison of physical pages 43/83","display_sha256":"b6dabd8a3744eed36826c737555a24d19aaf679caf112a7e5d4bea08a9fe9161","initial_note_before_zoom_correction":"Hajj/Umrah accidental daily hospital benefit; minimum6hours, medically necessary, shorter45/15day or actual trip; max30days per certificateyear, noncumulative annually reset, one daily benefit per calendar day even multiple hospitals, public/private ward/specialcare, debt deducted.","language":"Malay","method":"ordinary_read_only_visual_144dpi","physical_page":83,"reviewed_at_utc":"2026-10-26T20:05:14.702843+00:00","semantic_note":"Hajj/Umrah accidental daily hospital benefit; minimum6hours, medically necessary, shorter45/15day or actual trip; max30days per certificateyear, noncumulative annually reset, one daily benefit per calendar day even multiple hospitals, public/private ward/specialcare, debt deducted. Zoom confirms SSI007 1.2(b) ends ATAU (OR), whereas English p43 ends AND; initial summary flattened conjunction. Minimum6h, medically necessary and shorter45/15days/actual trip are listed, but conjunction differs. Heading still expressly accidental; no inference of unrestricted sickness coverage.","semantic_read":true,"task_id":"B25-MY-017"},"physical_page":83,"task_id":"B25-MY-017"}</t>
  </si>
  <si>
    <t xml:space="preserve">qa-b25-full-review-20261026/issues-and-clarifications.json#/frozen_execution_correction_history/67</t>
  </si>
  <si>
    <t xml:space="preserve">independent-qa.json#/batches/B25/documents/issues-and-clarifications.json/frozen_execution_correction_history/67</t>
  </si>
  <si>
    <t xml:space="preserve">733134b650008151cab297f6701d0a3b7eb8b97abe5be4296d61ffda2ac08d0d</t>
  </si>
  <si>
    <t xml:space="preserve">{"artifact":"page_proof","full_metadata_row":{"clarification":"Zoom confirms SSI009 2.18(c): Malay uses ATAU between infection source from transfusing institution and institution able to trace tainted blood; English p52 requires both with AND. Initial source-traced shorthand omitted this material bilingual evidence-condition difference.","component":"SSI009 CI2.15–2.18","corrected_at_utc":"2026-10-26T20:15:17.168022+00:00","correction_basis":"Independent 216dpi bilingual comparison of physical pages 52/92","display_sha256":"f82500a1ba5686b0d732aca410595206ab4e2090489c630d18090000a3bf5a97","initial_note_before_zoom_correction":"Fulminant hepatitis deteriorating tests/deepjaundice, carrier alone not covered. AMI typical pain+newECG+CPKMB above normal or TroponinT/I&gt;=0.5ng/ml, excludes ACS/unstableangina and percutaneous rise. Open valve surgery not intraarterial/keyhole. Transfusion-HIV necessary MY/SG poststart and source traced, remaining conditions next page.","language":"Malay","method":"ordinary_read_only_visual_144dpi","physical_page":92,"reviewed_at_utc":"2026-10-26T20:05:57.397986+00:00","semantic_note":"Fulminant hepatitis deteriorating tests/deepjaundice, carrier alone not covered. AMI typical pain+newECG+CPKMB above normal or TroponinT/I&gt;=0.5ng/ml, excludes ACS/unstableangina and percutaneous rise. Open valve surgery not intraarterial/keyhole. Transfusion-HIV necessary MY/SG poststart and source traced, remaining conditions next page. Zoom confirms SSI009 2.18(c): Malay uses ATAU between infection source from transfusing institution and institution able to trace tainted blood; English p52 requires both with AND. Initial source-traced shorthand omitted this material bilingual evidence-condition difference.","semantic_read":true,"task_id":"B25-MY-017"},"physical_page":92,"task_id":"B25-MY-017"}</t>
  </si>
  <si>
    <t xml:space="preserve">qa-b25-full-review-20261026/issues-and-clarifications.json#/frozen_execution_correction_history/68</t>
  </si>
  <si>
    <t xml:space="preserve">independent-qa.json#/batches/B25/documents/issues-and-clarifications.json/frozen_execution_correction_history/68</t>
  </si>
  <si>
    <t xml:space="preserve">83867acd2a77f5784850ee5ed19d934ee8d05ccbc679e98a0474bc6aa31ddd6f</t>
  </si>
  <si>
    <t xml:space="preserve">{"artifact":"result","complete_correction_and_clarification_fields":{"clarifications":[{"clarification":"Do not infer automatic lapse from accountdepletion.26.8 specifically preserves cover if contributions current/continuous; benefit terms subject master terms. Treat as specific exception to broad termination wording, not independent strict blocker.","correction_basis":"216dpi26.8 and death/TPD termination comparisons plus wholecontract subject-to wording.","initial_candidate":"General26.8 continuation versus annex accountdepletion termination considered as candidate conflict.","pages":[32,36,39,42,45,72,76,79,82,85]},{"clarification":"General CIHIV exclusion and specific transfusion-HIV definition require specific-cover reading; do not infer impossible coverage or void contract. Separate bilingual source-proof conjunction is F6.","correction_basis":"Both operative clauses individually read; distinct specific definition limits exception.","pages":[41,52,81,92,93]},{"clarification":"Malay2020wakalah intro references26 but heading24 and added24.3/24.4 uniquely identify target; bounded reference error, not missing component.","correction_basis":"Bilingual2020clauses and base24 checked.","pages":[10]},{"clarification":"Surrender English next contribution due date versus Malay contribution-anniversary/due wording retained as timing ambiguity; no inference of automaticyear delay.","correction_basis":"216dpi bilingual13.1.","pages":[28,67]},{"clarification":"Initial short notes omitted AND/ATAU differences; original notes retained with corrections inpageproof.","correction_basis":"216dpi43/83 and52/92 exactconjunction review.","pages":[83,92]}],"correction_basis":["All substantive findings confirmed by independent216dpi language-paired display, not extraction/OCR.","No initial classification reversal; candidate accountdepletion and generalHIV readings bounded before classification. Page83/92 initial flattened notes preserved."],"prior_task_id":"B18-MY-007"},"task_id":"B25-MY-017"}</t>
  </si>
  <si>
    <t xml:space="preserve">qa-b25-full-review-20261026/issues-and-clarifications.json#/frozen_execution_correction_history/69</t>
  </si>
  <si>
    <t xml:space="preserve">independent-qa.json#/batches/B25/documents/issues-and-clarifications.json/frozen_execution_correction_history/69</t>
  </si>
  <si>
    <t xml:space="preserve">01e2150e1fb20104a4f7df3bec6e0cf544468ad530513d5c61a1a84303f2332b</t>
  </si>
  <si>
    <t xml:space="preserve">{"artifact":"page_proof","full_metadata_row":{"clarification_after_zoom":"216dpi confirms only parenthetical(TPD) has visible strike-through; full Malay disability wording remains. No anniversary-after49 wording appears, unlikeEnglishp45.","component":"PA012 bones2","correction_basis":"Ordinary216dpi visualcomparison p45/p73; preserveinitial144dpi note and no sourceediting.","display_sha256":"8f0d45c667f9fc17378174b151de177a822360e70335733c80defbc2a4ab56e5","language":"Malay","method":"ordinary_read_only_visual_144dpi","physical_page":73,"reviewed_at_utc":"2026-10-26T19:29:11.585050+00:00","semantic_note":"Assault/medical/mental/preexistingosteoporosis exclusionsalignEnglish.3.1endsdeathTPD/ineligibility but Englishp45anniversaryafter49 conditionABSENT;parenthetical(TPD)visiblystruck-through,notwholeTPDphrase;zoomneeded.","semantic_read":true,"task_id":"B25-MY-018"},"physical_page":73,"task_id":"B25-MY-018"}</t>
  </si>
  <si>
    <t xml:space="preserve">qa-b25-full-review-20261026/issues-and-clarifications.json#/frozen_execution_correction_history/70</t>
  </si>
  <si>
    <t xml:space="preserve">independent-qa.json#/batches/B25/documents/issues-and-clarifications.json/frozen_execution_correction_history/70</t>
  </si>
  <si>
    <t xml:space="preserve">5ce0f01227d7c83871ab080416b14b5b50e1b018c909da0c4ca5fb085323d40a</t>
  </si>
  <si>
    <t xml:space="preserve">{"artifact":"result","complete_correction_and_clarification_fields":{"clarifications":[{"observation":"2019explicitreplacementofentire16/17,50/50afterQardreadwith17notdoubleQard;&lt;=RM10bankfirstelsecharityreplacesoldautomaticcharity.","pages":[1,2,3,4,31,32,59,60]},{"observation":"LegalproceedingsliteralNOactionBEFOREexpiration2yearsfromevent,notafter2yeardeadline;noenforceabilityopinion.","pages":[8,14]},{"observation":"EnglishacutevsMalayteruk(severe)retainedwithsamediseases/vectors/diagnostictests;noinventedunwrittenseveritytest.","pages":[6,12]},{"observation":"SpecificSIDlowerTPDproportionateresidualdeathcontinuationreadwithgeneraltermination;notautomaticoperativeconflict.","pages":[9,10,16,17,34,62]},{"observation":"OFSendorsementPA013referencecorrectlylocatesactualnotice;explicitFMBreplacementpresent;effectivecalendar dateunstated.","pages":[18,19,46,74]},{"observation":"NCDonefullclaimfreeyearnextanniversarywithspecificfirstentitlementonlysecondanniversary;bothlanguagesmatch,retainqualificationratherthanrewritefirstanniversary.","pages":[41,69]},{"observation":"EnglishboxingexampleomittedMalaybutbroadunlisted/hazardoussportsremain;notautomaticboxingcoverage.","pages":[35,63]},{"observation":"Spinalcordinjuryconfirmedboth;EnglishkneecapsexclusionvsMalaylutut(knee)boundedtranslationdifference retained,notmedicalcoverageopinion.","pages":[44,72]},{"observation":"Allbenefit/contribution/feeamountsbilingualconfirmed216dpi;6%GSThistoricalsubjectchange;monthlyprincipal/coupleexGST53/98,64/118,75/139,incl56.18/103.88,67.84/125.08,79.50/147.34.","pages":[23,24,50,51]},{"observation":"216dpi confirmsMalayparenthetical(TPD)struck-throughonly;not deletionofwholeTPDterminationphrase;age49omissionisdistinctsubstantivefinding.","pages":[45,73]}],"correction_basis":"No initial semantic reversal required. Page73 provisionalstrike-through observation confirmed216dpi and clarificationappendedwithoutoverwritinginitialnote.40targetedpageconfirmations preserve explicitreplacementscopes,negations,amounts,codes and bilingualdifferences.","prior_task_id":"B18-MY-008"},"task_id":"B25-MY-018"}</t>
  </si>
  <si>
    <t xml:space="preserve">qa-b25-full-review-20261026/issues-and-clarifications.json#/frozen_execution_correction_history/71</t>
  </si>
  <si>
    <t xml:space="preserve">independent-qa.json#/batches/B25/documents/issues-and-clarifications.json/frozen_execution_correction_history/71</t>
  </si>
  <si>
    <t xml:space="preserve">d048f274add622bf2a34a5b5a2b3acfb1cdfeb556a129c944afbd4c2b097b430</t>
  </si>
  <si>
    <t xml:space="preserve">{"artifact":"page_proof","full_metadata_row":{"clarification":"All98presentpagesread: both2011AttachmentB(AppendixIIIcontribution/wakalah) andbaseAppendixIII absent. Endorsementsprinted13–16skip;ENbase19–20skip;MSbase20–21skip. Incorporatedoperativecomponent,notmerelypersonalschedule.","component":"endorsement001/2011 continuation","corrected_at_utc":"2026-10-26T19:53:23.007291+00:00","correction_basis":"Completevisualinventory plus216dpi incorporation/crossrefs andboundarypages.","display_sha256":"d567043d68225a176354b937e75d8b29b3bc7cbc75c854b145cfa139d6e3b74f","language":"en","method":"ordinary_read_only_visual_144dpi","physical_page":3,"reviewed_at_utc":"2026-10-26T19:37:16.488000+00:00","semantic_note":"TPD also excludes intoxication, attempted suicide/self-inflictedinjuryorillness, illegality and AIDS. Preexisting definition uses one year before disbursementletter with treatment/advice/prudentperson/knowncondition tests. Explicitly updates AppendicesI,III,IV via AttachmentsA,B,C; AppendixII formula reference remains.","semantic_read":true,"task_id":"B25-MY-019"},"physical_page":3,"task_id":"B25-MY-019"}</t>
  </si>
  <si>
    <t xml:space="preserve">qa-b25-full-review-20261026/issues-and-clarifications.json#/frozen_execution_correction_history/72</t>
  </si>
  <si>
    <t xml:space="preserve">independent-qa.json#/batches/B25/documents/issues-and-clarifications.json/frozen_execution_correction_history/72</t>
  </si>
  <si>
    <t xml:space="preserve">8592610092f93d9d00565046e03be866d9a0d155ad1ebc933c2bd46481ce5154</t>
  </si>
  <si>
    <t xml:space="preserve">{"artifact":"page_proof","full_metadata_row":{"clarification":"216dpi confirms EN9 month13017year362.75 versus MS31 326.75. English-precedence28.3 exists; numerical mismatch retained without replacing source.","component":"AttachmentA reducing sums","corrected_at_utc":"2026-10-26T19:53:23.007308+00:00","correction_basis":"216dpi9/31 and56/82.","display_sha256":"e9f2ff31b801ce43ec6eee0bdf35af52dafb996a9a377a27da87710deefa3973","language":"en","method":"ordinary_read_only_visual_144dpi","physical_page":9,"reviewed_at_utc":"2026-10-26T19:38:04.763095+00:00","semantic_note":"Endmonths121–144:11year83.33at121 to7.58at131;12year159.72to6.94at143 then shaded. Row144 thirteenyear76.92,twentyyear400. Month boundaries and shaded expiredterms maintain schedule meaning.","semantic_read":true,"task_id":"B25-MY-019"},"physical_page":9,"task_id":"B25-MY-019"}</t>
  </si>
  <si>
    <t xml:space="preserve">qa-b25-full-review-20261026/issues-and-clarifications.json#/frozen_execution_correction_history/73</t>
  </si>
  <si>
    <t xml:space="preserve">independent-qa.json#/batches/B25/documents/issues-and-clarifications.json/frozen_execution_correction_history/73</t>
  </si>
  <si>
    <t xml:space="preserve">6432bcd92a3a070fa868bbe6e9551ac81b2588409bc275031f4b4ef0b42f1b63</t>
  </si>
  <si>
    <t xml:space="preserve">{"artifact":"page_proof","full_metadata_row":{"clarification":"216dpi confirms2011A month21619/20year153.51/195.83 repeatsmonth193; finalA months217–240positiveat228/240. C19yearmonth2284.67% repeats217after2270.43%. Not silently recalculated or repaired.","component":"AttachmentA reducing sums","corrected_at_utc":"2026-10-26T19:53:23.007311+00:00","correction_basis":"216dpi12/13/23/34/35/45.","display_sha256":"33d30064cf7e3c60d2683e967b981cd880f2fd3d63fc39b9d8ed9e0cad0c52bd","language":"en","method":"ordinary_read_only_visual_144dpi","physical_page":12,"reviewed_at_utc":"2026-10-26T19:38:04.764470+00:00","semantic_note":"Endmonths193–216:17year53.92to4.90at203 and18year106.48to4.63at215. Final216 row appears19year153.51 and20year195.83, repeating193 values and increasing from215=57.02/104.17; flag numerical inconsistency for enlarged confirmation, not silently repair.","semantic_read":true,"task_id":"B25-MY-019"},"physical_page":12,"task_id":"B25-MY-019"}</t>
  </si>
  <si>
    <t xml:space="preserve">qa-b25-full-review-20261026/issues-and-clarifications.json#/frozen_execution_correction_history/74</t>
  </si>
  <si>
    <t xml:space="preserve">independent-qa.json#/batches/B25/documents/issues-and-clarifications.json/frozen_execution_correction_history/74</t>
  </si>
  <si>
    <t xml:space="preserve">3971da1b50c6e0c5bd706a027fce1329b77cf23e44009a20ec3a9d147c25cc70</t>
  </si>
  <si>
    <t xml:space="preserve">{"artifact":"page_proof","full_metadata_row":{"clarification":"216dpi confirms2011A month21619/20year153.51/195.83 repeatsmonth193; finalA months217–240positiveat228/240. C19yearmonth2284.67% repeats217after2270.43%. Not silently recalculated or repaired.","component":"AttachmentA reducing sums","corrected_at_utc":"2026-10-26T19:53:23.007313+00:00","correction_basis":"216dpi12/13/23/34/35/45.","display_sha256":"ba5b41fe7cc9de48f64399ac30ef239fb215cc8c24ca292b97041a54e33b6acc","language":"en","method":"ordinary_read_only_visual_144dpi","physical_page":13,"reviewed_at_utc":"2026-10-26T19:38:32.306682+00:00","semantic_note":"Final months217–240:19yearcolumn52.63at217 through4.39at228 then shaded;20year100at217 to4.17at240. Values appear one month behind earlier end-month convention, and remain positive at term maturity. Preserve as printed, pending enlarged comparison; no silently computed replacement.","semantic_read":true,"task_id":"B25-MY-019"},"physical_page":13,"task_id":"B25-MY-019"}</t>
  </si>
  <si>
    <t xml:space="preserve">qa-b25-full-review-20261026/issues-and-clarifications.json#/frozen_execution_correction_history/75</t>
  </si>
  <si>
    <t xml:space="preserve">independent-qa.json#/batches/B25/documents/issues-and-clarifications.json/frozen_execution_correction_history/75</t>
  </si>
  <si>
    <t xml:space="preserve">fd8f479bd3075fe6f4347d29aef70edd0357ffe6cd7f90b48e715b0793ec99c0</t>
  </si>
  <si>
    <t xml:space="preserve">{"artifact":"page_proof","full_metadata_row":{"clarification":"216dpi confirms16year months105/106 are38.39%/37.99%,not39.39%/39.99%; matchMS40. Apparent jumps/mismatch withdrawn.","component":"AttachmentC cashvalue","corrected_at_utc":"2026-10-26T19:53:23.007317+00:00","correction_basis":"Direct ordinary read-only216dpi enlarged visual confirmation of paired pages; not OCR/extraction.","display_sha256":"be3f1b84656a429cb636611001b0894966311b97766cbcfdef1a6ed5d88827e1","language":"en","method":"ordinary_read_only_visual_144dpi","physical_page":18,"prior_semantic_note":"Months97–120:9year8.58%to0.79%at107,10year16.14%to0.72%at119;20year49.89%to43.00%. Sixteenyear column105/106 appears39.39/39.99 after104=38.79, before107=37.60; numerical increase flagged for zoom, not repaired.","reviewed_at_utc":"2026-10-26T19:39:12.398610+00:00","semantic_note":"Months97–120:9year8.58%to0.79%at107,10year16.14%to0.72%at119;20year49.89%to43.00%. Sixteenyear column105/106 appears39.39/39.99 after104=38.79, before107=37.60; numerical increase flagged for zoom, not repaired. CORRECTION: 216dpi confirms16year months105/106 are38.39%/37.99%,not39.39%/39.99%; matchMS40. Apparent jumps/mismatch withdrawn.","semantic_read":true,"task_id":"B25-MY-019"},"physical_page":18,"task_id":"B25-MY-019"}</t>
  </si>
  <si>
    <t xml:space="preserve">qa-b25-full-review-20261026/issues-and-clarifications.json#/frozen_execution_correction_history/76</t>
  </si>
  <si>
    <t xml:space="preserve">independent-qa.json#/batches/B25/documents/issues-and-clarifications.json/frozen_execution_correction_history/76</t>
  </si>
  <si>
    <t xml:space="preserve">31bab14d3dc89439e7eb45a71e643a598d13a463cfcaf39c5e4d00d1e4796fda</t>
  </si>
  <si>
    <t xml:space="preserve">{"artifact":"page_proof","full_metadata_row":{"clarification":"216dpi confirms17year/month129=32.03% inEN19 andMS41,not33.05%; earlieruncertainreadingwithdrawn.","component":"AttachmentC cashvalue","corrected_at_utc":"2026-10-26T19:53:23.007321+00:00","correction_basis":"Direct ordinary read-only216dpi enlarged visual confirmation of paired pages; not OCR/extraction.","display_sha256":"5a7e67d8b350fcb9d49e9e659d3d944ef1138609e0024685f62b7bba60892204","language":"en","method":"ordinary_read_only_visual_144dpi","physical_page":19,"prior_semantic_note":"Months121–144:11year7.22%to0.66%at131,12year13.83%to0.62%at143;row144 13year6.85%,20year35.39%. Seventeenyear row129 visually uncertain/anomalous between12832.42 and13031.64; targetedzoom needed.","reviewed_at_utc":"2026-10-26T19:39:12.399179+00:00","semantic_note":"Months121–144:11year7.22%to0.66%at131,12year13.83%to0.62%at143;row144 13year6.85%,20year35.39%. Seventeenyear row129 visually uncertain/anomalous between12832.42 and13031.64; targetedzoom needed. CORRECTION: 216dpi confirms17year/month129=32.03% inEN19 andMS41,not33.05%; earlieruncertainreadingwithdrawn.","semantic_read":true,"task_id":"B25-MY-019"},"physical_page":19,"task_id":"B25-MY-019"}</t>
  </si>
  <si>
    <t xml:space="preserve">qa-b25-full-review-20261026/issues-and-clarifications.json#/frozen_execution_correction_history/77</t>
  </si>
  <si>
    <t xml:space="preserve">independent-qa.json#/batches/B25/documents/issues-and-clarifications.json/frozen_execution_correction_history/77</t>
  </si>
  <si>
    <t xml:space="preserve">112e2dc5bde9e9b863e2bcf1b2934bcb5bfd8b4c13b8b7e86783f419d84072c4</t>
  </si>
  <si>
    <t xml:space="preserve">{"artifact":"page_proof","full_metadata_row":{"clarification":"216dpi confirms2011A month21619/20year153.51/195.83 repeatsmonth193; finalA months217–240positiveat228/240. C19yearmonth2284.67% repeats217after2270.43%. Not silently recalculated or repaired.","component":"AttachmentC cashvalue","corrected_at_utc":"2026-10-26T19:53:23.007323+00:00","correction_basis":"216dpi12/13/23/34/35/45.","display_sha256":"7f36e1a4303eaa619566ed5b1ad4a8360044bab7a06126e9c4d6c42469562a06","language":"en","method":"ordinary_read_only_visual_144dpi","physical_page":23,"reviewed_at_utc":"2026-10-26T19:39:39.373880+00:00","semantic_note":"Months217–240:19year4.67%at217 descends to0.43%at227 but row228 repeats4.67% before shading, an apparent maturity anomaly. Twentyyear9.26%at217 to0.41%at239 then shaded240. Flag19year228for216dpiconfirmation.","semantic_read":true,"task_id":"B25-MY-019"},"physical_page":23,"task_id":"B25-MY-019"}</t>
  </si>
  <si>
    <t xml:space="preserve">qa-b25-full-review-20261026/issues-and-clarifications.json#/frozen_execution_correction_history/78</t>
  </si>
  <si>
    <t xml:space="preserve">independent-qa.json#/batches/B25/documents/issues-and-clarifications.json/frozen_execution_correction_history/78</t>
  </si>
  <si>
    <t xml:space="preserve">c359e516d4d7e857c898e23a1cf9fd966a43cadba6b0443f022a10695fd7b9d2</t>
  </si>
  <si>
    <t xml:space="preserve">{"artifact":"page_proof","full_metadata_row":{"clarification":"All98presentpagesread: both2011AttachmentB(AppendixIIIcontribution/wakalah) andbaseAppendixIII absent. Endorsementsprinted13–16skip;ENbase19–20skip;MSbase20–21skip. Incorporatedoperativecomponent,notmerelypersonalschedule.","component":"endorsement001/2011 continuation","corrected_at_utc":"2026-10-26T19:53:23.007325+00:00","correction_basis":"Completevisualinventory plus216dpi incorporation/crossrefs andboundarypages.","display_sha256":"85ffccd52a27c44d4ef15827aa4f511d8d8d077482c91c4a733110d6b3b322c0","language":"ms","method":"ordinary_read_only_visual_144dpi","physical_page":25,"reviewed_at_utc":"2026-10-26T19:40:12.196383+00:00","semantic_note":"Malay completes aviation, intoxication,selfharm,illegality/AIDS exclusions. Preexistingoneyearbefore disbursementletter includes known/prudentperson tests; limb(i) says treatment/advice/diagnosis recommended or received versus EN sought or received. ExplicitI/III/IV updates viaA/B/C preserved.","semantic_read":true,"task_id":"B25-MY-019"},"physical_page":25,"task_id":"B25-MY-019"}</t>
  </si>
  <si>
    <t xml:space="preserve">qa-b25-full-review-20261026/issues-and-clarifications.json#/frozen_execution_correction_history/79</t>
  </si>
  <si>
    <t xml:space="preserve">independent-qa.json#/batches/B25/documents/issues-and-clarifications.json/frozen_execution_correction_history/79</t>
  </si>
  <si>
    <t xml:space="preserve">b1338511e98395224812b8f84f51214fbb72fef41315b87ade1573757a952cc8</t>
  </si>
  <si>
    <t xml:space="preserve">{"artifact":"page_proof","full_metadata_row":{"clarification":"216dpi confirms EN9 month13017year362.75 versus MS31 326.75. English-precedence28.3 exists; numerical mismatch retained without replacing source.","component":"LembaranA reducing sums","corrected_at_utc":"2026-10-26T19:53:23.007328+00:00","correction_basis":"216dpi9/31 and56/82.","display_sha256":"c9aa775efac2beab3ad6c639622ee47638dc164ab30ee9f2bd0d07f9bb088684","language":"ms","method":"ordinary_read_only_visual_144dpi","physical_page":31,"reviewed_at_utc":"2026-10-26T19:40:41.146636+00:00","semantic_note":"Months121–144:11yearends7.58at131 and12year6.94at143;row14413year76.92/20year400. Atmonth130,17yearentry appears326.75 versus English362.75 and adjacent367.65/357.84; flag transposition for zoom.","semantic_read":true,"task_id":"B25-MY-019"},"physical_page":31,"task_id":"B25-MY-019"}</t>
  </si>
  <si>
    <t xml:space="preserve">qa-b25-full-review-20261026/issues-and-clarifications.json#/frozen_execution_correction_history/80</t>
  </si>
  <si>
    <t xml:space="preserve">independent-qa.json#/batches/B25/documents/issues-and-clarifications.json/frozen_execution_correction_history/80</t>
  </si>
  <si>
    <t xml:space="preserve">5b321f5ea51354ee58f760cbc382a002b8964eb86772b2f43d58e7e47bd8d093</t>
  </si>
  <si>
    <t xml:space="preserve">{"artifact":"page_proof","full_metadata_row":{"clarification":"216dpi confirms18year/month149 is310.19 in BOTH EN10/MS32,not301.19. Apparent bilingual mismatch withdrawn.","component":"LembaranA reducing sums","corrected_at_utc":"2026-10-26T19:53:23.007330+00:00","correction_basis":"Direct ordinary read-only216dpi enlarged visual confirmation of paired pages; not OCR/extraction.","display_sha256":"64fa4c03eb7720934f4694d8e10d00c450c8a206679646531c6af24d4aa2dea0","language":"ms","method":"ordinary_read_only_visual_144dpi","physical_page":32,"prior_semantic_note":"Months145–168:13yearends6.41at155,14year5.95at167;row16815year66.67/20year300. Month14918yearappears301.19 before150305.56, unlike English310.19; retain possible transposition pendingzoom.","reviewed_at_utc":"2026-10-26T19:40:41.147041+00:00","semantic_note":"Months145–168:13yearends6.41at155,14year5.95at167;row16815year66.67/20year300. Month14918yearappears301.19 before150305.56, unlike English310.19; retain possible transposition pendingzoom. CORRECTION: 216dpi confirms18year/month149 is310.19 in BOTH EN10/MS32,not301.19. Apparent bilingual mismatch withdrawn.","semantic_read":true,"task_id":"B25-MY-019"},"physical_page":32,"task_id":"B25-MY-019"}</t>
  </si>
  <si>
    <t xml:space="preserve">qa-b25-full-review-20261026/issues-and-clarifications.json#/frozen_execution_correction_history/81</t>
  </si>
  <si>
    <t xml:space="preserve">independent-qa.json#/batches/B25/documents/issues-and-clarifications.json/frozen_execution_correction_history/81</t>
  </si>
  <si>
    <t xml:space="preserve">b4391605de6b3d4793be3835aea898a0a189289fd4d439647edcbc5e2e208953</t>
  </si>
  <si>
    <t xml:space="preserve">{"artifact":"page_proof","full_metadata_row":{"clarification":"216dpi confirms2011A month21619/20year153.51/195.83 repeatsmonth193; finalA months217–240positiveat228/240. C19yearmonth2284.67% repeats217after2270.43%. Not silently recalculated or repaired.","component":"LembaranA reducing sums","corrected_at_utc":"2026-10-26T19:53:23.007333+00:00","correction_basis":"216dpi12/13/23/34/35/45.","display_sha256":"e29a09fa75122429cc9cae077b85e99ab2046c73c23b5878281e132cffd3041d","language":"ms","method":"ordinary_read_only_visual_144dpi","physical_page":34,"reviewed_at_utc":"2026-10-26T19:41:10.836126+00:00","semantic_note":"Months193–216 Malay repeats English anomalous final21619/20year153.51/195.83 after21557.02/104.17, identical to row193. Thus not merely translation difference; values preserved for issuer clarification.","semantic_read":true,"task_id":"B25-MY-019"},"physical_page":34,"task_id":"B25-MY-019"}</t>
  </si>
  <si>
    <t xml:space="preserve">qa-b25-full-review-20261026/issues-and-clarifications.json#/frozen_execution_correction_history/82</t>
  </si>
  <si>
    <t xml:space="preserve">independent-qa.json#/batches/B25/documents/issues-and-clarifications.json/frozen_execution_correction_history/82</t>
  </si>
  <si>
    <t xml:space="preserve">a1ecb74824b79b8256ae5935ecca1d680d0dd53d66d7bfccfeaebd2a3ac05612</t>
  </si>
  <si>
    <t xml:space="preserve">{"artifact":"page_proof","full_metadata_row":{"clarification":"216dpi confirms2011A month21619/20year153.51/195.83 repeatsmonth193; finalA months217–240positiveat228/240. C19yearmonth2284.67% repeats217after2270.43%. Not silently recalculated or repaired.","component":"LembaranA reducing sums","corrected_at_utc":"2026-10-26T19:53:23.007335+00:00","correction_basis":"216dpi12/13/23/34/35/45.","display_sha256":"2622f20b96d94a95bcf77cfb0cd35ec58b3fc8c27320716bdf76131c8fcfcd81","language":"ms","method":"ordinary_read_only_visual_144dpi","physical_page":35,"reviewed_at_utc":"2026-10-26T19:41:10.836408+00:00","semantic_note":"Months217–240 Malay also19year52.63at217 to4.39at228,20year100at217 to4.17at240. Apparent final-page endmonthoffset matchesEN13,not resolved by choosing Malay.","semantic_read":true,"task_id":"B25-MY-019"},"physical_page":35,"task_id":"B25-MY-019"}</t>
  </si>
  <si>
    <t xml:space="preserve">qa-b25-full-review-20261026/issues-and-clarifications.json#/frozen_execution_correction_history/83</t>
  </si>
  <si>
    <t xml:space="preserve">independent-qa.json#/batches/B25/documents/issues-and-clarifications.json/frozen_execution_correction_history/83</t>
  </si>
  <si>
    <t xml:space="preserve">8fe15527b3b0b0df368f9531b65074191959a3e319deea13cf5926cd6e43c45d</t>
  </si>
  <si>
    <t xml:space="preserve">{"artifact":"page_proof","full_metadata_row":{"clarification":"216dpi EN18/MS40 both16year105/106=38.39%/37.99%; earlier allegedEN mismatchwithdrawn.","component":"LembaranC cashvalue","corrected_at_utc":"2026-10-26T19:53:23.007337+00:00","correction_basis":"Direct ordinary read-only216dpi enlarged visual confirmation of paired pages; not OCR/extraction.","display_sha256":"329a5bbd18a51292d33f490e0f0aa417a52fff92d40d1753177cbbeec7b18e76","language":"ms","method":"ordinary_read_only_visual_144dpi","physical_page":40,"prior_semantic_note":"Months97–120:9yearends0.79at107,10year0.72at119;20year43at120. Malay16yearmonths105/106 read38.39/37.99 versus apparent English39.39/39.99; need216dpi bilingual cell comparison rather than interpolation.","reviewed_at_utc":"2026-10-26T19:41:38.405223+00:00","semantic_note":"Months97–120:9yearends0.79at107,10year0.72at119;20year43at120. Malay16yearmonths105/106 read38.39/37.99 versus apparent English39.39/39.99; need216dpi bilingual cell comparison rather than interpolation. CORRECTION: 216dpi EN18/MS40 both16year105/106=38.39%/37.99%; earlier allegedEN mismatchwithdrawn.","semantic_read":true,"task_id":"B25-MY-019"},"physical_page":40,"task_id":"B25-MY-019"}</t>
  </si>
  <si>
    <t xml:space="preserve">qa-b25-full-review-20261026/issues-and-clarifications.json#/frozen_execution_correction_history/84</t>
  </si>
  <si>
    <t xml:space="preserve">independent-qa.json#/batches/B25/documents/issues-and-clarifications.json/frozen_execution_correction_history/84</t>
  </si>
  <si>
    <t xml:space="preserve">b1928e87998dc99695ae8a4f0d53fa244faa05a2825bc60bd4174e0283f7c8da</t>
  </si>
  <si>
    <t xml:space="preserve">{"artifact":"page_proof","full_metadata_row":{"clarification":"216dpi bothEN19/MS41 month12917year=32.03%; apparent mismatchwithdrawn.","component":"LembaranC cashvalue","corrected_at_utc":"2026-10-26T19:53:23.007339+00:00","correction_basis":"Direct ordinary read-only216dpi enlarged visual confirmation of paired pages; not OCR/extraction.","display_sha256":"eb4671a747a7975a9fcacbf20c98c4335dfc14ee131971353db0b193367738e7","language":"ms","method":"ordinary_read_only_visual_144dpi","physical_page":41,"prior_semantic_note":"Months121–144:11year7.22to0.66at131,12year13.83to0.62at143;row14413year6.85/20year35.39percent. Malay17yearmonth12932.03, contrasting uncertain English19appearance; zoom compare before finding.","reviewed_at_utc":"2026-10-26T19:42:03.551269+00:00","semantic_note":"Months121–144:11year7.22to0.66at131,12year13.83to0.62at143;row14413year6.85/20year35.39percent. Malay17yearmonth12932.03, contrasting uncertain English19appearance; zoom compare before finding. CORRECTION: 216dpi bothEN19/MS41 month12917year=32.03%; apparent mismatchwithdrawn.","semantic_read":true,"task_id":"B25-MY-019"},"physical_page":41,"task_id":"B25-MY-019"}</t>
  </si>
  <si>
    <t xml:space="preserve">qa-b25-full-review-20261026/issues-and-clarifications.json#/frozen_execution_correction_history/85</t>
  </si>
  <si>
    <t xml:space="preserve">independent-qa.json#/batches/B25/documents/issues-and-clarifications.json/frozen_execution_correction_history/85</t>
  </si>
  <si>
    <t xml:space="preserve">9a4d3eac7c7b4916277a35df786f3e55f287d0e50f61f63c996001a9be9cdad3</t>
  </si>
  <si>
    <t xml:space="preserve">{"artifact":"page_proof","full_metadata_row":{"clarification":"216dpi confirms2011A month21619/20year153.51/195.83 repeatsmonth193; finalA months217–240positiveat228/240. C19yearmonth2284.67% repeats217after2270.43%. Not silently recalculated or repaired.","component":"001/2011 Attachment C Appendix IV printed26/26","corrected_at_utc":"2026-10-26T19:53:23.007342+00:00","correction_basis":"216dpi12/13/23/34/35/45.","display_sha256":"d7a66ecd8764d7f1e8f9ea2cd443cb0b51340d22f8f85175c2e1def90e8e5aee","language":"MS","method":"ordinary_read_only_visual_144dpi","physical_page":45,"reviewed_at_utc":"2026-10-26T19:44:36.803837+00:00","semantic_note":"Cash-value percentages finish months217–240: 19-year falls4.67 at217 to0.43 at227 then repeats4.67 at228; later blank.20-year falls9.26 at217 to0.41 at239,240 blank. Preserve apparent reset pending enlarged check.","semantic_read":true,"task_id":"B25-MY-019"},"physical_page":45,"task_id":"B25-MY-019"}</t>
  </si>
  <si>
    <t xml:space="preserve">qa-b25-full-review-20261026/issues-and-clarifications.json#/frozen_execution_correction_history/86</t>
  </si>
  <si>
    <t xml:space="preserve">independent-qa.json#/batches/B25/documents/issues-and-clarifications.json/frozen_execution_correction_history/86</t>
  </si>
  <si>
    <t xml:space="preserve">19e99afffb14d2c228385deb0a6b6d3c17f28cf671b56524733161b5ee6c80b6</t>
  </si>
  <si>
    <t xml:space="preserve">{"artifact":"page_proof","full_metadata_row":{"clarification":"All98presentpagesread: both2011AttachmentB(AppendixIIIcontribution/wakalah) andbaseAppendixIII absent. Endorsementsprinted13–16skip;ENbase19–20skip;MSbase20–21skip. Incorporatedoperativecomponent,notmerelypersonalschedule.","component":"Base printed6/27","corrected_at_utc":"2026-10-26T19:53:23.007344+00:00","correction_basis":"Completevisualinventory plus216dpi incorporation/crossrefs andboundarypages.","display_sha256":"8e4bdbef7563ff916e56b03a696646c89eb16d778d61d840db5f34555f928c08","language":"EN","method":"ordinary_read_only_visual_144dpi","physical_page":52,"reviewed_at_utc":"2026-10-26T19:44:57.177833+00:00","semantic_note":"Wrong maturity-age beyond limits also contribution-only. Non-disclosure may void, but2year incontestability except fraudulent material fact; void returns wakalah/tabarru from respective funds. Contribution and wakalah refer AppendixIII; contribution changes require90days written notice.","semantic_read":true,"task_id":"B25-MY-019"},"physical_page":52,"task_id":"B25-MY-019"}</t>
  </si>
  <si>
    <t xml:space="preserve">qa-b25-full-review-20261026/issues-and-clarifications.json#/frozen_execution_correction_history/87</t>
  </si>
  <si>
    <t xml:space="preserve">independent-qa.json#/batches/B25/documents/issues-and-clarifications.json/frozen_execution_correction_history/87</t>
  </si>
  <si>
    <t xml:space="preserve">3b22d496469f3e4e70dca79bbc9627a0ca54a9c791b1ac68dc1ea43e38971b79</t>
  </si>
  <si>
    <t xml:space="preserve">{"artifact":"page_proof","full_metadata_row":{"clarification":"All98presentpagesread: both2011AttachmentB(AppendixIIIcontribution/wakalah) andbaseAppendixIII absent. Endorsementsprinted13–16skip;ENbase19–20skip;MSbase20–21skip. Incorporatedoperativecomponent,notmerelypersonalschedule.","component":"Base AppendixII printed18/27","corrected_at_utc":"2026-10-26T19:53:23.007348+00:00","correction_basis":"Completevisualinventory plus216dpi incorporation/crossrefs andboundarypages.","display_sha256":"4febabbbe9e0ca092c85cfefb8f93adcc1b70ac85e9a2a67159dbee7c29c2003","language":"EN","method":"ordinary_read_only_visual_144dpi","physical_page":64,"reviewed_at_utc":"2026-10-26T19:46:08.066737+00:00","semantic_note":"Cash day interpolation x/m nextmonth CSV plus(m-x)/m currentCSV; x includes surrenderdate,m actualmonthdays. CSV=75% grosscontribution times remaining/full annuity-due ratio, monthlyi0.2466%equivalent3%pa. Tabarrushare=(1-WF)/75% timesCSV,operator remainder. Surrender onlyearlyfinance settlement; IVsamples.","semantic_read":true,"task_id":"B25-MY-019"},"physical_page":64,"task_id":"B25-MY-019"}</t>
  </si>
  <si>
    <t xml:space="preserve">qa-b25-full-review-20261026/issues-and-clarifications.json#/frozen_execution_correction_history/88</t>
  </si>
  <si>
    <t xml:space="preserve">independent-qa.json#/batches/B25/documents/issues-and-clarifications.json/frozen_execution_correction_history/88</t>
  </si>
  <si>
    <t xml:space="preserve">729bee36d593a21030d05fa7c66f068b9223fe71e39b102f5822e59c70eb4315</t>
  </si>
  <si>
    <t xml:space="preserve">{"artifact":"page_proof","full_metadata_row":{"clarification":"All98presentpagesread: both2011AttachmentB(AppendixIIIcontribution/wakalah) andbaseAppendixIII absent. Endorsementsprinted13–16skip;ENbase19–20skip;MSbase20–21skip. Incorporatedoperativecomponent,notmerelypersonalschedule.","component":"Base AppendixIV printed21/27","corrected_at_utc":"2026-10-26T19:53:23.007350+00:00","correction_basis":"Completevisualinventory plus216dpi incorporation/crossrefs andboundarypages.","display_sha256":"816fcd78e8fa6874fbce449003de5ee628c55d2c0f3d37be47fd597beacd3a70","language":"EN","method":"ordinary_read_only_visual_144dpi","physical_page":65,"reviewed_at_utc":"2026-10-26T19:46:37.926077+00:00","semantic_note":"Base cashpercenttable0–24 starts75%through15year, explicit0%at6/12/24maturity unlike2011blanks.15year24=66.81%. Printed18II jumps21IV; IIIprinted19–20notpresenthere.","semantic_read":true,"task_id":"B25-MY-019"},"physical_page":65,"task_id":"B25-MY-019"}</t>
  </si>
  <si>
    <t xml:space="preserve">qa-b25-full-review-20261026/issues-and-clarifications.json#/frozen_execution_correction_history/89</t>
  </si>
  <si>
    <t xml:space="preserve">independent-qa.json#/batches/B25/documents/issues-and-clarifications.json/frozen_execution_correction_history/89</t>
  </si>
  <si>
    <t xml:space="preserve">6df3e13cf31913769dd3d3cf9074bd9bdcfe9a22050f7f9741d048dc6d32e5c2</t>
  </si>
  <si>
    <t xml:space="preserve">{"artifact":"page_proof","full_metadata_row":{"clarification":"All98presentpagesread: both2011AttachmentB(AppendixIIIcontribution/wakalah) andbaseAppendixIII absent. Endorsementsprinted13–16skip;ENbase19–20skip;MSbase20–21skip. Incorporatedoperativecomponent,notmerelypersonalschedule.","component":"Base printed7/28","corrected_at_utc":"2026-10-26T19:53:23.007355+00:00","correction_basis":"Completevisualinventory plus216dpi incorporation/crossrefs andboundarypages.","display_sha256":"4958566ca1dfcfe86946c9dc34c253a1261d7dc1d530a5f47ab3185ccc0262e0","language":"MS","method":"ordinary_read_only_visual_144dpi","physical_page":79,"reviewed_at_utc":"2026-10-26T19:47:41.830514+00:00","semantic_note":"Voidrefundwakalah/tabarrurespectivefunds. Contribution/wakalah explicitlyIII; revisions90days;tabarrucontributionlessfee. Fundpaysclaims;qardwheninsufficientandnospecialfundassets,repayfromsurplus.","semantic_read":true,"task_id":"B25-MY-019"},"physical_page":79,"task_id":"B25-MY-019"}</t>
  </si>
  <si>
    <t xml:space="preserve">qa-b25-full-review-20261026/issues-and-clarifications.json#/frozen_execution_correction_history/90</t>
  </si>
  <si>
    <t xml:space="preserve">independent-qa.json#/batches/B25/documents/issues-and-clarifications.json/frozen_execution_correction_history/90</t>
  </si>
  <si>
    <t xml:space="preserve">6edc5d116a9894f1c9417461198e62022dbd24c53491621183e74bc5a3cba7b5</t>
  </si>
  <si>
    <t xml:space="preserve">{"artifact":"page_proof","full_metadata_row":{"clarification":"All98presentpagesread: both2011AttachmentB(AppendixIIIcontribution/wakalah) andbaseAppendixIII absent. Endorsementsprinted13–16skip;ENbase19–20skip;MSbase20–21skip. Incorporatedoperativecomponent,notmerelypersonalschedule.","component":"Base AppendixII printed19/28","corrected_at_utc":"2026-10-26T19:53:23.007359+00:00","correction_basis":"Completevisualinventory plus216dpi incorporation/crossrefs andboundarypages.","display_sha256":"c9f640330883480f138189929602483dfd43ecd8a6954aae37e42c716c3c5f21","language":"MS","method":"ordinary_read_only_visual_144dpi","physical_page":91,"reviewed_at_utc":"2026-10-26T19:48:38.601784+00:00","semantic_note":"Cashformula alignsEnglish:dayweightedCSV,next/current;75%Cremaining/fullannuityratio,i0.2466%=3%pa; fundshare(1-WF)/75%CSVoperatorremainder. N/Tcapitalindefinitionsbutlowerinformula. Earlysettlementonly. IVsamples. Actualdaysfootnotes.","semantic_read":true,"task_id":"B25-MY-019"},"physical_page":91,"task_id":"B25-MY-019"}</t>
  </si>
  <si>
    <t xml:space="preserve">qa-b25-full-review-20261026/issues-and-clarifications.json#/frozen_execution_correction_history/91</t>
  </si>
  <si>
    <t xml:space="preserve">independent-qa.json#/batches/B25/documents/issues-and-clarifications.json/frozen_execution_correction_history/91</t>
  </si>
  <si>
    <t xml:space="preserve">5f176df2b41d0c4fbf1c0b03db4e67c4591f180c8332a1a4755893b204806a1a</t>
  </si>
  <si>
    <t xml:space="preserve">{"artifact":"page_proof","full_metadata_row":{"clarification":"All98presentpagesread: both2011AttachmentB(AppendixIIIcontribution/wakalah) andbaseAppendixIII absent. Endorsementsprinted13–16skip;ENbase19–20skip;MSbase20–21skip. Incorporatedoperativecomponent,notmerelypersonalschedule.","component":"Base AppendixIV printed22/28","corrected_at_utc":"2026-10-26T19:53:23.007362+00:00","correction_basis":"Completevisualinventory plus216dpi incorporation/crossrefs andboundarypages.","display_sha256":"8085745f38706689becb43c61e7cb8ac9f2d3c9460f4e7125ed39d8331323ddc","language":"MS","method":"ordinary_read_only_visual_144dpi","physical_page":92,"reviewed_at_utc":"2026-10-26T19:48:38.601999+00:00","semantic_note":"Cash0–24:75%initial,explicit0at6/12/24maturities;15year66.81at24. Physical91printed19 jumps92printed22,III20–21absent here.","semantic_read":true,"task_id":"B25-MY-019"},"physical_page":92,"task_id":"B25-MY-019"}</t>
  </si>
  <si>
    <t xml:space="preserve">qa-b25-full-review-20261026/issues-and-clarifications.json#/frozen_execution_correction_history/92</t>
  </si>
  <si>
    <t xml:space="preserve">independent-qa.json#/batches/B25/documents/issues-and-clarifications.json/frozen_execution_correction_history/92</t>
  </si>
  <si>
    <t xml:space="preserve">8167151b94b309887f70601abc35ab2f380bc34aa3c313230c69597d4f947c62</t>
  </si>
  <si>
    <t xml:space="preserve">{"artifact":"page_proof","full_metadata_row":{"clarification":"All98presentpagesread: both2011AttachmentB(AppendixIIIcontribution/wakalah) andbaseAppendixIII absent. Endorsementsprinted13–16skip;ENbase19–20skip;MSbase20–21skip. Incorporatedoperativecomponent,notmerelypersonalschedule.","component":"Base AppendixIV printed28/28","corrected_at_utc":"2026-10-26T19:53:23.007364+00:00","correction_basis":"Completevisualinventory plus216dpi incorporation/crossrefs andboundarypages.","display_sha256":"16bf4fd89767fc95ee700fa650c101f9683843ed361babfc4ae6200047321b98","language":"MS","method":"ordinary_read_only_visual_144dpi","physical_page":98,"reviewed_at_utc":"2026-10-26T19:49:12.033757+00:00","semantic_note":"Lastcash145–180:13year0.58at155,14year0.54at167,15year0.52at179thenzeromaturity. All98presentpagesread; noAppendixIIIcontribution/wakalah or2011AttachmentBanywhere. No schedule-specificholder/currentadoption established.","semantic_read":true,"task_id":"B25-MY-019"},"physical_page":98,"task_id":"B25-MY-019"}</t>
  </si>
  <si>
    <t xml:space="preserve">qa-b25-full-review-20261026/issues-and-clarifications.json#/frozen_execution_correction_history/93</t>
  </si>
  <si>
    <t xml:space="preserve">independent-qa.json#/batches/B25/documents/issues-and-clarifications.json/frozen_execution_correction_history/93</t>
  </si>
  <si>
    <t xml:space="preserve">d87c8dcf8dd25d45067a00a5c8dacd506168c20b4bc9418f37e08739f8600e65</t>
  </si>
  <si>
    <t xml:space="preserve">{"artifact":"result","complete_correction_and_clarification_fields":{"clarifications":[{"clarification":"2011A17yearmonth130 EN362.75 versusMS326.75confirmed. Bothversions28.3expressEnglishprevails; preservebilingualerrorandpriority,donotclaimpriorityabsent.","pages":[9,31,56,82]},{"clarification":"216dpi WITHDRAWS three144dpisuspicions:18year149both310.19;16yearcash105/106both38.39%/37.99%;17yearcash129both32.03%. No suchmismatches;priornotes/correctiontrailpreserved.","correction_basis":"Direct paired216dpi ordinaryvisual;notautomatictext/numericalsubstitution.","pages":[10,32,18,40,19,41]},{"clarification":"PreexistingENsought/MSrecommended(receivedalternativeboth)and employedTPDENhisoccupation/MSanyoccupation differ lexically;Englishprioritypresent. Neitheraloneusedtodenyscopeorfileidentity.","pages":[3,25,49,76,56,82]},{"clarification":"3.2operatorcomputesbenefitwhile29.1hholdercomputes;bothreferenceI. Preserveadministrativeroleinconsistencywithoutassumingdifferentbenefitformula.","pages":[48,56,74,83]},{"clarification":"Specific9.2deathcontinuanceafter nonpayableTPD retainedovergeneralTPDtermination;notwhollyuncoveredinference.","pages":[51,54,77,80]},{"clarification":"LegalactionliteralBEFOREexpiry2years,notafterdeadline;noenforceabilityopinion.","pages":[54,81]},{"clarification":"No profit/surplusrightcl18;fundqardrepaymentnotdoublecharge;no2019bankfirstor50/50termsimported.","pages":[53,79,80]},{"clarification":"AppendixIIformulapresentinbothlanguages,unchangedby2011I/III/IVupdates. MissingIIIcannotbe curedbyassumingWF;nominalformula retained.","pages":[64,91]},{"clarification":"Historicaloperator/name-changeidentityclear;personalholder/currentadoptionnotestablishedandnotstrictfailurebasis.","pages":[1,46,72]}],"correction_basis":"All98presentpagesoriginalvisualnotes;37216dpi confirmations;withdrawnmisreadnumericcellsretainedwithpriornotes/clarifications.","prior_task_id":"B18-MY-009"},"task_id":"B25-MY-019"}</t>
  </si>
  <si>
    <t xml:space="preserve">qa-b25-full-review-20261026/issues-and-clarifications.json#/frozen_execution_correction_history/94</t>
  </si>
  <si>
    <t xml:space="preserve">independent-qa.json#/batches/B25/documents/issues-and-clarifications.json/frozen_execution_correction_history/94</t>
  </si>
  <si>
    <t xml:space="preserve">1bcd523ebca7218a153e5f2ea2670525a30ed823e48f76846e55e23246a61514</t>
  </si>
  <si>
    <t xml:space="preserve">{"artifact":"result","complete_correction_and_clarification_fields":{"clarifications":[{"clarification":"Base14.1 retains fund surplus/no distribution;2019 adds eligibility only for distributable surplus IF ANY with notwithstanding priority. Retain integration caveat but do not infer guaranteed surplus, contradictory double allocation, or independent strict blocker; no distribution percentage invented.","correction_basis":"216dpi confirms conditional distributable/ifany, addition14.2/14.3 not whole14 replacement.","physical_pages":[8,9,18,33]},{"clarification":"2015 tax23 and2025 sanction23 duplicate numbering retained; no express deletion of tax, otherprovisions unchanged. Not automatically substantive conflict.","correction_basis":"Both dated endorsements visually confirmed.","physical_pages":[1,2,11,13]},{"clarification":"Malay2020 fund replacement introduction erroneously says misstatementofage; actual quoted1.1g heading/content and English uniquely identify participants fund. Bounded editorial target typo.","correction_basis":"216dpi p5–6 versus p3.","physical_pages":[5,6]},{"clarification":"English commencement facility is measured and Malay ditentukan (determined) are preserved verbatim as bounded unclear drafting, not silently equated with disbursement/effective date. Certificate/application timing still required.","correction_basis":"216dpi confirms both wording and separate effective-date clause4.","physical_pages":[17,31]},{"clarification":"Immorality exclusion expressly present in BOTH languages; no omission finding.","physical_pages":[25,40]},{"clarification":"Historical legal-action1–2year window entirely deleted by2020; not reported as current source-integrated operative restriction.","physical_pages":[4,7,26,40]}],"correction_basis":["All41pages actually read,29targeted216dpi pages confirmed. Pending formula/schedule questions in initialpageproof resolved by enlarged comparison/allpages; original shortnotes retained, not overwritten. No source text altered."],"prior_task_id":"B18-MY-010"},"task_id":"B25-MY-020"}</t>
  </si>
  <si>
    <t xml:space="preserve">qa-b25-full-review-20261026/issues-and-clarifications.json#/frozen_execution_correction_history/95</t>
  </si>
  <si>
    <t xml:space="preserve">independent-qa.json#/batches/B25/documents/issues-and-clarifications.json/frozen_execution_correction_history/95</t>
  </si>
  <si>
    <t xml:space="preserve">779ee3cb6071f4f39600a74ff381da86b62066ddd14a7495532b21fecc3799aa</t>
  </si>
  <si>
    <t xml:space="preserve">{"artifact":"page_proof","full_metadata_row":{"clarification":"2020 fund1.4 ENlimits otherexpenses to direct claims-related; MS6 omits that qualifier. Difference remains afterwholefundreplacement.","component":"2020 fund/charges endorsement","corrected_at_utc":"2026-10-26T20:05:55.817821+00:00","correction_basis":"Direct ordinary read-only216dpi paired-page visual confirmation and complete51page inventory.","display_sha256":"7fd8085c997d57467e9aa59c391c98bb7f69fd28a2efba91752b793aee8aed4a","language":"EN","method":"ordinary_read_only_visual_144dpi","physical_page":4,"reviewed_at_utc":"2026-10-26T19:54:13.174759+00:00","semantic_note":"WholeSAT004fund1replacement:collectiveownership,coveronallocation,Shariahinvestmentprofitinsurplus,fundexpenses,distributionSAT008,qardrepayonsurplus. WholeSAT005wakalah2replacement:percentageSAT008,90dayrevisionnotice,mismanagementrectification/refund,freelook/surrender/terminationfee refundifanyincluded.","semantic_read":true,"task_id":"B25-MY-021"},"physical_page":4,"task_id":"B25-MY-021"}</t>
  </si>
  <si>
    <t xml:space="preserve">qa-b25-full-review-20261026/issues-and-clarifications.json#/frozen_execution_correction_history/96</t>
  </si>
  <si>
    <t xml:space="preserve">independent-qa.json#/batches/B25/documents/issues-and-clarifications.json/frozen_execution_correction_history/96</t>
  </si>
  <si>
    <t xml:space="preserve">33f812889aa830b2dda5678187a7182221aca1b25451606bc40b2d849d5579f9</t>
  </si>
  <si>
    <t xml:space="preserve">{"artifact":"page_proof","full_metadata_row":{"clarification":"216dpi comparison of2020EN4/MS6shows current fund1.4stilldiffers: ENlimitsotherexpenses todirectclaims-related; MS saysotherrelatedexpenses withoutdirectclaims qualifier. Whole2020replacement doesnotremove this difference; originalbase22/42had parallel disparity.","component":"2020 fund/charges endorsement","corrected_at_utc":"2026-10-26T20:01:37.015124+00:00","correction_basis":"Ordinary read-only216dpiEN4/MS6; no extraction/OCR.","display_sha256":"cc3fb362139a587e3af829f2b4c252dcaaaf82c0b183f799b0b3752e52ba4a02","language":"MS","method":"ordinary_read_only_visual_144dpi","physical_page":6,"prior_semantic_note":"WholeSAT004fund1collectiveownership/allocation/Shariahprofitexpenses/distribution008/qard;wholeSAT005fee2percentage008/90daynotice/mismanagementrectificationrefund/cancellationfeeifany. SubstantivelyalignsEN4.","reviewed_at_utc":"2026-10-26T19:54:37.357423+00:00","semantic_note":"WholeSAT004fund1collectiveownership/allocation/Shariahprofitexpenses/distribution008/qard;wholeSAT005fee2percentage008/90daynotice/mismanagementrectificationrefund/cancellationfeeifany. SubstantivelyalignsEN4. CORRECTION: 216dpi comparison of2020EN4/MS6shows current fund1.4stilldiffers: ENlimitsotherexpenses todirectclaims-related; MS saysotherrelatedexpenses withoutdirectclaims qualifier. Whole2020replacement doesnotremove this difference; originalbase22/42had parallel disparity.","semantic_read":true,"task_id":"B25-MY-021"},"physical_page":6,"task_id":"B25-MY-021"}</t>
  </si>
  <si>
    <t xml:space="preserve">qa-b25-full-review-20261026/issues-and-clarifications.json#/frozen_execution_correction_history/97</t>
  </si>
  <si>
    <t xml:space="preserve">independent-qa.json#/batches/B25/documents/issues-and-clarifications.json/frozen_execution_correction_history/97</t>
  </si>
  <si>
    <t xml:space="preserve">b1406f987cd3ee69c452b20b8b60b518b2bc193c262714689ca6756b3227839b</t>
  </si>
  <si>
    <t xml:space="preserve">{"artifact":"page_proof","full_metadata_row":{"clarification":"2019MS says2.1.2definitionreplaced but prints onlyheading+(e)bathing. EN9hasno2.1.2change; bathingwordingalreadymatchesbaseEN27/MS47. Narrow(e)correctionplausible,notassertionotherfiveADLs/3of6testdeleted; scopeambiguityretained.","component":"2019 rights/TPD endorsement","corrected_at_utc":"2026-10-26T20:05:55.817836+00:00","correction_basis":"Direct ordinary read-only216dpi paired-page visual confirmation and complete51page inventory.","display_sha256":"f7f9168d96aecf3716bb8208c25d57a97e1e9c8bbd7472823895ae87b7091008","language":"MS","method":"ordinary_read_only_visual_144dpi","physical_page":11,"reviewed_at_utc":"2026-10-26T19:55:07.581990+00:00","semantic_note":"Samebankfirst&lt;=10anddeletions. AdditionalMalay-only2.1.2amendmentdisplaysunemployed/self-employednotworkingheading andbathinglimb(e),bath/showerincludingin/outorothermethod;replacementscopeneedsbasecomparison.2.1.3severance/blindnesslimbscontinue.","semantic_read":true,"task_id":"B25-MY-021"},"physical_page":11,"task_id":"B25-MY-021"}</t>
  </si>
  <si>
    <t xml:space="preserve">qa-b25-full-review-20261026/issues-and-clarifications.json#/frozen_execution_correction_history/98</t>
  </si>
  <si>
    <t xml:space="preserve">independent-qa.json#/batches/B25/documents/issues-and-clarifications.json/frozen_execution_correction_history/98</t>
  </si>
  <si>
    <t xml:space="preserve">bd0b63cc744cedd9c2a871421b4a3b0d2bef8f08a929ba487a187776501c6365</t>
  </si>
  <si>
    <t xml:space="preserve">{"artifact":"page_proof","full_metadata_row":{"clarification":"216dpi confirmsTPD3.1(e) ENbreachofcriminal law vsMS48breachoflawgenerally; bothinnocentpartyexception/illegalorganisation. Notresolvedby2020or2025endorsements.","component":"SAT007, printed16/20","corrected_at_utc":"2026-10-26T20:05:55.817840+00:00","correction_basis":"Direct ordinary read-only216dpi paired-page visual confirmation and complete51page inventory.","display_sha256":"9d5defb385441f99a03289110db23425beb31268b7403cd03619d7da916904ea","language":"en","method":"ordinary_read_only_visual_144dpi","physical_page":27,"reviewed_at_utc":"2026-10-26T19:58:26.356148+00:00","semantic_note":"Six ADLs transfer,mobility,continence,dressing,bathing including bath/shower ingress/egress or other means,eating. Listed blindness/two limbs at-or-above joints/eye+limb/paralysis later2019 expressly replaces2.1.3. TPD exclusions war,intoxication,self-harm/immorality,nonairline flight,criminal act except innocent,HIV/pre-existing within12months; extra accidental exclusions continue.","semantic_read":true,"task_id":"B25-MY-021"},"physical_page":27,"task_id":"B25-MY-021"}</t>
  </si>
  <si>
    <t xml:space="preserve">qa-b25-full-review-20261026/issues-and-clarifications.json#/frozen_execution_correction_history/99</t>
  </si>
  <si>
    <t xml:space="preserve">independent-qa.json#/batches/B25/documents/issues-and-clarifications.json/frozen_execution_correction_history/99</t>
  </si>
  <si>
    <t xml:space="preserve">467a9d8e974ce9b0e7e0d5909ee69cb4c1f59c5e936c05598c3166fa0921b9d4</t>
  </si>
  <si>
    <t xml:space="preserve">{"artifact":"page_proof","full_metadata_row":{"clarification":"216dpi confirmsallformulaoperators/denominators and t(noD); matchesMS51. SAT009isreducingbenefit,notcashformula.","component":"SAT009 reducing-sum formula, printed20/20","corrected_at_utc":"2026-10-26T20:05:55.817843+00:00","correction_basis":"Direct ordinary read-only216dpi paired-page visual confirmation and complete51page inventory.","display_sha256":"1bef26ccb9604f1cb952479b044727ebd56a9ac9be19da4eeb82fb9633bf3194","language":"en","method":"ordinary_read_only_visual_144dpi","physical_page":31,"reviewed_at_utc":"2026-10-26T19:58:45.369345+00:00","semantic_note":"Reducing sum is min[SC*((1+il*rp/12)-P(t)-R(t)),SC], P(t)=(1+il*rp/12)/rp*t and R(t)=((rp-t)*(rp+1-t)/(rp*(rp+1)))*il*rp/12. rp months,il annual profit,SCinitial benefit,tcurtate months. No deferred-period D; this is benefit not cash-value formula. Target216dpi confirmation required.","semantic_read":true,"task_id":"B25-MY-021"},"physical_page":31,"task_id":"B25-MY-021"}</t>
  </si>
  <si>
    <t xml:space="preserve">qa-b25-full-review-20261026/issues-and-clarifications.json#/frozen_execution_correction_history/100</t>
  </si>
  <si>
    <t xml:space="preserve">independent-qa.json#/batches/B25/documents/issues-and-clarifications.json/frozen_execution_correction_history/100</t>
  </si>
  <si>
    <t xml:space="preserve">70fb95bf433380add3708573f2ddc4ae1d5b1ad33520a3e7cc9522aaa01a31ae</t>
  </si>
  <si>
    <t xml:space="preserve">{"artifact":"page_proof","full_metadata_row":{"clarification":"216dpi comparison of2020EN4/MS6shows current fund1.4stilldiffers: ENlimitsotherexpenses todirectclaims-related; MS saysotherrelatedexpenses withoutdirectclaims qualifier. Whole2020replacement doesnotremove this difference; originalbase22/42had parallel disparity.","component":"SAT004 fund, printed12/21","corrected_at_utc":"2026-10-26T20:01:37.015141+00:00","correction_basis":"Ordinary read-only216dpiEN4/MS6; no extraction/OCR.","display_sha256":"f8513399b4d1b07e53ac6e483fc094f06520a15170b4225f53c3de35410ef5b1","language":"ms","method":"ordinary_read_only_visual_144dpi","physical_page":42,"prior_semantic_note":"Poolallocation,Shariahmanagement,surplusSAT008,qardrepaidprofitability. Expensewording broader other expenses relatingfund vs ENdirectclaims; wholefund2020replacement supersedes and aligns. Not currentdivergence from supersededtext.","reviewed_at_utc":"2026-10-26T19:59:55.775213+00:00","semantic_note":"Poolallocation,Shariahmanagement,surplusSAT008,qardrepaidprofitability. Expensewording broader other expenses relatingfund vs ENdirectclaims; wholefund2020replacement supersedes and aligns. Not currentdivergence from supersededtext. CORRECTION: 216dpi comparison of2020EN4/MS6shows current fund1.4stilldiffers: ENlimitsotherexpenses todirectclaims-related; MS saysotherrelatedexpenses withoutdirectclaims qualifier. Whole2020replacement doesnotremove this difference; originalbase22/42had parallel disparity.","semantic_read":true,"task_id":"B25-MY-021"},"physical_page":42,"task_id":"B25-MY-021"}</t>
  </si>
  <si>
    <t xml:space="preserve">qa-b25-full-review-20261026/issues-and-clarifications.json#/frozen_execution_correction_history/101</t>
  </si>
  <si>
    <t xml:space="preserve">independent-qa.json#/batches/B25/documents/issues-and-clarifications.json/frozen_execution_correction_history/101</t>
  </si>
  <si>
    <t xml:space="preserve">65aa7026a1b1613da433f8c38aa406a9a0de4875dec0c44809ea4995cb60383e</t>
  </si>
  <si>
    <t xml:space="preserve">{"artifact":"page_proof","full_metadata_row":{"clarification":"216dpi confirmsMalayTPD3.1(e) lackscriminalqualifier;EN27includesit. Noactualclaimdecisioninferred.","component":"SAT007, printed18/21","corrected_at_utc":"2026-10-26T20:05:55.817847+00:00","correction_basis":"Direct ordinary read-only216dpi paired-page visual confirmation and complete51page inventory.","display_sha256":"c2482137a96d862d506a8f889f996cc24228b62ad0f99c6d14ce1e1140416801","language":"ms","method":"ordinary_read_only_visual_144dpi","physical_page":48,"reviewed_at_utc":"2026-10-26T20:00:24.012394+00:00","semantic_note":"TPDexclusions includeimmorality/selfharm,nonairlineflight,HIV,pre-existing12months. Clause3.1(e) says breach of law generally vsEN27 criminal law, both innocent-partyexception: potentiallywiderscope,target216confirmation. Extraaccidentexclusions alignEN;noticehead office/lifetime/disability/within30daysonset.","semantic_read":true,"task_id":"B25-MY-021"},"physical_page":48,"task_id":"B25-MY-021"}</t>
  </si>
  <si>
    <t xml:space="preserve">qa-b25-full-review-20261026/issues-and-clarifications.json#/frozen_execution_correction_history/102</t>
  </si>
  <si>
    <t xml:space="preserve">independent-qa.json#/batches/B25/documents/issues-and-clarifications.json/frozen_execution_correction_history/102</t>
  </si>
  <si>
    <t xml:space="preserve">49c602217b8d209beae9f7bbdf271838b6e9bb01ef104ad6921dba4d45604a5c</t>
  </si>
  <si>
    <t xml:space="preserve">{"artifact":"page_proof","full_metadata_row":{"clarification":"216dpi formulamatchesEN31 includingminSCcap andrp+1-t; no deferredD.","component":"SAT009, printed21/21","corrected_at_utc":"2026-10-26T20:05:55.817848+00:00","correction_basis":"Direct ordinary read-only216dpi paired-page visual confirmation and complete51page inventory.","display_sha256":"3e9645e78e0ddf91d2e29aa7fc1bf5a547c76fc71a77928fc955126fe93948a2","language":"ms","method":"ordinary_read_only_visual_144dpi","physical_page":51,"reviewed_at_utc":"2026-10-26T20:00:47.298736+00:00","semantic_note":"Malay reducing-benefit formula visuallymatchesEN31 includingmincap,Pproportionalt andrebate(rp-t)*(rp+1-t)/(rp*(rp+1));rpmonths,ilannualrate,SCinitialbenefit,tcurtate. No deferredperiod;notcashformula. Lastpagecomplete. Target216confirmation.","semantic_read":true,"task_id":"B25-MY-021"},"physical_page":51,"task_id":"B25-MY-021"}</t>
  </si>
  <si>
    <t xml:space="preserve">qa-b25-full-review-20261026/issues-and-clarifications.json#/frozen_execution_correction_history/103</t>
  </si>
  <si>
    <t xml:space="preserve">independent-qa.json#/batches/B25/documents/issues-and-clarifications.json/frozen_execution_correction_history/103</t>
  </si>
  <si>
    <t xml:space="preserve">74675e4f830c19bfb28826a137cd5a16bc32945d778715153a40477057207117</t>
  </si>
  <si>
    <t xml:space="preserve">{"artifact":"result","complete_correction_and_clarification_fields":{"clarifications":[{"clarification":"Initialnoteasserted2020wholefundreplacementresolvedoriginalexpensestranslationdifference.216dpiprovesMalay2020stilllacksdirectclaimsqualifier;assertionwithdrawn,priornotesandcorrectiontrailretained.","correction_basis":"216dpiEN4/MS6;notextraction/OCR.","pages":[6,42]},{"clarification":"Malay2019alone says2.1.2definitionreplaced but prints onlyheading+(e)bathing;English2019onlyreplaces2.1.3. Bathingtextmatchesexistingbase. A narrow(e)clarificationisplausible;replacement-scopeambiguityretained,notclaimallotherADLs/age/sixmonth/3of6testdeleted.","pages":[9,11,26,27,46,47]},{"clarification":"2025wholecl6usescertificateownerandownerdeath/lifetime,wherebaseusedcoveredperson. Individualcertificateissuedcoveredperson,masterholderownsmastercontract. Do notcollapsecertificateownerwithmasterholderorinfernewdeathcoverforunrelatedowner. Personalcertificateidentitynotestablished,notsolefile-strictfailure.","pages":[1,2,15,17,21,34,36,37,41]},{"clarification":"Generalstampcl27.1citesSAT009butactualRM10operatorstampisinSAT008;SAT009reducingbenefitformulapresent. Boundedcrossreferenceerror,notmissingstampcomponent.","pages":[21,30,31,41,50,51]},{"clarification":"2019expresslyADDS3.2surpluseligibility;doesnotreplace3.1. Base50/50andfinancingaccountdistributionretainedsubjectneweligibilityand&lt;=RM10rights. Nootherproductreplacementlanguageimported.","pages":[10,12,30,50]},{"clarification":"PreexistingfirstlimbENsought/MSrecommended,bothreceivedalternative/prudent/knownconditionlimbs. Preservelexicaldifferencewithoutassumingordinaryknownconditioncovered.","pages":[15,34,35]},{"clarification":"2020explicitlydeleteswholelegal18;oldliteralBEFOREtwo-yearbarisnotretainedascurrentoperativeclause orconvertedintotime-limitaftertwo years.","pages":[3,5,20,39]},{"clarification":"Specificsmaller-TPDdeathcontinuancequalifiesgeneralpaymenttermination;proportionalreductionretained,notallcoverterminatesinallTPDcases.","pages":[19,21,25,26,28,39,41,45,46,49]},{"clarification":"Cashvalueclauseprovidesoperator-determinedtiming-sensitiveearly-settlementamount;doesnotexpresslyincorporateaseparatecashformula. SAT009isreducingbenefitonly. Individualfeeexplicitlyreferscertificate. Absenceofpersonalcertificate/Schedulealoneisnotmissinggenericoperativeannexureorstrictfailure.","pages":[3,5,20,30,31,40,50,51]}],"correction_basis":"All51presentpagesread;33216dpiconfirmations;incorrectfund-supersessionnoteexplicitlycorrectedwithpriornotesretained.","prior_task_id":"B18-MY-012"},"task_id":"B25-MY-021"}</t>
  </si>
  <si>
    <t xml:space="preserve">qa-b25-full-review-20261026/issues-and-clarifications.json#/frozen_execution_correction_history/104</t>
  </si>
  <si>
    <t xml:space="preserve">independent-qa.json#/batches/B25/documents/issues-and-clarifications.json/frozen_execution_correction_history/104</t>
  </si>
  <si>
    <t xml:space="preserve">392a1c438cdd161f177b45aafff769a6b332ca06b4b5ed29254830603425d320</t>
  </si>
  <si>
    <t xml:space="preserve">{"artifact":"page_proof","full_metadata_row":{"component":"SPG003 definitions/interpretation/mastercontract","corrected_at_utc":"2026-10-26T19:46:38.296139+00:00","correction_basis":"Direct216dpi visualconfirmation of English p9 cannot and Malayp37 tidak boleh; initial144dpi misreading preserved.","display_sha256":"fcbed02f91c8153865aed5b43589720951d335a76a7009195c762095f8e202ca","initial_note_before_zoom_correction":"RemainingADLs;TPDeyes,severance2limbs,eye+severance1limb,totalparalysis;2appointedexaminers. YOU=PragyaSukhaSdnBhd;operatorSunLife. Interpretationheadingssingulargender;2.2EnglishprintsnotvalidorCANbeenforced(unusual). Enrollmentanswers/disclosuresincorporated.","language":"English","method":"ordinary_read_only_visual_144dpi","physical_page":9,"reviewed_at_utc":"2026-10-26T19:35:08.924911+00:00","semantic_note":"RemainingADLs;TPDeyes,severance2limbs,eye+severance1limb,totalparalysis;2appointedexaminers. YOU=PragyaSukhaSdnBhd;operatorSunLife. Interpretationheadingssingulargender;2.2EnglishprintsnotvalidorCANbeenforced(unusual). Enrollmentanswers/disclosuresincorporated. CORRECTION: English p9 enlarged216dpi clearly says cannot be enforced, not can. Both languages agree invalid/unenforceable provision leaves remainder unaffected; no severability conflict.","semantic_read":true,"task_id":"B25-MY-022"},"physical_page":9,"task_id":"B25-MY-022"}</t>
  </si>
  <si>
    <t xml:space="preserve">qa-b25-full-review-20261026/issues-and-clarifications.json#/frozen_execution_correction_history/105</t>
  </si>
  <si>
    <t xml:space="preserve">independent-qa.json#/batches/B25/documents/issues-and-clarifications.json/frozen_execution_correction_history/105</t>
  </si>
  <si>
    <t xml:space="preserve">db7e996c0dcbe79c49209b1eecaae94d351558d5ba551f96065c938cb2c695a2</t>
  </si>
  <si>
    <t xml:space="preserve">{"artifact":"page_proof","full_metadata_row":{"component":"SPG003 definitions/interpretation","corrected_at_utc":"2026-10-26T19:46:38.296156+00:00","correction_basis":"Direct216dpi visualconfirmation of English p9 cannot and Malayp37 tidak boleh; initial144dpi misreading preserved.","display_sha256":"a3d40c3d65ae0eef22cc83add9f71f11479444165d464a816c2a7c53a86b57db","initial_note_before_zoom_correction":"Remaining ADLs, TPD specified total losses/severance/paralysis and two appointed examiners; operator Sun Life and YOU Pragya Sukha Sdn Bhd. Severability says invalid or unenforceable provision leaves remainder unaffected; compare English can be enforced wording.","language":"Malay","method":"ordinary_read_only_visual_144dpi","physical_page":37,"reviewed_at_utc":"2026-10-26T19:41:50.181606+00:00","semantic_note":"Remaining ADLs, TPD specified total losses/severance/paralysis and two appointed examiners; operator Sun Life and YOU Pragya Sukha Sdn Bhd. Severability says invalid or unenforceable provision leaves remainder unaffected; compare English can be enforced wording. CORRECTION: English p9 enlarged216dpi clearly says cannot be enforced, not can. Both languages agree invalid/unenforceable provision leaves remainder unaffected; no severability conflict.","semantic_read":true,"task_id":"B25-MY-022"},"physical_page":37,"task_id":"B25-MY-022"}</t>
  </si>
  <si>
    <t xml:space="preserve">qa-b25-full-review-20261026/issues-and-clarifications.json#/frozen_execution_correction_history/106</t>
  </si>
  <si>
    <t xml:space="preserve">independent-qa.json#/batches/B25/documents/issues-and-clarifications.json/frozen_execution_correction_history/106</t>
  </si>
  <si>
    <t xml:space="preserve">cbcdeeee26cb7e5370198a3ea77bdcfaf6a4365f0e7dd231ccacf150607e302e</t>
  </si>
  <si>
    <t xml:space="preserve">{"artifact":"page_proof","full_metadata_row":{"clarification_after_zoom":"216dpi clearly shows LAMPIRAN SPG011;144dpi header layout artefact not substantive code error/missing annexure.","component":"Funeral annexure SPG011 per contents","correction_basis":"Direct216dpi page56 heading, compared Englishp28/contents.","display_sha256":"8243bda8f2e3aed1a874bc34639588e0c0fed3bccef088080a8c0e2d77848144","language":"Malay","method":"ordinary_read_only_visual_144dpi","physical_page":56,"reviewed_at_utc":"2026-10-26T19:43:13.337401+00:00","semantic_note":"All-causes death lumpsum to nominee/proper claimant from fund,30-day proof with reasonable late exception/all evidence claimant cost. Entire page has no explicit SPG004 reference, while its section2 names funeral and1.1 requires benefit reference. Header layout/code visually unusual and requires enlarged confirmation, not assumed missing substantive annexure.","semantic_read":true,"task_id":"B25-MY-022"},"physical_page":56,"task_id":"B25-MY-022"}</t>
  </si>
  <si>
    <t xml:space="preserve">qa-b25-full-review-20261026/issues-and-clarifications.json#/frozen_execution_correction_history/107</t>
  </si>
  <si>
    <t xml:space="preserve">independent-qa.json#/batches/B25/documents/issues-and-clarifications.json/frozen_execution_correction_history/107</t>
  </si>
  <si>
    <t xml:space="preserve">0940f2a439b5be844b1a9a00b23a9b827a0c2aa82c5d6374a10ab7e3682093a2</t>
  </si>
  <si>
    <t xml:space="preserve">{"artifact":"result","complete_correction_and_clarification_fields":{"clarifications":[{"observation":"216dpi corrected initial English can reading to CANNOT be enforced; matches Malay tidak boleh. Both leave remainder unaffected; no severability conflict.","pages":[9,37]},{"observation":"Malay funeral header confirmed SPG011 at216dpi;144dpi rendering/header uncertainty resolved. Substantive annexure present, distinct from SPG004 incorporation ambiguity.","pages":[28,56]},{"observation":"9.2 reinstatement cross-reference says21 in both, but named reinstatement fully present under20 and ownership21; bounded numbering defect not missing component.","pages":[11,14,39,42,43]},{"observation":"Specific lowerTPD residualdeath continuation and equalTPD/death ending control reading of generalTPDend, not an automatic contradiction.","pages":[21,22,24,25,49,50,52,53]},{"observation":"Public/e-hailing schedule400k reconciled with SPG009 additional100% of200k accidentaldeath, not additive400k.","pages":[4,26,32,54]},{"observation":"Both renewal provisions second certificate YEAR, not second anniversary;0/10/20 table consistent. No renewal timing conflict imported from other products.","pages":[27,55]},{"observation":"English acute vs Malay teruk retained for specified infections with same named diseases/vectors/tests; no invented separate severity test.","pages":[7,8,35,36]},{"observation":"Conditional wakalahrefund if any under23.4 does not override explicit no contributionrefund afterfree-look14.4; &lt;=RM10 bankfirst otherwisecharity, not automaticcharity.","pages":[12,15,40,44]},{"observation":"Specific recreation conditions and separate SID/accident exclusion categories retained; no claim SID cover is nullified by accident infection exclusion. Boxing present bothlanguages here.","pages":[16,18,19,45,46,47]},{"observation":"RM10 stamp borne by operator, not masterholder. Current taxes/law not independently verified.","pages":[17,45]}],"correction_basis":"Initial144dpi Englishseverability p9 can was wrong:216dpi CANNOT,Malayp37 agrees; initialnotes retained with correctednote/basis/timestamp. p56header provisional uncertainty resolvedSPG011 via216dpi, initialnote retained.31targeted216dpi confirmations cover numbers,negations,codes and bilingualmaterialdifferences.","prior_task_id":"B18-MY-013"},"task_id":"B25-MY-022"}</t>
  </si>
  <si>
    <t xml:space="preserve">qa-b25-full-review-20261026/issues-and-clarifications.json#/frozen_execution_correction_history/108</t>
  </si>
  <si>
    <t xml:space="preserve">independent-qa.json#/batches/B25/documents/issues-and-clarifications.json/frozen_execution_correction_history/108</t>
  </si>
  <si>
    <t xml:space="preserve">0786cb971f70e553627334f004297ed6c8595ed81157d8f4cd7ff5e1a9f2bffb</t>
  </si>
  <si>
    <t xml:space="preserve">{"artifact":"page_proof","full_metadata_row":{"clarification_after_zoom":"Correction of reviewer note: reference is SWP004, not SPP004.","component":"SWP004 exclusions","corrected_at_utc":"2026-10-26T20:14:37.177253+00:00","correction_basis":"216dpi source header and reference confirm SWP004; artifact transcription typo only.","display_sha256":"816c0852bb4996d5bfe919fa88052d664b09baaae843f3a8f8a755b315a30697","initial_note_before_zoom_clarification":"OnlybenefitannexuresreferringSPP004apply. SID30dayslaterISSUE/lastreinstate,othercauses/preexistingrefund. Accidentdeathinclspecialtransport: AIDS,uniformactive,selfharm,intoxication,illness/infectionexceptaccidentwound,childbirth,crimeinnocentexception,aircraftscheduledcommercialexception.","language":"English","method":"ordinary_read_only_visual_144dpi","physical_page":33,"reviewed_at_utc":"2026-10-26T19:51:16.406899+00:00","semantic_note":"OnlybenefitannexuresreferringSPP004apply. SID30dayslaterISSUE/lastreinstate,othercauses/preexistingrefund. Accidentdeathinclspecialtransport: AIDS,uniformactive,selfharm,intoxication,illness/infectionexceptaccidentwound,childbirth,crimeinnocentexception,aircraftscheduledcommercialexception. Correction of reviewer note: reference is SWP004, not SPP004.","semantic_read":true,"task_id":"B25-MY-023"},"physical_page":33,"task_id":"B25-MY-023"}</t>
  </si>
  <si>
    <t xml:space="preserve">qa-b25-full-review-20261026/issues-and-clarifications.json#/frozen_execution_correction_history/109</t>
  </si>
  <si>
    <t xml:space="preserve">independent-qa.json#/batches/B25/documents/issues-and-clarifications.json/frozen_execution_correction_history/109</t>
  </si>
  <si>
    <t xml:space="preserve">a832c94a759612b93ed01d5e1faad06c6211b4ddc1319a61eacd42445becb746</t>
  </si>
  <si>
    <t xml:space="preserve">{"artifact":"page_proof","full_metadata_row":{"clarification_after_zoom":"HIV5.19(c) explicitly joins source institution and ability to trace infected blood with AND.","component":"SWP007 CI19–25","corrected_at_utc":"2026-10-26T20:14:37.177272+00:00","correction_basis":"216dpi English45 compared Malay89 ATAU (OR); initial compressed tracing note omitted conjunction.","display_sha256":"d4cf2544a7ed415dfbcf8f7bec910c10a125128cc2fa3e8d65078937afe56d1e","initial_note_before_zoom_clarification":"TransfusionHIVtracethesourceinstitution,nonhaemophilia/nonhighrisk. Kidneysbothendstageirreversible dialysis/transplant. Independentexistence3ADL6months; speechpermanent6monthsENTvocalinjury,psychiatricexcluded. Headtrauma3ADL3monthsneurologist. Transplantmarrowablativehematopoieticorheart/lung/liver/kidney/pancreasendstage;otherstemcellsexcluded. Medullarycystichereditarykidneydiseasebiopsy.","language":"English","method":"ordinary_read_only_visual_144dpi","physical_page":45,"reviewed_at_utc":"2026-10-26T19:52:56.064722+00:00","semantic_note":"TransfusionHIVtracethesourceinstitution,nonhaemophilia/nonhighrisk. Kidneysbothendstageirreversible dialysis/transplant. Independentexistence3ADL6months; speechpermanent6monthsENTvocalinjury,psychiatricexcluded. Headtrauma3ADL3monthsneurologist. Transplantmarrowablativehematopoieticorheart/lung/liver/kidney/pancreasendstage;otherstemcellsexcluded. Medullarycystichereditarykidneydiseasebiopsy. HIV5.19(c) explicitly joins source institution and ability to trace infected blood with AND.","semantic_read":true,"task_id":"B25-MY-023"},"physical_page":45,"task_id":"B25-MY-023"}</t>
  </si>
  <si>
    <t xml:space="preserve">qa-b25-full-review-20261026/issues-and-clarifications.json#/frozen_execution_correction_history/110</t>
  </si>
  <si>
    <t xml:space="preserve">independent-qa.json#/batches/B25/documents/issues-and-clarifications.json/frozen_execution_correction_history/110</t>
  </si>
  <si>
    <t xml:space="preserve">7f0dd5324451385eb92f05b2076a4609265e51d8895d81add93c3ff14a76a7bb</t>
  </si>
  <si>
    <t xml:space="preserve">{"artifact":"page_proof","full_metadata_row":{"clarification_after_zoom":"216dpi confirms Malay cancer exclusion has potential malignant wording without LOW/rendah qualifier present in English41.","component":"SWP007 CI5.7–5.9","corrected_at_utc":"2026-10-26T20:14:37.177277+00:00","correction_basis":"216dpi English41/Malay85–86 side-by-side; unresolved bilingual exclusion scope.","display_sha256":"969ef3ad10d7fa521c3a9cf8da69a02d4fac909d54d64fc6ad56e624f1e7415e","initial_note_before_zoom_clarification":"Cancerexclusionline says potentiallymalignant;checkENlowmalignantpotential byzoom. T1N0M0 prostate/thyroid/bladder,CLLbelowRAI3,ALLHIVcancer,skinexceptmelanoma. CardiomyopathyNYHAIII/IVecho notsubstance;aplasticanaemiaall3cytopenias+atleast2therapiesbiopsy.","language":"Malay","method":"ordinary_read_only_visual_144dpi","physical_page":86,"reviewed_at_utc":"2026-10-26T19:59:40.699784+00:00","semantic_note":"Cancerexclusionline says potentiallymalignant;checkENlowmalignantpotential byzoom. T1N0M0 prostate/thyroid/bladder,CLLbelowRAI3,ALLHIVcancer,skinexceptmelanoma. CardiomyopathyNYHAIII/IVecho notsubstance;aplasticanaemiaall3cytopenias+atleast2therapiesbiopsy. 216dpi confirms Malay cancer exclusion has potential malignant wording without LOW/rendah qualifier present in English41.","semantic_read":true,"task_id":"B25-MY-023"},"physical_page":86,"task_id":"B25-MY-023"}</t>
  </si>
  <si>
    <t xml:space="preserve">qa-b25-full-review-20261026/issues-and-clarifications.json#/frozen_execution_correction_history/111</t>
  </si>
  <si>
    <t xml:space="preserve">independent-qa.json#/batches/B25/documents/issues-and-clarifications.json/frozen_execution_correction_history/111</t>
  </si>
  <si>
    <t xml:space="preserve">fbffe03144e65cb994a51344ddeb35375a7f85ae24224176c74105850fae1dd3</t>
  </si>
  <si>
    <t xml:space="preserve">{"artifact":"page_proof","full_metadata_row":{"clarification_after_zoom":"HIV5.19(c) explicitly joins source institution and ability to trace infected blood with ATAU (OR), unlike English45 AND.","component":"SWP007 CI5.17–5.22","corrected_at_utc":"2026-10-26T20:14:37.177279+00:00","correction_basis":"216dpi Malay89 and English45; initial compressed tracing note omitted conjunction.","display_sha256":"755c35aab5fbd63da884323057c721425632564849f5d19c13f0a1b1fc6a1494","initial_note_before_zoom_clarification":"HeartattackNOTACSunstableanginaorpostpercutaneousbiomarkerrise;valveOPENheartnotintraarterial/keyhole;HIVtransfusionmedical/MY-SGpostcommence/traced/nonhaemophilic/nonhighrisk;bothkidneyfailure dialysis/transplant;independence3ADL6mo;speech6moENT notpsychiatric.","language":"Malay","method":"ordinary_read_only_visual_144dpi","physical_page":89,"reviewed_at_utc":"2026-10-26T20:00:49.234462+00:00","semantic_note":"HeartattackNOTACSunstableanginaorpostpercutaneousbiomarkerrise;valveOPENheartnotintraarterial/keyhole;HIVtransfusionmedical/MY-SGpostcommence/traced/nonhaemophilic/nonhighrisk;bothkidneyfailure dialysis/transplant;independence3ADL6mo;speech6moENT notpsychiatric. HIV5.19(c) explicitly joins source institution and ability to trace infected blood with ATAU (OR), unlike English45 AND.","semantic_read":true,"task_id":"B25-MY-023"},"physical_page":89,"task_id":"B25-MY-023"}</t>
  </si>
  <si>
    <t xml:space="preserve">qa-b25-full-review-20261026/issues-and-clarifications.json#/frozen_execution_correction_history/112</t>
  </si>
  <si>
    <t xml:space="preserve">independent-qa.json#/batches/B25/documents/issues-and-clarifications.json/frozen_execution_correction_history/112</t>
  </si>
  <si>
    <t xml:space="preserve">fba2b530d5fad955199eead7b192544e14e732b03e002f299444aea2bcc0d70c</t>
  </si>
  <si>
    <t xml:space="preserve">{"artifact":"page_proof","full_metadata_row":{"clarification_after_zoom":"216dpi confirms minimum12 LASTbirthday (hari lahir terakhir), unlike English46 NEXTbirthday.","component":"SWP007 CI5.28–5.32","corrected_at_utc":"2026-10-26T20:14:37.177281+00:00","correction_basis":"216dpi paired English46/Malay91; not amended by present CIalteration endorsement.","display_sha256":"1595d54f0a892d9c861d5550b2877cd6d830d8b1fb037ba662a343116a79fd46","initial_note_before_zoom_clarification":"DystrophyNOnervesensoryinvolvement+EMGbiopsy;minimum12LASTbirthday, apparentdifferencefromENnextbirthdayflagforzoom. Paralysis2limbs6mo;Parkinsonidiopathiconly/uncontrolled/progressive/3ADL;PAHprimaryrightventricularcatheterNYHA&gt;=III,othercausesexcluded;CADthreevesselsstarts.","language":"Malay","method":"ordinary_read_only_visual_144dpi","physical_page":91,"reviewed_at_utc":"2026-10-26T20:00:49.234923+00:00","semantic_note":"DystrophyNOnervesensoryinvolvement+EMGbiopsy;minimum12LASTbirthday, apparentdifferencefromENnextbirthdayflagforzoom. Paralysis2limbs6mo;Parkinsonidiopathiconly/uncontrolled/progressive/3ADL;PAHprimaryrightventricularcatheterNYHA&gt;=III,othercausesexcluded;CADthreevesselsstarts. 216dpi confirms minimum12 LASTbirthday (hari lahir terakhir), unlike English46 NEXTbirthday.","semantic_read":true,"task_id":"B25-MY-023"},"physical_page":91,"task_id":"B25-MY-023"}</t>
  </si>
  <si>
    <t xml:space="preserve">qa-b25-full-review-20261026/issues-and-clarifications.json#/frozen_execution_correction_history/113</t>
  </si>
  <si>
    <t xml:space="preserve">independent-qa.json#/batches/B25/documents/issues-and-clarifications.json/frozen_execution_correction_history/113</t>
  </si>
  <si>
    <t xml:space="preserve">c84e57de20028c1e8c3984fbac8dfdc162ffc813c65f47c59b9a43b358ac813e</t>
  </si>
  <si>
    <t xml:space="preserve">{"artifact":"page_proof","full_metadata_row":{"clarification_after_zoom":"216dpi confirms Malay1.1 ifdeathoccurs wording whereas English58 iflossissustained; heading and1.2 identifyTPD. Retain bounded drafting ambiguity, do not silently repair to death eligibility.","component":"SWP013 specialaccTPD","corrected_at_utc":"2026-10-26T20:14:37.177284+00:00","correction_basis":"216dpi paired58/104 confirms all3situations,180days,monthly65 and prioracceleratedPAID deductions otherwise match.","display_sha256":"a7101681c93a05e8ea2900e326740594dace63bbb2af5a1dba90384d21b289e5","initial_note_before_zoom_clarification":"180dayTPDsame3situations;1.1also saysifdeathoccurs despiteTPDheading/1.2,checkEnglishzoom;MONTHLY65additional100%accTPD lessdebtANDprioracceleratedPAID;2m;1.5LOWERTPDRESIDUALdeathproportionalfromonsetexplicitmatchesEN.","language":"Malay","method":"ordinary_read_only_visual_144dpi","physical_page":104,"reviewed_at_utc":"2026-10-26T20:01:54.414043+00:00","semantic_note":"180dayTPDsame3situations;1.1also saysifdeathoccurs despiteTPDheading/1.2,checkEnglishzoom;MONTHLY65additional100%accTPD lessdebtANDprioracceleratedPAID;2m;1.5LOWERTPDRESIDUALdeathproportionalfromonsetexplicitmatchesEN. 216dpi confirms Malay1.1 ifdeathoccurs wording whereas English58 iflossissustained; heading and1.2 identifyTPD. Retain bounded drafting ambiguity, do not silently repair to death eligibility.","semantic_read":true,"task_id":"B25-MY-023"},"physical_page":104,"task_id":"B25-MY-023"}</t>
  </si>
  <si>
    <t xml:space="preserve">qa-b25-full-review-20261026/issues-and-clarifications.json#/frozen_execution_correction_history/114</t>
  </si>
  <si>
    <t xml:space="preserve">independent-qa.json#/batches/B25/documents/issues-and-clarifications.json/frozen_execution_correction_history/114</t>
  </si>
  <si>
    <t xml:space="preserve">754009d55167e164f15ddfa4b76e9b840c41f450a1f9147c7958010add1fe623</t>
  </si>
  <si>
    <t xml:space="preserve">{"artifact":"zoom_confirmation","full_metadata_row":{"confirmation":"2019TPD18–65ANYpaidworkor3/6ADLs6mo,NOdiagnosisanchor;specifiedseverance andsixADLs.","corrected_at_utc":"2026-10-26T20:16:59.223577+00:00","correction_basis":"Metadata cross-check against retained contemporaneous page-proof and original216dpi reading: removed neighboring-page attribution and overgeneralization. Additional ordinary216dpi recheck20/29/73 confirms no annualfrequencylabel and30daygrace. This is reviewer metadata correction, not source amendment.","display_sha256":"74b114b389c8e975685a0423ea9da9b1175a2cb17a10639c2f9026cc8cd78cc3","initial_confirmation_before_metadata_correction":"2019TPD18–65ANYpaidworkor3/6ADLs6mo,NOdiagnosisanchor;severanceand2examiners.","physical_page":13},"physical_page":13,"task_id":"B25-MY-023"}</t>
  </si>
  <si>
    <t xml:space="preserve">qa-b25-full-review-20261026/issues-and-clarifications.json#/frozen_execution_correction_history/115</t>
  </si>
  <si>
    <t xml:space="preserve">independent-qa.json#/batches/B25/documents/issues-and-clarifications.json/frozen_execution_correction_history/115</t>
  </si>
  <si>
    <t xml:space="preserve">7234c0a70a098c6493b78296ba959d12488985f6533a038e61121e6f5a8e685b</t>
  </si>
  <si>
    <t xml:space="preserve">{"artifact":"zoom_confirmation","full_metadata_row":{"confirmation":"Plan1–5basic100k–500k;contributiontable512/1024/1536/2048/2560 withNO annualfrequencylabel;publicspecialadditional100%;wakalah30%.","corrected_at_utc":"2026-10-26T20:16:59.223592+00:00","correction_basis":"Metadata cross-check against retained contemporaneous page-proof and original216dpi reading: removed neighboring-page attribution and overgeneralization. Additional ordinary216dpi recheck20/29/73 confirms no annualfrequencylabel and30daygrace. This is reviewer metadata correction, not source amendment.","display_sha256":"02257ad56a6310dbf189977e098ba6f24ef99a515463918ecf3c8d3c0c6d7b46","initial_confirmation_before_metadata_correction":"Plan1–5basic100k–500k;annual512/1024/1536/2048/2560;publicspecialadditional100%;wakalah30%.","physical_page":20},"physical_page":20,"task_id":"B25-MY-023"}</t>
  </si>
  <si>
    <t xml:space="preserve">qa-b25-full-review-20261026/issues-and-clarifications.json#/frozen_execution_correction_history/116</t>
  </si>
  <si>
    <t xml:space="preserve">independent-qa.json#/batches/B25/documents/issues-and-clarifications.json/frozen_execution_correction_history/116</t>
  </si>
  <si>
    <t xml:space="preserve">c122b5d5527181dcdb825a686eb0679946b9be35b8a5bef6fc7b9669866775fa</t>
  </si>
  <si>
    <t xml:space="preserve">{"artifact":"zoom_confirmation","full_metadata_row":{"confirmation":"SeverabilityCANNOTenforcedleavesremainder;IFSA9remedies/disclosurebeforeVARIED;permissibleinteresttransfer.","corrected_at_utc":"2026-10-26T20:16:59.223595+00:00","correction_basis":"Metadata cross-check against retained contemporaneous page-proof and original216dpi reading: removed neighboring-page attribution and overgeneralization. Additional ordinary216dpi recheck20/29/73 confirms no annualfrequencylabel and30daygrace. This is reviewer metadata correction, not source amendment.","display_sha256":"628b8b58d7d776eb0092829112c0c23eb79bf78aa52e67b8b86c248d8d50957a","initial_confirmation_before_metadata_correction":"Incontestability2yearsISSUE,15daydeliveryfree-look;conditionsvalidvariationboth.","physical_page":25},"physical_page":25,"task_id":"B25-MY-023"}</t>
  </si>
  <si>
    <t xml:space="preserve">qa-b25-full-review-20261026/issues-and-clarifications.json#/frozen_execution_correction_history/117</t>
  </si>
  <si>
    <t xml:space="preserve">independent-qa.json#/batches/B25/documents/issues-and-clarifications.json/frozen_execution_correction_history/117</t>
  </si>
  <si>
    <t xml:space="preserve">8b70d832ede1047340f0fbdd74e43d5b3cf2f23a5c6257fcacffde9efafcd086</t>
  </si>
  <si>
    <t xml:space="preserve">{"artifact":"zoom_confirmation","full_metadata_row":{"confirmation":"15daydeliveryfreelook;oldage8.2superseded2020;genderdeclaration;incontestability2yearsISSUE.","corrected_at_utc":"2026-10-26T20:16:59.223599+00:00","correction_basis":"Metadata cross-check against retained contemporaneous page-proof and original216dpi reading: removed neighboring-page attribution and overgeneralization. Additional ordinary216dpi recheck20/29/73 confirms no annualfrequencylabel and30daygrace. This is reviewer metadata correction, not source amendment.","display_sha256":"4f1480fea66394c3265e17ff1614dbbdddbaf947bff63b0d0192e508901909a3","initial_confirmation_before_metadata_correction":"SurrenderNEXTduedate/noafterfreelookrefund/70basicage;60daygrace;old19presentbut2020explicitdelete.","physical_page":26},"physical_page":26,"task_id":"B25-MY-023"}</t>
  </si>
  <si>
    <t xml:space="preserve">qa-b25-full-review-20261026/issues-and-clarifications.json#/frozen_execution_correction_history/118</t>
  </si>
  <si>
    <t xml:space="preserve">independent-qa.json#/batches/B25/documents/issues-and-clarifications.json/frozen_execution_correction_history/118</t>
  </si>
  <si>
    <t xml:space="preserve">0ab4bde4def1e32d403373775d69d65a4205b9e24349fae61e8423e4651e985c</t>
  </si>
  <si>
    <t xml:space="preserve">{"artifact":"zoom_confirmation","full_metadata_row":{"confirmation":"Assignmentregistered;old14.3RM2replaced2019; surrenderNEXTduedate/noafterfreelookrefund.","corrected_at_utc":"2026-10-26T20:16:59.223602+00:00","correction_basis":"Metadata cross-check against retained contemporaneous page-proof and original216dpi reading: removed neighboring-page attribution and overgeneralization. Additional ordinary216dpi recheck20/29/73 confirms no annualfrequencylabel and30daygrace. This is reviewer metadata correction, not source amendment.","display_sha256":"e29a4fe84691f3eebaa6ee5f09562c174df66ae8beaf15ecb36130f17604cf4f","initial_confirmation_before_metadata_correction":"Age/60daygrace/90daynotice provisions;12monthreinstatement;no silently imported values.","physical_page":27},"physical_page":27,"task_id":"B25-MY-023"}</t>
  </si>
  <si>
    <t xml:space="preserve">qa-b25-full-review-20261026/issues-and-clarifications.json#/frozen_execution_correction_history/119</t>
  </si>
  <si>
    <t xml:space="preserve">independent-qa.json#/batches/B25/documents/issues-and-clarifications.json/frozen_execution_correction_history/119</t>
  </si>
  <si>
    <t xml:space="preserve">16f590ccdcd1071472d93898ac68a5394c51afaa44fcb46648888f2e2320dd42</t>
  </si>
  <si>
    <t xml:space="preserve">{"artifact":"zoom_confirmation","full_metadata_row":{"confirmation":"Old19NOactionBEFORE2years explicitlydeleted2020;frequencyapproval;30daygrace,not60;eventdatedeductions;90daynextannivwakalahvariation.","corrected_at_utc":"2026-10-26T20:16:59.223604+00:00","correction_basis":"Metadata cross-check against retained contemporaneous page-proof and original216dpi reading: removed neighboring-page attribution and overgeneralization. Additional ordinary216dpi recheck20/29/73 confirms no annualfrequencylabel and30daygrace. This is reviewer metadata correction, not source amendment.","display_sha256":"d51996ccf516c6f6cdc976de5a2b643aaa93a7fb610e72ba3046a53e1c0803cd","initial_confirmation_before_metadata_correction":"30%wakalah;90daynextannivvariation;conditionalrefundifany.","physical_page":29},"physical_page":29,"task_id":"B25-MY-023"}</t>
  </si>
  <si>
    <t xml:space="preserve">qa-b25-full-review-20261026/issues-and-clarifications.json#/frozen_execution_correction_history/120</t>
  </si>
  <si>
    <t xml:space="preserve">independent-qa.json#/batches/B25/documents/issues-and-clarifications.json/frozen_execution_correction_history/120</t>
  </si>
  <si>
    <t xml:space="preserve">8fda08b1599a9b80c0fb0910effedf253b64b8bac52f59752b8949fa90a27af2</t>
  </si>
  <si>
    <t xml:space="preserve">{"artifact":"zoom_confirmation","full_metadata_row":{"confirmation":"MainTPDmonthly65/2m/certificateendsuponpay/deathbeforepaiddeathonly;NO lowerTPDresidualdeathclause inthisannexure.","corrected_at_utc":"2026-10-26T20:16:59.223606+00:00","correction_basis":"Metadata cross-check against retained contemporaneous page-proof and original216dpi reading: removed neighboring-page attribution and overgeneralization. Additional ordinary216dpi recheck20/29/73 confirms no annualfrequencylabel and30daygrace. This is reviewer metadata correction, not source amendment.","display_sha256":"659b7109027527ed2796755b8ed04633770cd93a51050899b45a663d07f8d7d1","initial_confirmation_before_metadata_correction":"TPD2mcap/lowerresidualdeath;claims6mwait;no separatebenefitadded.","physical_page":36},"physical_page":36,"task_id":"B25-MY-023"}</t>
  </si>
  <si>
    <t xml:space="preserve">qa-b25-full-review-20261026/issues-and-clarifications.json#/frozen_execution_correction_history/121</t>
  </si>
  <si>
    <t xml:space="preserve">independent-qa.json#/batches/B25/documents/issues-and-clarifications.json/frozen_execution_correction_history/121</t>
  </si>
  <si>
    <t xml:space="preserve">939e3b6ee928ae9229d7bff92213e9783acdb351f4b0f9f1e41da3d5d599d2d2</t>
  </si>
  <si>
    <t xml:space="preserve">{"artifact":"zoom_confirmation","full_metadata_row":{"confirmation":"Five60dayconditions;postdateaccidentNOWAIT;CIends100%payment/death/TPD/cancel/surrender/lapse/annual70;dementiastarts.","corrected_at_utc":"2026-10-26T20:16:59.223608+00:00","correction_basis":"Metadata cross-check against retained contemporaneous page-proof and original216dpi reading: removed neighboring-page attribution and overgeneralization. Additional ordinary216dpi recheck20/29/73 confirms no annualfrequencylabel and30daygrace. This is reviewer metadata correction, not source amendment.","display_sha256":"ebae4fea5bd02c3d69596f572cf51fab3e19d20990c49a3fc034b0c0a4a680be","initial_confirmation_before_metadata_correction":"CIdeathbeforepaiddeathonly;100%endexceptangioplasty;36definitionsstart.","physical_page":39},"physical_page":39,"task_id":"B25-MY-023"}</t>
  </si>
  <si>
    <t xml:space="preserve">qa-b25-full-review-20261026/issues-and-clarifications.json#/frozen_execution_correction_history/122</t>
  </si>
  <si>
    <t xml:space="preserve">independent-qa.json#/batches/B25/documents/issues-and-clarifications.json/frozen_execution_correction_history/122</t>
  </si>
  <si>
    <t xml:space="preserve">422abfe2e50a778c24d519d36d6f436fc3b0b43613869f11a76267646520df8a</t>
  </si>
  <si>
    <t xml:space="preserve">{"artifact":"zoom_confirmation","full_metadata_row":{"confirmation":"AccTPD180days/monthly65/2m/prioracceleratedPAIDdeduction;NO lowerTPDresidualdeathclause here.","corrected_at_utc":"2026-10-26T20:16:59.223611+00:00","correction_basis":"Metadata cross-check against retained contemporaneous page-proof and original216dpi reading: removed neighboring-page attribution and overgeneralization. Additional ordinary216dpi recheck20/29/73 confirms no annualfrequencylabel and30daygrace. This is reviewer metadata correction, not source amendment.","display_sha256":"20eb42c1942ec9559725b54b685e6a3a365ca1faa85ae8fcaa4d42fd86eb966b","initial_confirmation_before_metadata_correction":"AccTPD180days/monthly65/2m/lowerresidual/prioracceleratedPAIDdeduction.","physical_page":51},"physical_page":51,"task_id":"B25-MY-023"}</t>
  </si>
  <si>
    <t xml:space="preserve">qa-b25-full-review-20261026/issues-and-clarifications.json#/frozen_execution_correction_history/123</t>
  </si>
  <si>
    <t xml:space="preserve">independent-qa.json#/batches/B25/documents/issues-and-clarifications.json/frozen_execution_correction_history/123</t>
  </si>
  <si>
    <t xml:space="preserve">3b8890c60db97931a15557aea636d49a9e66abf4c6f09330bacf24d6e60c0d87</t>
  </si>
  <si>
    <t xml:space="preserve">{"artifact":"zoom_confirmation","full_metadata_row":{"confirmation":"SIDTPDprioracceleratedPAID/2m/monthly65;SWP004ref;NO lowerTPDresidualdeathclause here.","corrected_at_utc":"2026-10-26T20:16:59.223613+00:00","correction_basis":"Metadata cross-check against retained contemporaneous page-proof and original216dpi reading: removed neighboring-page attribution and overgeneralization. Additional ordinary216dpi recheck20/29/73 confirms no annualfrequencylabel and30daygrace. This is reviewer metadata correction, not source amendment.","display_sha256":"c368b6d2dbc067851d53d2db7fd85a9ad5f687f893c089d90bac639f2792ebc7","initial_confirmation_before_metadata_correction":"SIDTPDprioracceleratedPAID,2m/residualdeath;SWP004ref.","physical_page":54},"physical_page":54,"task_id":"B25-MY-023"}</t>
  </si>
  <si>
    <t xml:space="preserve">qa-b25-full-review-20261026/issues-and-clarifications.json#/frozen_execution_correction_history/124</t>
  </si>
  <si>
    <t xml:space="preserve">independent-qa.json#/batches/B25/documents/issues-and-clarifications.json/frozen_execution_correction_history/124</t>
  </si>
  <si>
    <t xml:space="preserve">a896ff366a593b15a6cdb9b33d43b6255db5c87659e87b4c41aa54ac3cba3fbc</t>
  </si>
  <si>
    <t xml:space="preserve">{"artifact":"zoom_confirmation","full_metadata_row":{"confirmation":"Malayall5plans100k–500k/contributions512–2560 and30%fee;annualfrequency not established by schedule.","corrected_at_utc":"2026-10-26T20:16:59.223615+00:00","correction_basis":"Metadata cross-check against retained contemporaneous page-proof and original216dpi reading: removed neighboring-page attribution and overgeneralization. Additional ordinary216dpi recheck20/29/73 confirms no annualfrequencylabel and30daygrace. This is reviewer metadata correction, not source amendment.","display_sha256":"9d7bc5ce685313fe245a43625706738d3ca9e9fb05753e50e8e14dff7ab455d8","initial_confirmation_before_metadata_correction":"Malayall5plans100k–500k/annual512–2560 and30%fee match.","physical_page":63},"physical_page":63,"task_id":"B25-MY-023"}</t>
  </si>
  <si>
    <t xml:space="preserve">qa-b25-full-review-20261026/issues-and-clarifications.json#/frozen_execution_correction_history/125</t>
  </si>
  <si>
    <t xml:space="preserve">independent-qa.json#/batches/B25/documents/issues-and-clarifications.json/frozen_execution_correction_history/125</t>
  </si>
  <si>
    <t xml:space="preserve">918ebaa3470d8f0f4ad91dc0b9a2687440c342c17d0818a8505ce64aa0275cfe</t>
  </si>
  <si>
    <t xml:space="preserve">{"artifact":"zoom_confirmation","full_metadata_row":{"confirmation":"MalayADLs/TPDspecifiedlosses/severability/applicationmaterials;2yrsISSUE is70not68.","corrected_at_utc":"2026-10-26T20:16:59.223618+00:00","correction_basis":"Metadata cross-check against retained contemporaneous page-proof and original216dpi reading: removed neighboring-page attribution and overgeneralization. Additional ordinary216dpi recheck20/29/73 confirms no annualfrequencylabel and30daygrace. This is reviewer metadata correction, not source amendment.","display_sha256":"97496d30491ed3326eb7cc2dc50842af3183555988e4f5f5fc2ff1b7c00dcecc","initial_confirmation_before_metadata_correction":"MalayTPDADLcompletion;2yrsISSUE;freelook15days;law/changeclauses.","physical_page":68},"physical_page":68,"task_id":"B25-MY-023"}</t>
  </si>
  <si>
    <t xml:space="preserve">qa-b25-full-review-20261026/issues-and-clarifications.json#/frozen_execution_correction_history/126</t>
  </si>
  <si>
    <t xml:space="preserve">independent-qa.json#/batches/B25/documents/issues-and-clarifications.json/frozen_execution_correction_history/126</t>
  </si>
  <si>
    <t xml:space="preserve">a375d93e5c639f1dc3c7d85ee35f0cf4613de5b6bf0531b72f49c03bb38bb06a</t>
  </si>
  <si>
    <t xml:space="preserve">{"artifact":"zoom_confirmation","full_metadata_row":{"confirmation":"Malayfreelookrefund/old8.2superseded2020/incontestability2yrsISSUE/registeredassignment;NEXTsurrender is71not70.","corrected_at_utc":"2026-10-26T20:16:59.223620+00:00","correction_basis":"Metadata cross-check against retained contemporaneous page-proof and original216dpi reading: removed neighboring-page attribution and overgeneralization. Additional ordinary216dpi recheck20/29/73 confirms no annualfrequencylabel and30daygrace. This is reviewer metadata correction, not source amendment.","display_sha256":"f6b05326bd8780e9cf227c98dec2091ac41282b4aa1a80986c878a53627403eb","initial_confirmation_before_metadata_correction":"MalayNEXTcontributionduedate notanniv;60daygrace/90daychange;nocashrefundafterfreelook.","physical_page":70},"physical_page":70,"task_id":"B25-MY-023"}</t>
  </si>
  <si>
    <t xml:space="preserve">qa-b25-full-review-20261026/issues-and-clarifications.json#/frozen_execution_correction_history/127</t>
  </si>
  <si>
    <t xml:space="preserve">independent-qa.json#/batches/B25/documents/issues-and-clarifications.json/frozen_execution_correction_history/127</t>
  </si>
  <si>
    <t xml:space="preserve">4d17b792850a121d959c5b1657d5e8e173a14b2c1de32de7fb55ad2ea73af6ab</t>
  </si>
  <si>
    <t xml:space="preserve">{"artifact":"zoom_confirmation","full_metadata_row":{"confirmation":"MalayNEXTcontributionduedate/noafterfreelookrefund/oldRM2replaced2019/annual70termination;oldlegal19is72not71.","corrected_at_utc":"2026-10-26T20:16:59.223622+00:00","correction_basis":"Metadata cross-check against retained contemporaneous page-proof and original216dpi reading: removed neighboring-page attribution and overgeneralization. Additional ordinary216dpi recheck20/29/73 confirms no annualfrequencylabel and30daygrace. This is reviewer metadata correction, not source amendment.","display_sha256":"1315591d1e1f4b43870bec51720bbdffcfa932f26dbbf1bfe02936d413e10354","initial_confirmation_before_metadata_correction":"Malayoldlegalproceedings19superseded2020;annualage70end and12mreinstate.","physical_page":71},"physical_page":71,"task_id":"B25-MY-023"}</t>
  </si>
  <si>
    <t xml:space="preserve">qa-b25-full-review-20261026/issues-and-clarifications.json#/frozen_execution_correction_history/128</t>
  </si>
  <si>
    <t xml:space="preserve">independent-qa.json#/batches/B25/documents/issues-and-clarifications.json/frozen_execution_correction_history/128</t>
  </si>
  <si>
    <t xml:space="preserve">43aedb14109390579618c7b7686a2c827101c6b1a8fa37c986ba1c4863b305c6</t>
  </si>
  <si>
    <t xml:space="preserve">{"artifact":"zoom_confirmation","full_metadata_row":{"confirmation":"MalayMAIN TPDmonthly65/2m/certificateendsuponpay/deathbeforepaiddeathonly;NO residualdeathclause here.","corrected_at_utc":"2026-10-26T20:16:59.223624+00:00","correction_basis":"Metadata cross-check against retained contemporaneous page-proof and original216dpi reading: removed neighboring-page attribution and overgeneralization. Additional ordinary216dpi recheck20/29/73 confirms no annualfrequencylabel and30daygrace. This is reviewer metadata correction, not source amendment.","display_sha256":"8d9c4179cb27418e6395f0ca1cd558275c77373b528dc404ac2057636011a5b7","initial_confirmation_before_metadata_correction":"MalayTPD2m/lowerresidualdeath/6m claimsmatch.","physical_page":80},"physical_page":80,"task_id":"B25-MY-023"}</t>
  </si>
  <si>
    <t xml:space="preserve">qa-b25-full-review-20261026/issues-and-clarifications.json#/frozen_execution_correction_history/129</t>
  </si>
  <si>
    <t xml:space="preserve">independent-qa.json#/batches/B25/documents/issues-and-clarifications.json/frozen_execution_correction_history/129</t>
  </si>
  <si>
    <t xml:space="preserve">a8fd13ae1a540d1482666ec99701c87b21ede9ed3a5460456f8946e318a66bf0</t>
  </si>
  <si>
    <t xml:space="preserve">{"artifact":"zoom_confirmation","full_metadata_row":{"confirmation":"MalayCIacceleratedNOTadditional/RM500kTHISproduct/deathbeforepaiddeathonly/exclusions;waitingon83not82.","corrected_at_utc":"2026-10-26T20:16:59.223626+00:00","correction_basis":"Metadata cross-check against retained contemporaneous page-proof and original216dpi reading: removed neighboring-page attribution and overgeneralization. Additional ordinary216dpi recheck20/29/73 confirms no annualfrequencylabel and30daygrace. This is reviewer metadata correction, not source amendment.","display_sha256":"014e7312e1192f71e3a40766ae54b84e114960e9d5feec0591c6c7dbf5ee19a7","initial_confirmation_before_metadata_correction":"MalayCIacceleratedNOTadditional/RM500kTHISproduct/30vs60wait/postdateaccident.","physical_page":82},"physical_page":82,"task_id":"B25-MY-023"}</t>
  </si>
  <si>
    <t xml:space="preserve">qa-b25-full-review-20261026/issues-and-clarifications.json#/frozen_execution_correction_history/130</t>
  </si>
  <si>
    <t xml:space="preserve">independent-qa.json#/batches/B25/documents/issues-and-clarifications.json/frozen_execution_correction_history/130</t>
  </si>
  <si>
    <t xml:space="preserve">f1d0404927227ac0e905652a0b84d2843b42dfa9245506365fbe236941ac5315</t>
  </si>
  <si>
    <t xml:space="preserve">{"artifact":"zoom_confirmation","full_metadata_row":{"confirmation":"Malay30/60daywaiting/postdateaccidentNOWAIT;100%payment/death/TPD/endannual70;dementiastart.","corrected_at_utc":"2026-10-26T20:16:59.223628+00:00","correction_basis":"Metadata cross-check against retained contemporaneous page-proof and original216dpi reading: removed neighboring-page attribution and overgeneralization. Additional ordinary216dpi recheck20/29/73 confirms no annualfrequencylabel and30daygrace. This is reviewer metadata correction, not source amendment.","display_sha256":"75a0e99fcb95b828b02ef32407d64662c90499a41be90ef5e552cd4fc4e7dab8","initial_confirmation_before_metadata_correction":"MalaydeathbeforeCIpaiddeathonly;100%terminationangioplastyexception;definitionsequence.","physical_page":83},"physical_page":83,"task_id":"B25-MY-023"}</t>
  </si>
  <si>
    <t xml:space="preserve">qa-b25-full-review-20261026/issues-and-clarifications.json#/frozen_execution_correction_history/131</t>
  </si>
  <si>
    <t xml:space="preserve">independent-qa.json#/batches/B25/documents/issues-and-clarifications.json/frozen_execution_correction_history/131</t>
  </si>
  <si>
    <t xml:space="preserve">06940a9e32177129768bcc2bf911ea5bf31f8b9fd3db10a2e88e3725d1d3e462</t>
  </si>
  <si>
    <t xml:space="preserve">{"artifact":"zoom_confirmation","full_metadata_row":{"confirmation":"MalayaccTPD180days/monthly65/2m/prioracceleratedPAID;NO residualdeathclause here.","corrected_at_utc":"2026-10-26T20:16:59.223631+00:00","correction_basis":"Metadata cross-check against retained contemporaneous page-proof and original216dpi reading: removed neighboring-page attribution and overgeneralization. Additional ordinary216dpi recheck20/29/73 confirms no annualfrequencylabel and30daygrace. This is reviewer metadata correction, not source amendment.","display_sha256":"e3384077f7d7683420ddec332af2afc1ed9fae62febf645ad3cf3f2c80d83347","initial_confirmation_before_metadata_correction":"MalayaccTPD180days/monthly65/2m/residual/prioracceleratedPAIDmatch.","physical_page":96},"physical_page":96,"task_id":"B25-MY-023"}</t>
  </si>
  <si>
    <t xml:space="preserve">qa-b25-full-review-20261026/issues-and-clarifications.json#/frozen_execution_correction_history/132</t>
  </si>
  <si>
    <t xml:space="preserve">independent-qa.json#/batches/B25/documents/issues-and-clarifications.json/frozen_execution_correction_history/132</t>
  </si>
  <si>
    <t xml:space="preserve">586dc7746a922f4a2e34462a75b6db6e485be57b2e2ebfb4f85aaef43c26e508</t>
  </si>
  <si>
    <t xml:space="preserve">{"artifact":"zoom_confirmation","full_metadata_row":{"confirmation":"MalaySIDTPD2m/monthly65/prioracceleratedPAID;NO residualdeathclause here;termination4heading/5.1boundednumberdefect.","corrected_at_utc":"2026-10-26T20:16:59.223633+00:00","correction_basis":"Metadata cross-check against retained contemporaneous page-proof and original216dpi reading: removed neighboring-page attribution and overgeneralization. Additional ordinary216dpi recheck20/29/73 confirms no annualfrequencylabel and30daygrace. This is reviewer metadata correction, not source amendment.","display_sha256":"09043ea582e37d8ba4acb86d06f5b505e19344b26035082e861825e3093ac8d1","initial_confirmation_before_metadata_correction":"MalaySIDTPD2m/residual/prioracceleratedPAID;termination4heading/5.1boundednumberdefect.","physical_page":100},"physical_page":100,"task_id":"B25-MY-023"}</t>
  </si>
  <si>
    <t xml:space="preserve">qa-b25-full-review-20261026/issues-and-clarifications.json#/frozen_execution_correction_history/133</t>
  </si>
  <si>
    <t xml:space="preserve">independent-qa.json#/batches/B25/documents/issues-and-clarifications.json/frozen_execution_correction_history/133</t>
  </si>
  <si>
    <t xml:space="preserve">62c05fed04ba0c7a29372a975bc87776f115869c7161a32246dc484b8717a422</t>
  </si>
  <si>
    <t xml:space="preserve">qa-b25-full-review-20261026/issues-and-clarifications.json#/frozen_execution_correction_history/134/artifact</t>
  </si>
  <si>
    <t xml:space="preserve">independent-qa.json#/batches/B25/documents/issues-and-clarifications.json/frozen_execution_correction_history/134/artifact</t>
  </si>
  <si>
    <t xml:space="preserve">qa-b25-full-review-20261026/issues-and-clarifications.json#/frozen_execution_correction_history/134/complete_correction_and_clarification_fields/clarifications/0</t>
  </si>
  <si>
    <t xml:space="preserve">independent-qa.json#/batches/B25/documents/issues-and-clarifications.json/frozen_execution_correction_history/134/complete_correction_and_clarification_fields/clarifications/0</t>
  </si>
  <si>
    <t xml:space="preserve">qa-b25-full-review-20261026/issues-and-clarifications.json#/frozen_execution_correction_history/134/complete_correction_and_clarification_fields/clarifications/1</t>
  </si>
  <si>
    <t xml:space="preserve">independent-qa.json#/batches/B25/documents/issues-and-clarifications.json/frozen_execution_correction_history/134/complete_correction_and_clarification_fields/clarifications/1</t>
  </si>
  <si>
    <t xml:space="preserve">qa-b25-full-review-20261026/issues-and-clarifications.json#/frozen_execution_correction_history/134/complete_correction_and_clarification_fields/clarifications/2</t>
  </si>
  <si>
    <t xml:space="preserve">independent-qa.json#/batches/B25/documents/issues-and-clarifications.json/frozen_execution_correction_history/134/complete_correction_and_clarification_fields/clarifications/2</t>
  </si>
  <si>
    <t xml:space="preserve">qa-b25-full-review-20261026/issues-and-clarifications.json#/frozen_execution_correction_history/134/complete_correction_and_clarification_fields/clarifications/3</t>
  </si>
  <si>
    <t xml:space="preserve">independent-qa.json#/batches/B25/documents/issues-and-clarifications.json/frozen_execution_correction_history/134/complete_correction_and_clarification_fields/clarifications/3</t>
  </si>
  <si>
    <t xml:space="preserve">qa-b25-full-review-20261026/issues-and-clarifications.json#/frozen_execution_correction_history/134/complete_correction_and_clarification_fields/clarifications/4</t>
  </si>
  <si>
    <t xml:space="preserve">independent-qa.json#/batches/B25/documents/issues-and-clarifications.json/frozen_execution_correction_history/134/complete_correction_and_clarification_fields/clarifications/4</t>
  </si>
  <si>
    <t xml:space="preserve">qa-b25-full-review-20261026/issues-and-clarifications.json#/frozen_execution_correction_history/134/complete_correction_and_clarification_fields/clarifications/5</t>
  </si>
  <si>
    <t xml:space="preserve">independent-qa.json#/batches/B25/documents/issues-and-clarifications.json/frozen_execution_correction_history/134/complete_correction_and_clarification_fields/clarifications/5</t>
  </si>
  <si>
    <t xml:space="preserve">qa-b25-full-review-20261026/issues-and-clarifications.json#/frozen_execution_correction_history/134/complete_correction_and_clarification_fields/clarifications/6</t>
  </si>
  <si>
    <t xml:space="preserve">independent-qa.json#/batches/B25/documents/issues-and-clarifications.json/frozen_execution_correction_history/134/complete_correction_and_clarification_fields/clarifications/6</t>
  </si>
  <si>
    <t xml:space="preserve">qa-b25-full-review-20261026/issues-and-clarifications.json#/frozen_execution_correction_history/134/complete_correction_and_clarification_fields/clarifications/7</t>
  </si>
  <si>
    <t xml:space="preserve">independent-qa.json#/batches/B25/documents/issues-and-clarifications.json/frozen_execution_correction_history/134/complete_correction_and_clarification_fields/clarifications/7</t>
  </si>
  <si>
    <t xml:space="preserve">qa-b25-full-review-20261026/issues-and-clarifications.json#/frozen_execution_correction_history/134/complete_correction_and_clarification_fields/clarifications/8</t>
  </si>
  <si>
    <t xml:space="preserve">independent-qa.json#/batches/B25/documents/issues-and-clarifications.json/frozen_execution_correction_history/134/complete_correction_and_clarification_fields/clarifications/8</t>
  </si>
  <si>
    <t xml:space="preserve">qa-b25-full-review-20261026/issues-and-clarifications.json#/frozen_execution_correction_history/134/complete_correction_and_clarification_fields/clarifications/9</t>
  </si>
  <si>
    <t xml:space="preserve">independent-qa.json#/batches/B25/documents/issues-and-clarifications.json/frozen_execution_correction_history/134/complete_correction_and_clarification_fields/clarifications/9</t>
  </si>
  <si>
    <t xml:space="preserve">qa-b25-full-review-20261026/issues-and-clarifications.json#/frozen_execution_correction_history/134/complete_correction_and_clarification_fields/clarifications/10</t>
  </si>
  <si>
    <t xml:space="preserve">independent-qa.json#/batches/B25/documents/issues-and-clarifications.json/frozen_execution_correction_history/134/complete_correction_and_clarification_fields/clarifications/10</t>
  </si>
  <si>
    <t xml:space="preserve">qa-b25-full-review-20261026/issues-and-clarifications.json#/frozen_execution_correction_history/134/complete_correction_and_clarification_fields/clarifications/11</t>
  </si>
  <si>
    <t xml:space="preserve">independent-qa.json#/batches/B25/documents/issues-and-clarifications.json/frozen_execution_correction_history/134/complete_correction_and_clarification_fields/clarifications/11</t>
  </si>
  <si>
    <t xml:space="preserve">qa-b25-full-review-20261026/issues-and-clarifications.json#/frozen_execution_correction_history/134/complete_correction_and_clarification_fields/clarifications/12</t>
  </si>
  <si>
    <t xml:space="preserve">independent-qa.json#/batches/B25/documents/issues-and-clarifications.json/frozen_execution_correction_history/134/complete_correction_and_clarification_fields/clarifications/12</t>
  </si>
  <si>
    <t xml:space="preserve">qa-b25-full-review-20261026/issues-and-clarifications.json#/frozen_execution_correction_history/134/complete_correction_and_clarification_fields/clarifications/13</t>
  </si>
  <si>
    <t xml:space="preserve">independent-qa.json#/batches/B25/documents/issues-and-clarifications.json/frozen_execution_correction_history/134/complete_correction_and_clarification_fields/clarifications/13</t>
  </si>
  <si>
    <t xml:space="preserve">qa-b25-full-review-20261026/issues-and-clarifications.json#/frozen_execution_correction_history/134/complete_correction_and_clarification_fields/correction_basis</t>
  </si>
  <si>
    <t xml:space="preserve">independent-qa.json#/batches/B25/documents/issues-and-clarifications.json/frozen_execution_correction_history/134/complete_correction_and_clarification_fields/correction_basis</t>
  </si>
  <si>
    <t xml:space="preserve">qa-b25-full-review-20261026/issues-and-clarifications.json#/frozen_execution_correction_history/134/complete_correction_and_clarification_fields/metadata_corrections/0/clarification</t>
  </si>
  <si>
    <t xml:space="preserve">independent-qa.json#/batches/B25/documents/issues-and-clarifications.json/frozen_execution_correction_history/134/complete_correction_and_clarification_fields/metadata_corrections/0/clarification</t>
  </si>
  <si>
    <t xml:space="preserve">qa-b25-full-review-20261026/issues-and-clarifications.json#/frozen_execution_correction_history/134/complete_correction_and_clarification_fields/metadata_corrections/0/corrected_at_utc</t>
  </si>
  <si>
    <t xml:space="preserve">independent-qa.json#/batches/B25/documents/issues-and-clarifications.json/frozen_execution_correction_history/134/complete_correction_and_clarification_fields/metadata_corrections/0/corrected_at_utc</t>
  </si>
  <si>
    <t xml:space="preserve">qa-b25-full-review-20261026/issues-and-clarifications.json#/frozen_execution_correction_history/134/complete_correction_and_clarification_fields/metadata_corrections/0/correction_basis</t>
  </si>
  <si>
    <t xml:space="preserve">independent-qa.json#/batches/B25/documents/issues-and-clarifications.json/frozen_execution_correction_history/134/complete_correction_and_clarification_fields/metadata_corrections/0/correction_basis</t>
  </si>
  <si>
    <t xml:space="preserve">qa-b25-full-review-20261026/issues-and-clarifications.json#/frozen_execution_correction_history/134/complete_correction_and_clarification_fields/metadata_corrections/0/initial_metadata/clarifications/0</t>
  </si>
  <si>
    <t xml:space="preserve">independent-qa.json#/batches/B25/documents/issues-and-clarifications.json/frozen_execution_correction_history/134/complete_correction_and_clarification_fields/metadata_corrections/0/initial_metadata/clarifications/0</t>
  </si>
  <si>
    <t xml:space="preserve">qa-b25-full-review-20261026/issues-and-clarifications.json#/frozen_execution_correction_history/134/complete_correction_and_clarification_fields/metadata_corrections/0/initial_metadata/clarifications/1</t>
  </si>
  <si>
    <t xml:space="preserve">independent-qa.json#/batches/B25/documents/issues-and-clarifications.json/frozen_execution_correction_history/134/complete_correction_and_clarification_fields/metadata_corrections/0/initial_metadata/clarifications/1</t>
  </si>
  <si>
    <t xml:space="preserve">qa-b25-full-review-20261026/issues-and-clarifications.json#/frozen_execution_correction_history/134/complete_correction_and_clarification_fields/metadata_corrections/0/initial_metadata/clarifications/2</t>
  </si>
  <si>
    <t xml:space="preserve">independent-qa.json#/batches/B25/documents/issues-and-clarifications.json/frozen_execution_correction_history/134/complete_correction_and_clarification_fields/metadata_corrections/0/initial_metadata/clarifications/2</t>
  </si>
  <si>
    <t xml:space="preserve">qa-b25-full-review-20261026/issues-and-clarifications.json#/frozen_execution_correction_history/134/complete_correction_and_clarification_fields/metadata_corrections/0/initial_metadata/clarifications/3</t>
  </si>
  <si>
    <t xml:space="preserve">independent-qa.json#/batches/B25/documents/issues-and-clarifications.json/frozen_execution_correction_history/134/complete_correction_and_clarification_fields/metadata_corrections/0/initial_metadata/clarifications/3</t>
  </si>
  <si>
    <t xml:space="preserve">qa-b25-full-review-20261026/issues-and-clarifications.json#/frozen_execution_correction_history/134/complete_correction_and_clarification_fields/metadata_corrections/0/initial_metadata/clarifications/4</t>
  </si>
  <si>
    <t xml:space="preserve">independent-qa.json#/batches/B25/documents/issues-and-clarifications.json/frozen_execution_correction_history/134/complete_correction_and_clarification_fields/metadata_corrections/0/initial_metadata/clarifications/4</t>
  </si>
  <si>
    <t xml:space="preserve">qa-b25-full-review-20261026/issues-and-clarifications.json#/frozen_execution_correction_history/134/complete_correction_and_clarification_fields/metadata_corrections/0/initial_metadata/clarifications/5</t>
  </si>
  <si>
    <t xml:space="preserve">independent-qa.json#/batches/B25/documents/issues-and-clarifications.json/frozen_execution_correction_history/134/complete_correction_and_clarification_fields/metadata_corrections/0/initial_metadata/clarifications/5</t>
  </si>
  <si>
    <t xml:space="preserve">qa-b25-full-review-20261026/issues-and-clarifications.json#/frozen_execution_correction_history/134/complete_correction_and_clarification_fields/metadata_corrections/0/initial_metadata/clarifications/6</t>
  </si>
  <si>
    <t xml:space="preserve">independent-qa.json#/batches/B25/documents/issues-and-clarifications.json/frozen_execution_correction_history/134/complete_correction_and_clarification_fields/metadata_corrections/0/initial_metadata/clarifications/6</t>
  </si>
  <si>
    <t xml:space="preserve">qa-b25-full-review-20261026/issues-and-clarifications.json#/frozen_execution_correction_history/134/complete_correction_and_clarification_fields/metadata_corrections/0/initial_metadata/clarifications/7</t>
  </si>
  <si>
    <t xml:space="preserve">independent-qa.json#/batches/B25/documents/issues-and-clarifications.json/frozen_execution_correction_history/134/complete_correction_and_clarification_fields/metadata_corrections/0/initial_metadata/clarifications/7</t>
  </si>
  <si>
    <t xml:space="preserve">qa-b25-full-review-20261026/issues-and-clarifications.json#/frozen_execution_correction_history/134/complete_correction_and_clarification_fields/metadata_corrections/0/initial_metadata/clarifications/8</t>
  </si>
  <si>
    <t xml:space="preserve">independent-qa.json#/batches/B25/documents/issues-and-clarifications.json/frozen_execution_correction_history/134/complete_correction_and_clarification_fields/metadata_corrections/0/initial_metadata/clarifications/8</t>
  </si>
  <si>
    <t xml:space="preserve">qa-b25-full-review-20261026/issues-and-clarifications.json#/frozen_execution_correction_history/134/complete_correction_and_clarification_fields/metadata_corrections/0/initial_metadata/clarifications/9</t>
  </si>
  <si>
    <t xml:space="preserve">independent-qa.json#/batches/B25/documents/issues-and-clarifications.json/frozen_execution_correction_history/134/complete_correction_and_clarification_fields/metadata_corrections/0/initial_metadata/clarifications/9</t>
  </si>
  <si>
    <t xml:space="preserve">qa-b25-full-review-20261026/issues-and-clarifications.json#/frozen_execution_correction_history/134/complete_correction_and_clarification_fields/metadata_corrections/0/initial_metadata/clarifications/10</t>
  </si>
  <si>
    <t xml:space="preserve">independent-qa.json#/batches/B25/documents/issues-and-clarifications.json/frozen_execution_correction_history/134/complete_correction_and_clarification_fields/metadata_corrections/0/initial_metadata/clarifications/10</t>
  </si>
  <si>
    <t xml:space="preserve">qa-b25-full-review-20261026/issues-and-clarifications.json#/frozen_execution_correction_history/134/complete_correction_and_clarification_fields/metadata_corrections/0/initial_metadata/clarifications/11</t>
  </si>
  <si>
    <t xml:space="preserve">independent-qa.json#/batches/B25/documents/issues-and-clarifications.json/frozen_execution_correction_history/134/complete_correction_and_clarification_fields/metadata_corrections/0/initial_metadata/clarifications/11</t>
  </si>
  <si>
    <t xml:space="preserve">qa-b25-full-review-20261026/issues-and-clarifications.json#/frozen_execution_correction_history/134/complete_correction_and_clarification_fields/metadata_corrections/0/initial_metadata/clarifications/12</t>
  </si>
  <si>
    <t xml:space="preserve">independent-qa.json#/batches/B25/documents/issues-and-clarifications.json/frozen_execution_correction_history/134/complete_correction_and_clarification_fields/metadata_corrections/0/initial_metadata/clarifications/12</t>
  </si>
  <si>
    <t xml:space="preserve">qa-b25-full-review-20261026/issues-and-clarifications.json#/frozen_execution_correction_history/134/complete_correction_and_clarification_fields/metadata_corrections/0/initial_metadata/clarifications/13</t>
  </si>
  <si>
    <t xml:space="preserve">independent-qa.json#/batches/B25/documents/issues-and-clarifications.json/frozen_execution_correction_history/134/complete_correction_and_clarification_fields/metadata_corrections/0/initial_metadata/clarifications/13</t>
  </si>
  <si>
    <t xml:space="preserve">qa-b25-full-review-20261026/issues-and-clarifications.json#/frozen_execution_correction_history/134/complete_correction_and_clarification_fields/metadata_corrections/0/initial_metadata/content_summary</t>
  </si>
  <si>
    <t xml:space="preserve">independent-qa.json#/batches/B25/documents/issues-and-clarifications.json/frozen_execution_correction_history/134/complete_correction_and_clarification_fields/metadata_corrections/0/initial_metadata/content_summary</t>
  </si>
  <si>
    <t xml:space="preserve">qa-b25-full-review-20261026/issues-and-clarifications.json#/frozen_execution_correction_history/134/complete_correction_and_clarification_fields/metadata_corrections/0/initial_metadata/correction_basis</t>
  </si>
  <si>
    <t xml:space="preserve">independent-qa.json#/batches/B25/documents/issues-and-clarifications.json/frozen_execution_correction_history/134/complete_correction_and_clarification_fields/metadata_corrections/0/initial_metadata/correction_basis</t>
  </si>
  <si>
    <t xml:space="preserve">qa-b25-full-review-20261026/issues-and-clarifications.json#/frozen_execution_correction_history/134/complete_correction_and_clarification_fields/metadata_corrections/0/initial_metadata/method</t>
  </si>
  <si>
    <t xml:space="preserve">independent-qa.json#/batches/B25/documents/issues-and-clarifications.json/frozen_execution_correction_history/134/complete_correction_and_clarification_fields/metadata_corrections/0/initial_metadata/method</t>
  </si>
  <si>
    <t xml:space="preserve">"B18-MY-014"</t>
  </si>
  <si>
    <t xml:space="preserve">qa-b25-full-review-20261026/issues-and-clarifications.json#/frozen_execution_correction_history/134/complete_correction_and_clarification_fields/prior_task_id</t>
  </si>
  <si>
    <t xml:space="preserve">independent-qa.json#/batches/B25/documents/issues-and-clarifications.json/frozen_execution_correction_history/134/complete_correction_and_clarification_fields/prior_task_id</t>
  </si>
  <si>
    <t xml:space="preserve">a1a04617129d71104277b7c00d8fef409b3bbd0f3b3e1b1b53072204cb87736f</t>
  </si>
  <si>
    <t xml:space="preserve">qa-b25-full-review-20261026/issues-and-clarifications.json#/frozen_execution_correction_history/134/task_id</t>
  </si>
  <si>
    <t xml:space="preserve">independent-qa.json#/batches/B25/documents/issues-and-clarifications.json/frozen_execution_correction_history/134/task_id</t>
  </si>
  <si>
    <t xml:space="preserve">{"artifact":"page_proof","full_metadata_row":{"clarification":"Withdraw initial blanket statement that underlying TPD exclusions are referenced by the later accidentTPD benefit; baseTPD exclusions govern their own benefit, not automatically every add-on.","component":"SWP004 3–4","corrected_at_utc":"2026-10-26T20:47:26.980559+00:00","correction_basis":"Full reading followed by216dpi SWP0092.1 at physical34/80 identifies SWP004 only. No source amendment inferred.","display_sha256":"05bc062d0595be8cdd651a7778419532f6f30240b49016e8d3824ef38af813be","initial_note_before_scope_correction":"Accident death also hazardous pursuits except foot racing, preexisting defects, war/riot, professional sports, needless willful/negligent risk. AccidentTPD add-on exclusions active service, infirmity/illness/infection except accidental wound, pregnancy, prior defects, professional sports and needless risk; separate underlyingTPD exclusions still referenced in later benefit.","language":"English","method":"ordinary_read_only_visual_144dpi","physical_page":18,"reviewed_at_utc":"2026-10-26T20:29:43.339211+00:00","semantic_note":"Accident death also excludes hazardous pursuits except foot racing, preexisting defects, war/riot, professional sports and needless willful/negligent risk. SWP004 accidentTPD exclusions include active service, infirmity/illness/infection except accidental wound, pregnancy, prior defects, professional sports and needless risk. Later SWP009 expressly incorporates SWP004; it does not separately incorporate base TPD SWP006 exclusions.","semantic_read":true,"task_id":"B25-MY-024"},"physical_page":18,"task_id":"B25-MY-024"}</t>
  </si>
  <si>
    <t xml:space="preserve">qa-b25-full-review-20261026/issues-and-clarifications.json#/frozen_execution_correction_history/135</t>
  </si>
  <si>
    <t xml:space="preserve">independent-qa.json#/batches/B25/documents/issues-and-clarifications.json/frozen_execution_correction_history/135</t>
  </si>
  <si>
    <t xml:space="preserve">f67a62b70aa11478ea3e37fe550785cdce4e89861781f4689d969872e3f79ecd</t>
  </si>
  <si>
    <t xml:space="preserve">{"artifact":"page_proof","full_metadata_row":{"clarification":"216dpi confirms Malay potensi malignan has no low/rendah qualifier; English low malignant potential p25 differs.","component":"SWP007 5.7–5.9","confirmed_at_utc":"2026-10-26T20:47:26.980592+00:00","correction_basis":"Paired English/Malay216dpi ordinary visual reread; all other surrounding conditions retained. No priority/replacement clause observed.","display_sha256":"76bf512ab632a738dd96dc6021f2328bcddc63f77c43dbfaecbcd0fb435acf47","initial_note_before_zoom_confirmation":"Cancerin situ/borderline/potensi malignan excluded—LOWqualifiernotvisiblehere unlikeEnglishp25,needs216confirmation. Prostate/thyroid/bladderT1N0M0;CLL&lt;RAI3/HIV/nonmelanomaskin excluded. CardiomyopathyNYHAIII+echopermanentnotalcoholdrugs. Marrowfailureall3cytopeniasand&gt;=2treatments,4thnextpage.","language":"Malay","method":"ordinary_read_only_visual_144dpi","physical_page":70,"reviewed_at_utc":"2026-10-26T20:35:04.110070+00:00","semantic_note":"Cancerin situ/borderline/potensi malignan excluded—LOWqualifiernotvisiblehere unlikeEnglishp25,confirmed216dpi. Prostate/thyroid/bladderT1N0M0;CLL&lt;RAI3/HIV/nonmelanomaskin excluded. CardiomyopathyNYHAIII+echopermanentnotalcoholdrugs. Marrowfailureall3cytopeniasand&gt;=2treatments,4thnextpage.","semantic_read":true,"task_id":"B25-MY-024"},"physical_page":70,"task_id":"B25-MY-024"}</t>
  </si>
  <si>
    <t xml:space="preserve">qa-b25-full-review-20261026/issues-and-clarifications.json#/frozen_execution_correction_history/136</t>
  </si>
  <si>
    <t xml:space="preserve">independent-qa.json#/batches/B25/documents/issues-and-clarifications.json/frozen_execution_correction_history/136</t>
  </si>
  <si>
    <t xml:space="preserve">714908230e8277bb9487bd1a256442c2d62ed9a2cba750acecc1326e505062cd</t>
  </si>
  <si>
    <t xml:space="preserve">{"artifact":"page_proof","full_metadata_row":{"clarification":"216dpi confirms sourceinstitution ATAU(OR) abilitytracebloodorigin; English p29 AND differs.","component":"SWP007 5.17–5.20","confirmed_at_utc":"2026-10-26T20:47:26.980598+00:00","correction_basis":"Paired English/Malay216dpi ordinary visual reread; all other surrounding conditions retained. No priority/replacement clause observed.","display_sha256":"d856a62daf77c828885dc965f233f4d6efebbc6ff8cdabc4015178fa4608de49","initial_note_before_zoom_confirmation":"HeartattackTroponinT/I&gt;=0.5ngml/CPKMB,doctorconfirmation,ACS/proceduremarkersout. Valveactualopenheartnotcatheter/keyhole. HIV ALLmednecessary/MYorSGafterstart/nonhemophilia/nonhighrisk; sourceinstitution OR(atau)institutiontracesblood differsEnglishp29AND,216pending. Kidneysbothirreversible dialysis/transplant.","language":"Malay","method":"ordinary_read_only_visual_144dpi","physical_page":73,"reviewed_at_utc":"2026-10-26T20:35:42.523560+00:00","semantic_note":"HeartattackTroponinT/I&gt;=0.5ngml/CPKMB,doctorconfirmation,ACS/proceduremarkersout. Valveactualopenheartnotcatheter/keyhole. HIV ALLmednecessary/MYorSGafterstart/nonhemophilia/nonhighrisk; sourceinstitution OR(atau)institutiontracesblood differsEnglishp29AND,confirmed216dpi. Kidneysbothirreversible dialysis/transplant.","semantic_read":true,"task_id":"B25-MY-024"},"physical_page":73,"task_id":"B25-MY-024"}</t>
  </si>
  <si>
    <t xml:space="preserve">qa-b25-full-review-20261026/issues-and-clarifications.json#/frozen_execution_correction_history/137</t>
  </si>
  <si>
    <t xml:space="preserve">independent-qa.json#/batches/B25/documents/issues-and-clarifications.json/frozen_execution_correction_history/137</t>
  </si>
  <si>
    <t xml:space="preserve">881c24646f82202e9cf66de800d8ba84204ff306c4ce36dd2a8156a924a13a92</t>
  </si>
  <si>
    <t xml:space="preserve">{"artifact":"page_proof","full_metadata_row":{"clarification":"216dpi confirms minimum12years hari lahir terakhir (lastbirthday), versus English p30 nextbirthday.","component":"SWP007 5.27–5.31","confirmed_at_utc":"2026-10-26T20:47:26.980604+00:00","correction_basis":"Paired English/Malay216dpi ordinary visual reread; all other surrounding conditions retained. No priority/replacement clause observed.","display_sha256":"57c06bd33e8e177325df238ea088796dc2ae7eb2133db092e879776b460d2583","initial_note_before_zoom_confirmation":"MSALLtests/motorANDsensory6months/historyremissionexacerbation. Dystrophyallweakness/nosensory/EMGbiopsy; minimum12LASTbirthday(hari terakhir) vsEnglishnextp30,216pending. Paralysis2limbs6months. Parkinsonidiopathicuncontrolledprogressive3ADLnotdrugtoxin. PrimarypulmonaryHTNrightventricleenlargecatheterNYHAIII+.","language":"Malay","method":"ordinary_read_only_visual_144dpi","physical_page":75,"reviewed_at_utc":"2026-10-26T20:35:42.524038+00:00","semantic_note":"MSALLtests/motorANDsensory6months/historyremissionexacerbation. Dystrophyallweakness/nosensory/EMGbiopsy; minimum12LASTbirthday(hari terakhir) vsEnglishnextp30,confirmed216dpi. Paralysis2limbs6months. Parkinsonidiopathicuncontrolledprogressive3ADLnotdrugtoxin. PrimarypulmonaryHTNrightventricleenlargecatheterNYHAIII+.","semantic_read":true,"task_id":"B25-MY-024"},"physical_page":75,"task_id":"B25-MY-024"}</t>
  </si>
  <si>
    <t xml:space="preserve">qa-b25-full-review-20261026/issues-and-clarifications.json#/frozen_execution_correction_history/138</t>
  </si>
  <si>
    <t xml:space="preserve">independent-qa.json#/batches/B25/documents/issues-and-clarifications.json/frozen_execution_correction_history/138</t>
  </si>
  <si>
    <t xml:space="preserve">2204253734409d63797d5f801e9c9cd3154e0c5c2411399ae4484b95d5792d6b</t>
  </si>
  <si>
    <t xml:space="preserve">{"artifact":"result","complete_correction_and_clarification_fields":{"clarifications":[{"clarification":"Initialpage18 note overstated incorporationofbaseTPDexclusions intoaccTPD. SWP009 referencesSWP004 only, notSWP006; correction preserved with originalnote.","correction_basis":"216dpi SWP0092.1 physical34/80 and SWP004limitedapplication17/60.","physical_pages":[18,34,80]},{"clarification":"Englishnominee28/restoration26/fund24 crossreferences are boundedmisnumbering; unique actualnominee27/restoration25/fund23 and Malaycorrectreferences identify targets. Not missingcomponents or alternate clauses.","correction_basis":"Fullstructure plus enlarged10/13/15/48/53/56/58.","physical_pages":[6,10,13,15,48,53,56,58]},{"clarification":"Monthly65benefiteligibility is not extended by generalannual65termination; MalaypublicTPD1.4explicitmonthlytermination is consistentwithEnglish1.2eligibility. SpecificpublicTPDresidualdeathrule qualifiesgeneralTPDtermination, not automaticcontradiction.","correction_basis":"216dpi respective eligibility andtermination/residual clauses.","physical_pages":[12,19,20,21,33,34,41,64,65,78,80,88,89]},{"clarification":"GeneralCIHIVexclusion and specificallynamedtransfusionHIVcondition are read together; no findingthattransfusioncovernecessarilyimpossible. F2 remains a separate AND/OR evidence difference.","correction_basis":"216dpi generalexclusions and condition5.19.","physical_pages":[22,28,29,66,73]},{"clarification":"EnglishSIDdirectlyasresult versusMalayakibat(due) preserved as drafting nuance; SWP004nonlistedcausesexclusion remains, so no automatic broadindirectcoverage/strictblock from this phrase alone.","correction_basis":"216dpi fullbenefitandincorporatedexclusions.","physical_pages":[36,37,82,84]},{"clarification":"Directclaimsexpensequalifier is present in BOTHlanguages; nofundexpensebilingualfinding.","correction_basis":"216dpi secara langsung and directclaimsrelated.","physical_pages":[14,57]},{"clarification":"EnglishCI2.1duplicatebenefitpromise, MalaySWP009/011subsectionnumbering and SWP0131.1kematian(death) are boundededitorialerrors. SWP013opening/heading/1.2 unequivocallyTPD; do not inventextra deathcondition.","correction_basis":"216dpi contextual clauses.","physical_pages":[22,66,80,84,88]},{"clarification":"Initialpending216confirmation notes preserved; pairedenlargement confirmed F1–F3, ratherthan silentlyreplacingnotes.","correction_basis":"Pageproof initial_note_before_zoom_confirmation/clarification/correction_basis/confirmed_at_utc fields.","physical_pages":[70,73,75]},{"clarification":"Contentspageoffsets and someheading/subclausenumbers do not denote missingannexures; English1–41/Malay1–46 existingpages and allSWP001–013headings are present. Repeateddebt/prioracceleratedoffset clauses are not evidenceofdoubledebtcollection.","correction_basis":"All89pages independentlyread and componentmap checked.","physical_pages":[2,34,36,37,39,41,44,80,84]}],"correction_basis":["All89existingpages read semantically;66targeted216dpi confirmations. Initialpage18overstatement withdrawn explicitly andinitialpendingF1–F3notes retained. No source text changed."],"prior_task_id":"B18-MY-015"},"task_id":"B25-MY-024"}</t>
  </si>
  <si>
    <t xml:space="preserve">qa-b25-full-review-20261026/issues-and-clarifications.json#/frozen_execution_correction_history/139</t>
  </si>
  <si>
    <t xml:space="preserve">independent-qa.json#/batches/B25/documents/issues-and-clarifications.json/frozen_execution_correction_history/139</t>
  </si>
  <si>
    <t xml:space="preserve">42649a0baa701bfdb636bd4097abebb2c0928f6f8044668d92461a71bd8934e5</t>
  </si>
  <si>
    <t xml:space="preserve">{"accepted":"Execution F4 VALID versus changed is withdrawn: prior independent216dpi read confirms English VARIED matching Malay berubah. This aggregation only repairs provenance snapshot, not new original-page reading or a new substantive claim.","additional_physical_pages":0,"additional_zoom_confirmations":0,"aggregation_only":true,"cause":"Wrong source finding-array key produced an empty historical snapshot; not absence of an execution F4.","correct_source_array":"substantive_findings","correct_source_finding_id":"B25-011-F4","existing_independent_correction":{"id":"QA-011-C1","independent_216dpi_confirmation":"EN7 clause3.2 says before the certificate of takaful is VARIED, not VALID. MS27 sebelum sijil takaful berubah is before certificate changed; both3.3 also before variation. Execution F4 and zoom assertion are withdrawn, as is the claim no semantic reversal was required insofar as it includes this error. Frozen execution unchanged; independent material findings F1–F3 remain.","original_execution_correction_basis":"No semantic reversal required after22 targeted216dpi checks. Boundedcode/paginationandgeneral-versus-specificclarifications preserveoriginalwording;proposalsnotcurrentlegalinterpretations.","original_execution_finding":[],"original_execution_page27_note":"3.2beforecertificatechanged(berubah) versusEnglishbeforevalid","original_execution_zoom":"physical7: 3.2beforecertificateVALID,3.3beforevaried;IFSA Schedule9.","pages":[7,27],"type":"execution_false_positive_withdrawal"},"original_execution_finding":[{"disposition":"retainliteraltriggerdifference without currentlegalremedyopinion.","finding_id":"B25-011-F4","observation":"SRE0033.2Englishquestionsbeforecertificatevalid;Malaybeforecertificatechanged(berubah). Both3.3separatelyaddressupdatesbeforevariation.","pages":[7,27],"severity":"bilingual_disclosure_trigger_difference"}],"original_qa_field":"metadata_corrections[0].original_execution_finding","original_qa_result":{"bytes":13054,"path":"independent-qa.json#/batches/B25/documents/group1~1011-result.json","sha256":"a400cfd84bca2debd1f217e00bdbb5a5d5a3b75bedd0ffef4773f7cd94493289"},"original_qa_snapshot":[],"source_and_single_qa_files_unchanged":true,"source_execution_result":{"bytes":9159,"path":"execution-evidence.json#/batches/B25/documents/group1~1011-result.json","sha256":"6d81f2f6f895cf5ca121927ccfa12efc99a2b3590145cef3201026b831d0200c"},"task_id":"B25-MY-011"}</t>
  </si>
  <si>
    <t xml:space="preserve">qa-b25-full-review-20261026/issues-and-clarifications.json#/group1_011_F4_exact_snapshot_supplement</t>
  </si>
  <si>
    <t xml:space="preserve">independent-qa.json#/batches/B25/documents/issues-and-clarifications.json/group1_011_F4_exact_snapshot_supplement</t>
  </si>
  <si>
    <t xml:space="preserve">26ba5da8dc6a813f586a8ea73d9036e555c87996c3c129543c91dc37e49fed07</t>
  </si>
  <si>
    <t xml:space="preserve">qa-b25-full-review-20261026/issues-and-clarifications.json#/group1_issue_history/all_preserved_execution_findings_are_historical_not_blanket_accepted</t>
  </si>
  <si>
    <t xml:space="preserve">independent-qa.json#/batches/B25/documents/issues-and-clarifications.json/group1_issue_history/all_preserved_execution_findings_are_historical_not_blanket_accepted</t>
  </si>
  <si>
    <t xml:space="preserve">{"final_qa_result":{"bytes":22909,"path":"independent-qa.json#/batches/B25/documents/group1~1006-result.json","sha256":"c47ca88dc5f40cd9b0cffc5f3e261a7ba302e945181e59a151ac66d02765c9fb"},"final_status":"verified","history":[{"bytes":14862,"path":"independent-qa.json#/batches/B25/documents/group1~1006-result-initial-before-formula-reconsideration.json","sha256":"43b8f2df684eae716297481f9d3dc6db824f078ab7fb7a9c0d6b26425f1332a1"},{"bytes":19335,"path":"independent-qa.json#/batches/B25/documents/group1~1006-result-before-acceptance-boundary-correction.json","sha256":"c416b7f91b6f1286a4685e71898a502738d4e89f6bcf8fcca9e57b05ef53c36d"},{"bytes":6708,"path":"independent-qa.json#/batches/B25/documents/group1~1006-formula-reconsideration.json","sha256":"b6bcbea972640b7eb9058dd5434d22c3530a0b18efe21dcbe2a771461e3e0c6c"},{"bytes":1762,"path":"independent-qa.json#/batches/B25/documents/group1~1006-formula-reconsideration-cleanup.json","sha256":"9bdda32536b5a4141b2ae5ebc1661bac807d39c1e422dae5bd3877bb754b8b33"},{"bytes":2701,"path":"independent-qa.json#/batches/B25/documents/group1~1006-acceptance-boundary-correction.json","sha256":"4e61534fa455f17824f9cefc4e1092830816eac46f405531a1764094975259bd"}],"precedence":"Final006-result plus QA-006-M2 supersede intermediate strict-veto inference; literal algebra and prior history retained. No earlierhistory classification is an additional active issue."}</t>
  </si>
  <si>
    <t xml:space="preserve">qa-b25-full-review-20261026/issues-and-clarifications.json#/group1_issue_history/classification006</t>
  </si>
  <si>
    <t xml:space="preserve">independent-qa.json#/batches/B25/documents/issues-and-clarifications.json/group1_issue_history/classification006</t>
  </si>
  <si>
    <t xml:space="preserve">4ae096aa40f82c364ef7a99cf52fe017102535d3de5a8a345a45fbb133663690</t>
  </si>
  <si>
    <t xml:space="preserve">{"final_status":"needs_review","independent_findings":[{"finding":"PA010/PA011 third-party reduction EN amount payable versus MS amount already paid; material textual measure difference, no actual payout inferred.","id":"QA-002-F1","pages":[41,42,67,68]},{"finding":"2019 PA00316.3 EN other direct claims related expenses; MS other related expenses lacks direct-claims qualifier; preserve expense-scope difference, no actual extra debit inferred.","id":"QA-002-F2","pages":[1,3]},{"finding":"OFS PA013 reference mismatch with present PA012 important notice; bounded numeric defect, not missing benefit annexure.","id":"QA-002-C1","pages":[17,18,21,43,45,69]},{"finding":"EN names boxing; MS omits named item while broad hazardous/unlisted exclusion remains; no covered-boxing inference.","id":"QA-002-C2","pages":[33,59]}],"metadata_corrections":[{"corrected":"Both EN PA0091.4 p39 and MS p65 expressly say once each certificate year and no more than one claim per accidental event. No frequency language difference exists.","field":"clarifications[3].observation; correction-register repeated field; page39 note omission","independent_confirmation":"216dpi ordinary read-only visual p39 and65; English once every certificate year visible.","original":"Malay brokenbones1.4 explicitly once/year,English says payable everyyear &lt;=1claim/event. Both schedule a fixed annual benefit and annual reinstatement;no unsupported assertion of different total payout.","source_unchanged":true,"withdrawn_inference":"Any suggestion that only Malay expressly states once per year."}],"source_and_single_file_metadata_preserved":true,"strict_basis":"69/69 independently semantically read. Existing rider payable versus already-paid deduction remains unresolved; additional2019 fund-expense qualifier difference. No language-priority clause found. Personal certificate/current adoption not independent veto.","task_id":"B25-MY-002"}</t>
  </si>
  <si>
    <t xml:space="preserve">qa-b25-full-review-20261026/issues-and-clarifications.json#/group1_issue_history/files/0</t>
  </si>
  <si>
    <t xml:space="preserve">independent-qa.json#/batches/B25/documents/issues-and-clarifications.json/group1_issue_history/files/0</t>
  </si>
  <si>
    <t xml:space="preserve">0df2c4e8a231f046e0d38f57ea6bbe5c52730276d2fd1d702001bda3bb1416c7</t>
  </si>
  <si>
    <t xml:space="preserve">qa-b25-full-review-20261026/issues-and-clarifications.json#/group1_issue_history/files/1/final_status</t>
  </si>
  <si>
    <t xml:space="preserve">independent-qa.json#/batches/B25/documents/issues-and-clarifications.json/group1_issue_history/files/1/final_status</t>
  </si>
  <si>
    <t xml:space="preserve">qa-b25-full-review-20261026/issues-and-clarifications.json#/group1_issue_history/files/1/independent_findings/0</t>
  </si>
  <si>
    <t xml:space="preserve">independent-qa.json#/batches/B25/documents/issues-and-clarifications.json/group1_issue_history/files/1/independent_findings/0</t>
  </si>
  <si>
    <t xml:space="preserve">qa-b25-full-review-20261026/issues-and-clarifications.json#/group1_issue_history/files/1/independent_findings/1</t>
  </si>
  <si>
    <t xml:space="preserve">independent-qa.json#/batches/B25/documents/issues-and-clarifications.json/group1_issue_history/files/1/independent_findings/1</t>
  </si>
  <si>
    <t xml:space="preserve">qa-b25-full-review-20261026/issues-and-clarifications.json#/group1_issue_history/files/1/independent_findings/2</t>
  </si>
  <si>
    <t xml:space="preserve">independent-qa.json#/batches/B25/documents/issues-and-clarifications.json/group1_issue_history/files/1/independent_findings/2</t>
  </si>
  <si>
    <t xml:space="preserve">qa-b25-full-review-20261026/issues-and-clarifications.json#/group1_issue_history/files/1/independent_findings/3</t>
  </si>
  <si>
    <t xml:space="preserve">independent-qa.json#/batches/B25/documents/issues-and-clarifications.json/group1_issue_history/files/1/independent_findings/3</t>
  </si>
  <si>
    <t xml:space="preserve">qa-b25-full-review-20261026/issues-and-clarifications.json#/group1_issue_history/files/1/independent_findings/4</t>
  </si>
  <si>
    <t xml:space="preserve">independent-qa.json#/batches/B25/documents/issues-and-clarifications.json/group1_issue_history/files/1/independent_findings/4</t>
  </si>
  <si>
    <t xml:space="preserve">qa-b25-full-review-20261026/issues-and-clarifications.json#/group1_issue_history/files/1/independent_findings/5</t>
  </si>
  <si>
    <t xml:space="preserve">independent-qa.json#/batches/B25/documents/issues-and-clarifications.json/group1_issue_history/files/1/independent_findings/5</t>
  </si>
  <si>
    <t xml:space="preserve">qa-b25-full-review-20261026/issues-and-clarifications.json#/group1_issue_history/files/1/independent_findings/6</t>
  </si>
  <si>
    <t xml:space="preserve">independent-qa.json#/batches/B25/documents/issues-and-clarifications.json/group1_issue_history/files/1/independent_findings/6</t>
  </si>
  <si>
    <t xml:space="preserve">qa-b25-full-review-20261026/issues-and-clarifications.json#/group1_issue_history/files/1/independent_findings/7</t>
  </si>
  <si>
    <t xml:space="preserve">independent-qa.json#/batches/B25/documents/issues-and-clarifications.json/group1_issue_history/files/1/independent_findings/7</t>
  </si>
  <si>
    <t xml:space="preserve">qa-b25-full-review-20261026/issues-and-clarifications.json#/group1_issue_history/files/1/metadata_corrections/0</t>
  </si>
  <si>
    <t xml:space="preserve">independent-qa.json#/batches/B25/documents/issues-and-clarifications.json/group1_issue_history/files/1/metadata_corrections/0</t>
  </si>
  <si>
    <t xml:space="preserve">qa-b25-full-review-20261026/issues-and-clarifications.json#/group1_issue_history/files/1/metadata_corrections/1</t>
  </si>
  <si>
    <t xml:space="preserve">independent-qa.json#/batches/B25/documents/issues-and-clarifications.json/group1_issue_history/files/1/metadata_corrections/1</t>
  </si>
  <si>
    <t xml:space="preserve">qa-b25-full-review-20261026/issues-and-clarifications.json#/group1_issue_history/files/1/source_and_single_file_metadata_preserved</t>
  </si>
  <si>
    <t xml:space="preserve">independent-qa.json#/batches/B25/documents/issues-and-clarifications.json/group1_issue_history/files/1/source_and_single_file_metadata_preserved</t>
  </si>
  <si>
    <t xml:space="preserve">qa-b25-full-review-20261026/issues-and-clarifications.json#/group1_issue_history/files/1/strict_basis</t>
  </si>
  <si>
    <t xml:space="preserve">independent-qa.json#/batches/B25/documents/issues-and-clarifications.json/group1_issue_history/files/1/strict_basis</t>
  </si>
  <si>
    <t xml:space="preserve">qa-b25-full-review-20261026/issues-and-clarifications.json#/group1_issue_history/files/1/task_id</t>
  </si>
  <si>
    <t xml:space="preserve">independent-qa.json#/batches/B25/documents/issues-and-clarifications.json/group1_issue_history/files/1/task_id</t>
  </si>
  <si>
    <t xml:space="preserve">qa-b25-full-review-20261026/issues-and-clarifications.json#/group1_issue_history/files/2/final_status</t>
  </si>
  <si>
    <t xml:space="preserve">independent-qa.json#/batches/B25/documents/issues-and-clarifications.json/group1_issue_history/files/2/final_status</t>
  </si>
  <si>
    <t xml:space="preserve">qa-b25-full-review-20261026/issues-and-clarifications.json#/group1_issue_history/files/2/independent_findings/0</t>
  </si>
  <si>
    <t xml:space="preserve">independent-qa.json#/batches/B25/documents/issues-and-clarifications.json/group1_issue_history/files/2/independent_findings/0</t>
  </si>
  <si>
    <t xml:space="preserve">qa-b25-full-review-20261026/issues-and-clarifications.json#/group1_issue_history/files/2/independent_findings/1</t>
  </si>
  <si>
    <t xml:space="preserve">independent-qa.json#/batches/B25/documents/issues-and-clarifications.json/group1_issue_history/files/2/independent_findings/1</t>
  </si>
  <si>
    <t xml:space="preserve">qa-b25-full-review-20261026/issues-and-clarifications.json#/group1_issue_history/files/2/independent_findings/2</t>
  </si>
  <si>
    <t xml:space="preserve">independent-qa.json#/batches/B25/documents/issues-and-clarifications.json/group1_issue_history/files/2/independent_findings/2</t>
  </si>
  <si>
    <t xml:space="preserve">qa-b25-full-review-20261026/issues-and-clarifications.json#/group1_issue_history/files/2/independent_findings/3</t>
  </si>
  <si>
    <t xml:space="preserve">independent-qa.json#/batches/B25/documents/issues-and-clarifications.json/group1_issue_history/files/2/independent_findings/3</t>
  </si>
  <si>
    <t xml:space="preserve">qa-b25-full-review-20261026/issues-and-clarifications.json#/group1_issue_history/files/2/independent_findings/4</t>
  </si>
  <si>
    <t xml:space="preserve">independent-qa.json#/batches/B25/documents/issues-and-clarifications.json/group1_issue_history/files/2/independent_findings/4</t>
  </si>
  <si>
    <t xml:space="preserve">qa-b25-full-review-20261026/issues-and-clarifications.json#/group1_issue_history/files/2/independent_findings/5</t>
  </si>
  <si>
    <t xml:space="preserve">independent-qa.json#/batches/B25/documents/issues-and-clarifications.json/group1_issue_history/files/2/independent_findings/5</t>
  </si>
  <si>
    <t xml:space="preserve">qa-b25-full-review-20261026/issues-and-clarifications.json#/group1_issue_history/files/2/independent_findings/6</t>
  </si>
  <si>
    <t xml:space="preserve">independent-qa.json#/batches/B25/documents/issues-and-clarifications.json/group1_issue_history/files/2/independent_findings/6</t>
  </si>
  <si>
    <t xml:space="preserve">qa-b25-full-review-20261026/issues-and-clarifications.json#/group1_issue_history/files/2/independent_findings/7</t>
  </si>
  <si>
    <t xml:space="preserve">independent-qa.json#/batches/B25/documents/issues-and-clarifications.json/group1_issue_history/files/2/independent_findings/7</t>
  </si>
  <si>
    <t xml:space="preserve">qa-b25-full-review-20261026/issues-and-clarifications.json#/group1_issue_history/files/2/independent_findings/8</t>
  </si>
  <si>
    <t xml:space="preserve">independent-qa.json#/batches/B25/documents/issues-and-clarifications.json/group1_issue_history/files/2/independent_findings/8</t>
  </si>
  <si>
    <t xml:space="preserve">qa-b25-full-review-20261026/issues-and-clarifications.json#/group1_issue_history/files/2/independent_findings/9</t>
  </si>
  <si>
    <t xml:space="preserve">independent-qa.json#/batches/B25/documents/issues-and-clarifications.json/group1_issue_history/files/2/independent_findings/9</t>
  </si>
  <si>
    <t xml:space="preserve">qa-b25-full-review-20261026/issues-and-clarifications.json#/group1_issue_history/files/2/metadata_corrections</t>
  </si>
  <si>
    <t xml:space="preserve">independent-qa.json#/batches/B25/documents/issues-and-clarifications.json/group1_issue_history/files/2/metadata_corrections</t>
  </si>
  <si>
    <t xml:space="preserve">qa-b25-full-review-20261026/issues-and-clarifications.json#/group1_issue_history/files/2/source_and_single_file_metadata_preserved</t>
  </si>
  <si>
    <t xml:space="preserve">independent-qa.json#/batches/B25/documents/issues-and-clarifications.json/group1_issue_history/files/2/source_and_single_file_metadata_preserved</t>
  </si>
  <si>
    <t xml:space="preserve">qa-b25-full-review-20261026/issues-and-clarifications.json#/group1_issue_history/files/2/strict_basis</t>
  </si>
  <si>
    <t xml:space="preserve">independent-qa.json#/batches/B25/documents/issues-and-clarifications.json/group1_issue_history/files/2/strict_basis</t>
  </si>
  <si>
    <t xml:space="preserve">qa-b25-full-review-20261026/issues-and-clarifications.json#/group1_issue_history/files/2/task_id</t>
  </si>
  <si>
    <t xml:space="preserve">independent-qa.json#/batches/B25/documents/issues-and-clarifications.json/group1_issue_history/files/2/task_id</t>
  </si>
  <si>
    <t xml:space="preserve">qa-b25-full-review-20261026/issues-and-clarifications.json#/group1_issue_history/files/3/final_status</t>
  </si>
  <si>
    <t xml:space="preserve">independent-qa.json#/batches/B25/documents/issues-and-clarifications.json/group1_issue_history/files/3/final_status</t>
  </si>
  <si>
    <t xml:space="preserve">qa-b25-full-review-20261026/issues-and-clarifications.json#/group1_issue_history/files/3/independent_findings</t>
  </si>
  <si>
    <t xml:space="preserve">independent-qa.json#/batches/B25/documents/issues-and-clarifications.json/group1_issue_history/files/3/independent_findings</t>
  </si>
  <si>
    <t xml:space="preserve">qa-b25-full-review-20261026/issues-and-clarifications.json#/group1_issue_history/files/3/metadata_corrections</t>
  </si>
  <si>
    <t xml:space="preserve">independent-qa.json#/batches/B25/documents/issues-and-clarifications.json/group1_issue_history/files/3/metadata_corrections</t>
  </si>
  <si>
    <t xml:space="preserve">qa-b25-full-review-20261026/issues-and-clarifications.json#/group1_issue_history/files/3/source_and_single_file_metadata_preserved</t>
  </si>
  <si>
    <t xml:space="preserve">independent-qa.json#/batches/B25/documents/issues-and-clarifications.json/group1_issue_history/files/3/source_and_single_file_metadata_preserved</t>
  </si>
  <si>
    <t xml:space="preserve">qa-b25-full-review-20261026/issues-and-clarifications.json#/group1_issue_history/files/3/strict_basis</t>
  </si>
  <si>
    <t xml:space="preserve">independent-qa.json#/batches/B25/documents/issues-and-clarifications.json/group1_issue_history/files/3/strict_basis</t>
  </si>
  <si>
    <t xml:space="preserve">qa-b25-full-review-20261026/issues-and-clarifications.json#/group1_issue_history/files/3/task_id</t>
  </si>
  <si>
    <t xml:space="preserve">independent-qa.json#/batches/B25/documents/issues-and-clarifications.json/group1_issue_history/files/3/task_id</t>
  </si>
  <si>
    <t xml:space="preserve">qa-b25-full-review-20261026/issues-and-clarifications.json#/group1_issue_history/files/4/final_status</t>
  </si>
  <si>
    <t xml:space="preserve">independent-qa.json#/batches/B25/documents/issues-and-clarifications.json/group1_issue_history/files/4/final_status</t>
  </si>
  <si>
    <t xml:space="preserve">qa-b25-full-review-20261026/issues-and-clarifications.json#/group1_issue_history/files/4/independent_findings/0</t>
  </si>
  <si>
    <t xml:space="preserve">independent-qa.json#/batches/B25/documents/issues-and-clarifications.json/group1_issue_history/files/4/independent_findings/0</t>
  </si>
  <si>
    <t xml:space="preserve">qa-b25-full-review-20261026/issues-and-clarifications.json#/group1_issue_history/files/4/independent_findings/1</t>
  </si>
  <si>
    <t xml:space="preserve">independent-qa.json#/batches/B25/documents/issues-and-clarifications.json/group1_issue_history/files/4/independent_findings/1</t>
  </si>
  <si>
    <t xml:space="preserve">qa-b25-full-review-20261026/issues-and-clarifications.json#/group1_issue_history/files/4/independent_findings/2</t>
  </si>
  <si>
    <t xml:space="preserve">independent-qa.json#/batches/B25/documents/issues-and-clarifications.json/group1_issue_history/files/4/independent_findings/2</t>
  </si>
  <si>
    <t xml:space="preserve">qa-b25-full-review-20261026/issues-and-clarifications.json#/group1_issue_history/files/4/independent_findings/3</t>
  </si>
  <si>
    <t xml:space="preserve">independent-qa.json#/batches/B25/documents/issues-and-clarifications.json/group1_issue_history/files/4/independent_findings/3</t>
  </si>
  <si>
    <t xml:space="preserve">qa-b25-full-review-20261026/issues-and-clarifications.json#/group1_issue_history/files/4/independent_findings/4</t>
  </si>
  <si>
    <t xml:space="preserve">independent-qa.json#/batches/B25/documents/issues-and-clarifications.json/group1_issue_history/files/4/independent_findings/4</t>
  </si>
  <si>
    <t xml:space="preserve">qa-b25-full-review-20261026/issues-and-clarifications.json#/group1_issue_history/files/4/independent_findings/5</t>
  </si>
  <si>
    <t xml:space="preserve">independent-qa.json#/batches/B25/documents/issues-and-clarifications.json/group1_issue_history/files/4/independent_findings/5</t>
  </si>
  <si>
    <t xml:space="preserve">qa-b25-full-review-20261026/issues-and-clarifications.json#/group1_issue_history/files/4/independent_findings/6</t>
  </si>
  <si>
    <t xml:space="preserve">independent-qa.json#/batches/B25/documents/issues-and-clarifications.json/group1_issue_history/files/4/independent_findings/6</t>
  </si>
  <si>
    <t xml:space="preserve">qa-b25-full-review-20261026/issues-and-clarifications.json#/group1_issue_history/files/4/independent_findings/7</t>
  </si>
  <si>
    <t xml:space="preserve">independent-qa.json#/batches/B25/documents/issues-and-clarifications.json/group1_issue_history/files/4/independent_findings/7</t>
  </si>
  <si>
    <t xml:space="preserve">qa-b25-full-review-20261026/issues-and-clarifications.json#/group1_issue_history/files/4/independent_findings/8</t>
  </si>
  <si>
    <t xml:space="preserve">independent-qa.json#/batches/B25/documents/issues-and-clarifications.json/group1_issue_history/files/4/independent_findings/8</t>
  </si>
  <si>
    <t xml:space="preserve">qa-b25-full-review-20261026/issues-and-clarifications.json#/group1_issue_history/files/4/independent_findings/9</t>
  </si>
  <si>
    <t xml:space="preserve">independent-qa.json#/batches/B25/documents/issues-and-clarifications.json/group1_issue_history/files/4/independent_findings/9</t>
  </si>
  <si>
    <t xml:space="preserve">qa-b25-full-review-20261026/issues-and-clarifications.json#/group1_issue_history/files/4/metadata_corrections/0</t>
  </si>
  <si>
    <t xml:space="preserve">independent-qa.json#/batches/B25/documents/issues-and-clarifications.json/group1_issue_history/files/4/metadata_corrections/0</t>
  </si>
  <si>
    <t xml:space="preserve">qa-b25-full-review-20261026/issues-and-clarifications.json#/group1_issue_history/files/4/metadata_corrections/1</t>
  </si>
  <si>
    <t xml:space="preserve">independent-qa.json#/batches/B25/documents/issues-and-clarifications.json/group1_issue_history/files/4/metadata_corrections/1</t>
  </si>
  <si>
    <t xml:space="preserve">qa-b25-full-review-20261026/issues-and-clarifications.json#/group1_issue_history/files/4/source_and_single_file_metadata_preserved</t>
  </si>
  <si>
    <t xml:space="preserve">independent-qa.json#/batches/B25/documents/issues-and-clarifications.json/group1_issue_history/files/4/source_and_single_file_metadata_preserved</t>
  </si>
  <si>
    <t xml:space="preserve">qa-b25-full-review-20261026/issues-and-clarifications.json#/group1_issue_history/files/4/strict_basis</t>
  </si>
  <si>
    <t xml:space="preserve">independent-qa.json#/batches/B25/documents/issues-and-clarifications.json/group1_issue_history/files/4/strict_basis</t>
  </si>
  <si>
    <t xml:space="preserve">qa-b25-full-review-20261026/issues-and-clarifications.json#/group1_issue_history/files/4/task_id</t>
  </si>
  <si>
    <t xml:space="preserve">independent-qa.json#/batches/B25/documents/issues-and-clarifications.json/group1_issue_history/files/4/task_id</t>
  </si>
  <si>
    <t xml:space="preserve">qa-b25-full-review-20261026/issues-and-clarifications.json#/group1_issue_history/files/5/final_status</t>
  </si>
  <si>
    <t xml:space="preserve">independent-qa.json#/batches/B25/documents/issues-and-clarifications.json/group1_issue_history/files/5/final_status</t>
  </si>
  <si>
    <t xml:space="preserve">qa-b25-full-review-20261026/issues-and-clarifications.json#/group1_issue_history/files/5/independent_findings/0</t>
  </si>
  <si>
    <t xml:space="preserve">independent-qa.json#/batches/B25/documents/issues-and-clarifications.json/group1_issue_history/files/5/independent_findings/0</t>
  </si>
  <si>
    <t xml:space="preserve">qa-b25-full-review-20261026/issues-and-clarifications.json#/group1_issue_history/files/5/independent_findings/1</t>
  </si>
  <si>
    <t xml:space="preserve">independent-qa.json#/batches/B25/documents/issues-and-clarifications.json/group1_issue_history/files/5/independent_findings/1</t>
  </si>
  <si>
    <t xml:space="preserve">qa-b25-full-review-20261026/issues-and-clarifications.json#/group1_issue_history/files/5/independent_findings/2</t>
  </si>
  <si>
    <t xml:space="preserve">independent-qa.json#/batches/B25/documents/issues-and-clarifications.json/group1_issue_history/files/5/independent_findings/2</t>
  </si>
  <si>
    <t xml:space="preserve">qa-b25-full-review-20261026/issues-and-clarifications.json#/group1_issue_history/files/5/independent_findings/3</t>
  </si>
  <si>
    <t xml:space="preserve">independent-qa.json#/batches/B25/documents/issues-and-clarifications.json/group1_issue_history/files/5/independent_findings/3</t>
  </si>
  <si>
    <t xml:space="preserve">qa-b25-full-review-20261026/issues-and-clarifications.json#/group1_issue_history/files/5/independent_findings/4</t>
  </si>
  <si>
    <t xml:space="preserve">independent-qa.json#/batches/B25/documents/issues-and-clarifications.json/group1_issue_history/files/5/independent_findings/4</t>
  </si>
  <si>
    <t xml:space="preserve">qa-b25-full-review-20261026/issues-and-clarifications.json#/group1_issue_history/files/5/independent_findings/5</t>
  </si>
  <si>
    <t xml:space="preserve">independent-qa.json#/batches/B25/documents/issues-and-clarifications.json/group1_issue_history/files/5/independent_findings/5</t>
  </si>
  <si>
    <t xml:space="preserve">qa-b25-full-review-20261026/issues-and-clarifications.json#/group1_issue_history/files/5/independent_findings/6</t>
  </si>
  <si>
    <t xml:space="preserve">independent-qa.json#/batches/B25/documents/issues-and-clarifications.json/group1_issue_history/files/5/independent_findings/6</t>
  </si>
  <si>
    <t xml:space="preserve">qa-b25-full-review-20261026/issues-and-clarifications.json#/group1_issue_history/files/5/metadata_corrections</t>
  </si>
  <si>
    <t xml:space="preserve">independent-qa.json#/batches/B25/documents/issues-and-clarifications.json/group1_issue_history/files/5/metadata_corrections</t>
  </si>
  <si>
    <t xml:space="preserve">qa-b25-full-review-20261026/issues-and-clarifications.json#/group1_issue_history/files/5/source_and_single_file_metadata_preserved</t>
  </si>
  <si>
    <t xml:space="preserve">independent-qa.json#/batches/B25/documents/issues-and-clarifications.json/group1_issue_history/files/5/source_and_single_file_metadata_preserved</t>
  </si>
  <si>
    <t xml:space="preserve">qa-b25-full-review-20261026/issues-and-clarifications.json#/group1_issue_history/files/5/strict_basis</t>
  </si>
  <si>
    <t xml:space="preserve">independent-qa.json#/batches/B25/documents/issues-and-clarifications.json/group1_issue_history/files/5/strict_basis</t>
  </si>
  <si>
    <t xml:space="preserve">qa-b25-full-review-20261026/issues-and-clarifications.json#/group1_issue_history/files/5/task_id</t>
  </si>
  <si>
    <t xml:space="preserve">independent-qa.json#/batches/B25/documents/issues-and-clarifications.json/group1_issue_history/files/5/task_id</t>
  </si>
  <si>
    <t xml:space="preserve">qa-b25-full-review-20261026/issues-and-clarifications.json#/group1_issue_history/files/6/final_status</t>
  </si>
  <si>
    <t xml:space="preserve">independent-qa.json#/batches/B25/documents/issues-and-clarifications.json/group1_issue_history/files/6/final_status</t>
  </si>
  <si>
    <t xml:space="preserve">qa-b25-full-review-20261026/issues-and-clarifications.json#/group1_issue_history/files/6/independent_findings</t>
  </si>
  <si>
    <t xml:space="preserve">independent-qa.json#/batches/B25/documents/issues-and-clarifications.json/group1_issue_history/files/6/independent_findings</t>
  </si>
  <si>
    <t xml:space="preserve">qa-b25-full-review-20261026/issues-and-clarifications.json#/group1_issue_history/files/6/metadata_corrections/0/accepted</t>
  </si>
  <si>
    <t xml:space="preserve">independent-qa.json#/batches/B25/documents/issues-and-clarifications.json/group1_issue_history/files/6/metadata_corrections/0/accepted</t>
  </si>
  <si>
    <t xml:space="preserve">qa-b25-full-review-20261026/issues-and-clarifications.json#/group1_issue_history/files/6/metadata_corrections/0/id</t>
  </si>
  <si>
    <t xml:space="preserve">independent-qa.json#/batches/B25/documents/issues-and-clarifications.json/group1_issue_history/files/6/metadata_corrections/0/id</t>
  </si>
  <si>
    <t xml:space="preserve">qa-b25-full-review-20261026/issues-and-clarifications.json#/group1_issue_history/files/6/metadata_corrections/0/original_execution_rows/0</t>
  </si>
  <si>
    <t xml:space="preserve">independent-qa.json#/batches/B25/documents/issues-and-clarifications.json/group1_issue_history/files/6/metadata_corrections/0/original_execution_rows/0</t>
  </si>
  <si>
    <t xml:space="preserve">qa-b25-full-review-20261026/issues-and-clarifications.json#/group1_issue_history/files/6/metadata_corrections/0/original_execution_rows/1</t>
  </si>
  <si>
    <t xml:space="preserve">independent-qa.json#/batches/B25/documents/issues-and-clarifications.json/group1_issue_history/files/6/metadata_corrections/0/original_execution_rows/1</t>
  </si>
  <si>
    <t xml:space="preserve">qa-b25-full-review-20261026/issues-and-clarifications.json#/group1_issue_history/files/6/metadata_corrections/0/original_execution_rows/2</t>
  </si>
  <si>
    <t xml:space="preserve">independent-qa.json#/batches/B25/documents/issues-and-clarifications.json/group1_issue_history/files/6/metadata_corrections/0/original_execution_rows/2</t>
  </si>
  <si>
    <t xml:space="preserve">qa-b25-full-review-20261026/issues-and-clarifications.json#/group1_issue_history/files/6/metadata_corrections/0/pages</t>
  </si>
  <si>
    <t xml:space="preserve">independent-qa.json#/batches/B25/documents/issues-and-clarifications.json/group1_issue_history/files/6/metadata_corrections/0/pages</t>
  </si>
  <si>
    <t xml:space="preserve">qa-b25-full-review-20261026/issues-and-clarifications.json#/group1_issue_history/files/6/metadata_corrections/0/type</t>
  </si>
  <si>
    <t xml:space="preserve">independent-qa.json#/batches/B25/documents/issues-and-clarifications.json/group1_issue_history/files/6/metadata_corrections/0/type</t>
  </si>
  <si>
    <t xml:space="preserve">qa-b25-full-review-20261026/issues-and-clarifications.json#/group1_issue_history/files/6/metadata_corrections/1</t>
  </si>
  <si>
    <t xml:space="preserve">independent-qa.json#/batches/B25/documents/issues-and-clarifications.json/group1_issue_history/files/6/metadata_corrections/1</t>
  </si>
  <si>
    <t xml:space="preserve">qa-b25-full-review-20261026/issues-and-clarifications.json#/group1_issue_history/files/6/metadata_corrections/2</t>
  </si>
  <si>
    <t xml:space="preserve">independent-qa.json#/batches/B25/documents/issues-and-clarifications.json/group1_issue_history/files/6/metadata_corrections/2</t>
  </si>
  <si>
    <t xml:space="preserve">qa-b25-full-review-20261026/issues-and-clarifications.json#/group1_issue_history/files/6/source_and_single_file_metadata_preserved</t>
  </si>
  <si>
    <t xml:space="preserve">independent-qa.json#/batches/B25/documents/issues-and-clarifications.json/group1_issue_history/files/6/source_and_single_file_metadata_preserved</t>
  </si>
  <si>
    <t xml:space="preserve">qa-b25-full-review-20261026/issues-and-clarifications.json#/group1_issue_history/files/6/strict_basis</t>
  </si>
  <si>
    <t xml:space="preserve">independent-qa.json#/batches/B25/documents/issues-and-clarifications.json/group1_issue_history/files/6/strict_basis</t>
  </si>
  <si>
    <t xml:space="preserve">qa-b25-full-review-20261026/issues-and-clarifications.json#/group1_issue_history/files/6/task_id</t>
  </si>
  <si>
    <t xml:space="preserve">independent-qa.json#/batches/B25/documents/issues-and-clarifications.json/group1_issue_history/files/6/task_id</t>
  </si>
  <si>
    <t xml:space="preserve">qa-b25-full-review-20261026/issues-and-clarifications.json#/group1_issue_history/files/7/final_status</t>
  </si>
  <si>
    <t xml:space="preserve">independent-qa.json#/batches/B25/documents/issues-and-clarifications.json/group1_issue_history/files/7/final_status</t>
  </si>
  <si>
    <t xml:space="preserve">qa-b25-full-review-20261026/issues-and-clarifications.json#/group1_issue_history/files/7/independent_findings/0</t>
  </si>
  <si>
    <t xml:space="preserve">independent-qa.json#/batches/B25/documents/issues-and-clarifications.json/group1_issue_history/files/7/independent_findings/0</t>
  </si>
  <si>
    <t xml:space="preserve">qa-b25-full-review-20261026/issues-and-clarifications.json#/group1_issue_history/files/7/independent_findings/1</t>
  </si>
  <si>
    <t xml:space="preserve">independent-qa.json#/batches/B25/documents/issues-and-clarifications.json/group1_issue_history/files/7/independent_findings/1</t>
  </si>
  <si>
    <t xml:space="preserve">qa-b25-full-review-20261026/issues-and-clarifications.json#/group1_issue_history/files/7/independent_findings/2</t>
  </si>
  <si>
    <t xml:space="preserve">independent-qa.json#/batches/B25/documents/issues-and-clarifications.json/group1_issue_history/files/7/independent_findings/2</t>
  </si>
  <si>
    <t xml:space="preserve">qa-b25-full-review-20261026/issues-and-clarifications.json#/group1_issue_history/files/7/independent_findings/3</t>
  </si>
  <si>
    <t xml:space="preserve">independent-qa.json#/batches/B25/documents/issues-and-clarifications.json/group1_issue_history/files/7/independent_findings/3</t>
  </si>
  <si>
    <t xml:space="preserve">qa-b25-full-review-20261026/issues-and-clarifications.json#/group1_issue_history/files/7/independent_findings/4</t>
  </si>
  <si>
    <t xml:space="preserve">independent-qa.json#/batches/B25/documents/issues-and-clarifications.json/group1_issue_history/files/7/independent_findings/4</t>
  </si>
  <si>
    <t xml:space="preserve">qa-b25-full-review-20261026/issues-and-clarifications.json#/group1_issue_history/files/7/independent_findings/5</t>
  </si>
  <si>
    <t xml:space="preserve">independent-qa.json#/batches/B25/documents/issues-and-clarifications.json/group1_issue_history/files/7/independent_findings/5</t>
  </si>
  <si>
    <t xml:space="preserve">qa-b25-full-review-20261026/issues-and-clarifications.json#/group1_issue_history/files/7/independent_findings/6</t>
  </si>
  <si>
    <t xml:space="preserve">independent-qa.json#/batches/B25/documents/issues-and-clarifications.json/group1_issue_history/files/7/independent_findings/6</t>
  </si>
  <si>
    <t xml:space="preserve">qa-b25-full-review-20261026/issues-and-clarifications.json#/group1_issue_history/files/7/metadata_corrections/0</t>
  </si>
  <si>
    <t xml:space="preserve">independent-qa.json#/batches/B25/documents/issues-and-clarifications.json/group1_issue_history/files/7/metadata_corrections/0</t>
  </si>
  <si>
    <t xml:space="preserve">qa-b25-full-review-20261026/issues-and-clarifications.json#/group1_issue_history/files/7/metadata_corrections/1</t>
  </si>
  <si>
    <t xml:space="preserve">independent-qa.json#/batches/B25/documents/issues-and-clarifications.json/group1_issue_history/files/7/metadata_corrections/1</t>
  </si>
  <si>
    <t xml:space="preserve">qa-b25-full-review-20261026/issues-and-clarifications.json#/group1_issue_history/files/7/metadata_corrections/2</t>
  </si>
  <si>
    <t xml:space="preserve">independent-qa.json#/batches/B25/documents/issues-and-clarifications.json/group1_issue_history/files/7/metadata_corrections/2</t>
  </si>
  <si>
    <t xml:space="preserve">qa-b25-full-review-20261026/issues-and-clarifications.json#/group1_issue_history/files/7/metadata_corrections/3</t>
  </si>
  <si>
    <t xml:space="preserve">independent-qa.json#/batches/B25/documents/issues-and-clarifications.json/group1_issue_history/files/7/metadata_corrections/3</t>
  </si>
  <si>
    <t xml:space="preserve">qa-b25-full-review-20261026/issues-and-clarifications.json#/group1_issue_history/files/7/metadata_corrections/4</t>
  </si>
  <si>
    <t xml:space="preserve">independent-qa.json#/batches/B25/documents/issues-and-clarifications.json/group1_issue_history/files/7/metadata_corrections/4</t>
  </si>
  <si>
    <t xml:space="preserve">qa-b25-full-review-20261026/issues-and-clarifications.json#/group1_issue_history/files/7/metadata_corrections/5</t>
  </si>
  <si>
    <t xml:space="preserve">independent-qa.json#/batches/B25/documents/issues-and-clarifications.json/group1_issue_history/files/7/metadata_corrections/5</t>
  </si>
  <si>
    <t xml:space="preserve">qa-b25-full-review-20261026/issues-and-clarifications.json#/group1_issue_history/files/7/metadata_corrections/6</t>
  </si>
  <si>
    <t xml:space="preserve">independent-qa.json#/batches/B25/documents/issues-and-clarifications.json/group1_issue_history/files/7/metadata_corrections/6</t>
  </si>
  <si>
    <t xml:space="preserve">qa-b25-full-review-20261026/issues-and-clarifications.json#/group1_issue_history/files/7/source_and_single_file_metadata_preserved</t>
  </si>
  <si>
    <t xml:space="preserve">independent-qa.json#/batches/B25/documents/issues-and-clarifications.json/group1_issue_history/files/7/source_and_single_file_metadata_preserved</t>
  </si>
  <si>
    <t xml:space="preserve">qa-b25-full-review-20261026/issues-and-clarifications.json#/group1_issue_history/files/7/strict_basis</t>
  </si>
  <si>
    <t xml:space="preserve">independent-qa.json#/batches/B25/documents/issues-and-clarifications.json/group1_issue_history/files/7/strict_basis</t>
  </si>
  <si>
    <t xml:space="preserve">qa-b25-full-review-20261026/issues-and-clarifications.json#/group1_issue_history/files/7/task_id</t>
  </si>
  <si>
    <t xml:space="preserve">independent-qa.json#/batches/B25/documents/issues-and-clarifications.json/group1_issue_history/files/7/task_id</t>
  </si>
  <si>
    <t xml:space="preserve">{"bytes":2644,"path":"independent-qa.json#/batches/B25/documents/group1-aggregate~1011-F4-empty-snapshot-supplement.json","sha256":"68fa888e8f0e5258f48ec480265bdcdb139b550cfd69a3e9b70ae90e8c8694e1"}</t>
  </si>
  <si>
    <t xml:space="preserve">qa-b25-full-review-20261026/issues-and-clarifications.json#/group1_issue_history/supplement011</t>
  </si>
  <si>
    <t xml:space="preserve">independent-qa.json#/batches/B25/documents/issues-and-clarifications.json/group1_issue_history/supplement011</t>
  </si>
  <si>
    <t xml:space="preserve">9a0c1da76c9cac5724958e3307e6af300621447082a7de586d99a67d88ba14a5</t>
  </si>
  <si>
    <t xml:space="preserve">[{"bytes":734,"path":"independent-qa.json#/batches/B25/documents/group2-005-additional-check.json","sha256":"76425c0a5f397e7a0f018496150e0262bd5577c9e49999c5dd362a64928ebf0f"},{"bytes":3218,"path":"independent-qa.json#/batches/B25/documents/group2-004-financial-scope-check.json","sha256":"eabb8bb60c18a3e2bc378eff866ff10f5b54ed44c8f1f0b9af0eb6b7f65b62e3"},{"bytes":1995,"path":"independent-qa.json#/batches/B25/documents/group2-019-independent-corrections.json","sha256":"a1ca2bb0a8c510f6f0f0e14bbde945700ef37c1e65aa94f543b55ead996bb2ea"},{"bytes":1200,"path":"independent-qa.json#/batches/B25/documents/group2-021-independent-corrections.json","sha256":"8bc8a00bce727c622ee43fe0a7ca2d69aa0dd11b7093393707e7bf15b8f2adb7"}]</t>
  </si>
  <si>
    <t xml:space="preserve">qa-b25-full-review-20261026/issues-and-clarifications.json#/group2_additional_correction_history/additional_evidence</t>
  </si>
  <si>
    <t xml:space="preserve">independent-qa.json#/batches/B25/documents/issues-and-clarifications.json/group2_additional_correction_history/additional_evidence</t>
  </si>
  <si>
    <t xml:space="preserve">0c14f7919019c09b98e1052e6bbf812d277def1e0204a4961c8686b15fbd4784</t>
  </si>
  <si>
    <t xml:space="preserve">[{"correct":"Both17year/month130362.75; MS326.75false. Applies to all repeating result, pageproof, zoom, correction-register and group-summary claims of this bilingualcellerror. English priority remains a contractfact but does not rescue a nonexistent error.","pages":[9,31],"task_id":"B25-MY-019"},{"correct":"Bothheadings145to180months; EN145to80false, withdrawn.","pages":[63,90],"task_id":"B25-MY-019"},{"correct":"TPD3.1(f)AIDS/relatedconditions not separatelynamedHIV. HIVexpress inadditionalaccidentdeath only; no broadercoverageclaim.","pages":[27,48,24,44],"task_id":"B25-MY-021"}]</t>
  </si>
  <si>
    <t xml:space="preserve">qa-b25-full-review-20261026/issues-and-clarifications.json#/group2_additional_correction_history/execution_claim_overrides</t>
  </si>
  <si>
    <t xml:space="preserve">independent-qa.json#/batches/B25/documents/issues-and-clarifications.json/group2_additional_correction_history/execution_claim_overrides</t>
  </si>
  <si>
    <t xml:space="preserve">19cdd05088b975ca4220f6440f0b314ef3b10a388570376a97807e8abd31bc80</t>
  </si>
  <si>
    <t xml:space="preserve">{"correction_basis":"Independent216dpi targeted original visual; no extraction/OCR; withdraw initial144dpi misreading; no operative bilingual conflict on this point.","display_sha256":"bcef04a9765da1ca53432f3c45fc1342d05e46c8f0b5c917921ce6d74d201097","independent_semantic_review":true,"method":"ordinary read-only visual display; no extraction or OCR","physical_page":35,"prior_qa_note_withdrawn":"MS old legal18 requires no action before2years, deleted2020;FATCA/tax;assignment21.1 not accepted unless registered but21.2 says Kami mempunyai sebarang tanggungjawab (positive responsibility) vs EN negative, target zoom needed;cash22 SR010 reference,2020 replaces.","reviewed_at_utc":"2026-10-26T20:46:10.235682+00:00","semantic_note":"MS35 high-resolution correction: assignment21.2 explicitly Kami tidak mempunyai sebarang tanggungjawab; negative matches English17. Initial missing-negative impression withdrawn. Cashvalue22 explicitly SR010;legal18 deleted2020.","task_id":"B25-MY-012"}</t>
  </si>
  <si>
    <t xml:space="preserve">qa-b25-full-review-20261026/issues-and-clarifications.json#/group2_additional_correction_history/independent_pageproof_correction_rows/0</t>
  </si>
  <si>
    <t xml:space="preserve">independent-qa.json#/batches/B25/documents/issues-and-clarifications.json/group2_additional_correction_history/independent_pageproof_correction_rows/0</t>
  </si>
  <si>
    <t xml:space="preserve">3875b95932ed877edd0934c6409a3b98d16f71886b98ce187f62cfc927ec5a45</t>
  </si>
  <si>
    <t xml:space="preserve">{"correction_basis":"Independent216dpi targeted original visual; no extraction/OCR; withdraw initial144dpi misreading; no operative bilingual conflict on this point.","display_sha256":"40cc9dc5ef774992af8662f22a7c0182889794c40c7077ff840498bd054197b5","independent_semantic_review":true,"method":"ordinary read-only visual display; no extraction or OCR","physical_page":40,"prior_qa_note_withdrawn":"MS TPD before monthly anniversary immediately after65,RM2maggregate;1.7 proportional residual future death from onset explicit;death beforeTPDpay deathonly;preexisting/AIDS/selfharm exclusions, EN immorality absent from MS sequence.","reviewed_at_utc":"2026-10-26T20:46:10.236398+00:00","semantic_note":"MS40 high-resolution correction: immorality expressly perbuatan tidak bermoral in2.1c; matchesEN22. Initial omission impression withdrawn. RM2m/65monthly boundary, proportionate residual death and death-beforeTPD deathonly confirmed.","task_id":"B25-MY-012"}</t>
  </si>
  <si>
    <t xml:space="preserve">qa-b25-full-review-20261026/issues-and-clarifications.json#/group2_additional_correction_history/independent_pageproof_correction_rows/1</t>
  </si>
  <si>
    <t xml:space="preserve">independent-qa.json#/batches/B25/documents/issues-and-clarifications.json/group2_additional_correction_history/independent_pageproof_correction_rows/1</t>
  </si>
  <si>
    <t xml:space="preserve">0eabcfd1a0c1ef4efe624ea58951b60405cc15d3631855503302f5d2bef78db1</t>
  </si>
  <si>
    <t xml:space="preserve">{"clarification":"216dpi confirms EN23 says is not gainfully employed, matching MS52 dan tidak bekerja. No bilingual scope mismatch; lower-resolution negative omission suspicion withdrawn.","correction_basis":"Independent enlarged ordinary visual review of physical23 and52, no OCR or extraction.","display_sha256":"659b970a0ed78b6eb0cc13d83301e8820864888703a5e6ee19d039c4ddd0d6bf","independent_semantic_review":true,"method":"ordinary read-only visual display; no extraction or OCR","physical_page":23,"prior_semantic_note":"Qardgeneral fund/snatchnonconsent/spouse/stepchild. Employed accidentalTPD180daysownor fittedotherjob/eye-limb alternatives. Under unemployed heading EN says age6+ and IS gainfully employed, not NOT; inconsistency to compare MS.","reviewed_at_utc":"2026-10-26T21:02:48.465426+00:00","semantic_note":"TPD employed test: permanent incapacity within180days for own/fitted other occupation or listed eye/limb losses at or above wrist/ankle. Unemployed limb explicitly says age6+ and NOT gainfully employed, or housewife, then three ADLs; Malay52 matches. Initial apparent IS-only reading withdrawn after216dpi.","task_id":"B25-MY-016"}</t>
  </si>
  <si>
    <t xml:space="preserve">qa-b25-full-review-20261026/issues-and-clarifications.json#/group2_additional_correction_history/independent_pageproof_correction_rows/2</t>
  </si>
  <si>
    <t xml:space="preserve">independent-qa.json#/batches/B25/documents/issues-and-clarifications.json/group2_additional_correction_history/independent_pageproof_correction_rows/2</t>
  </si>
  <si>
    <t xml:space="preserve">c1e25a46ba65883e25b3dffddcf7443c9bf512de78332110caf3bac0643fad30</t>
  </si>
  <si>
    <t xml:space="preserve">{"clarification":"Apparent missing English NOT withdrawn after216dpi23/52; no mismatch.","correction_basis":"Independent216dpiordinaryvisual23/52.","display_sha256":"fe2e87dba7748e744576dbdb1a32b4c711b9c0fc3347d5c3b22e8d2d419393e2","independent_semantic_review":true,"method":"ordinary read-only visual display; no extraction or OCR","physical_page":52,"prior_semantic_note":"MSnonworker age6+ explicitly TIDAK BEKERJA unlike EN23 IS gainfully employed;3of6ADLs/eyeslimbs180days andanniversaryafter64,IFSA2013Schedule9.","reviewed_at_utc":"2026-10-26T21:05:08.015898+00:00","semantic_note":"MSnonworker age6+ explicitly TIDAK BEKERJA matches EN23 is NOT gainfully employed after216dpi;3of6ADLs/eyeslimbs180days andanniversaryafter64,IFSA2013Schedule9.","task_id":"B25-MY-016"}</t>
  </si>
  <si>
    <t xml:space="preserve">qa-b25-full-review-20261026/issues-and-clarifications.json#/group2_additional_correction_history/independent_pageproof_correction_rows/3</t>
  </si>
  <si>
    <t xml:space="preserve">independent-qa.json#/batches/B25/documents/issues-and-clarifications.json/group2_additional_correction_history/independent_pageproof_correction_rows/3</t>
  </si>
  <si>
    <t xml:space="preserve">21cc126001a02dd5734870c3711b716a996926d155a3779209721143d66b5850</t>
  </si>
  <si>
    <t xml:space="preserve">{"clarification":"Independent216dpi and432dpi confirms BOTH EN9/MS31 17year/month130=362.75. Execution claim MS326.75 is false and withdrawn; source execution trail preserved unchanged.","clarified_at_utc":"2026-10-26T21:26:04.439648+00:00","correction_basis":"Paired original read-only display at216dpi plus432dpi isolated target, not inferred interpolation.","display_sha256":"e9f2ff31b801ce43ec6eee0bdf35af52dafb996a9a377a27da87710deefa3973","independent_semantic_review":true,"method":"ordinary read-only visual display; no extraction or OCR","physical_page":9,"reviewed_at_utc":"2026-10-26T21:12:36.790320+00:00","semantic_note":"A RSC121-144:11yr131=7.58,132blank;12yr143=6.94,144blank;20yr121495.83/144400.00. Endmonth decline continues.","task_id":"B25-MY-019"}</t>
  </si>
  <si>
    <t xml:space="preserve">qa-b25-full-review-20261026/issues-and-clarifications.json#/group2_additional_correction_history/independent_pageproof_correction_rows/4</t>
  </si>
  <si>
    <t xml:space="preserve">independent-qa.json#/batches/B25/documents/issues-and-clarifications.json/group2_additional_correction_history/independent_pageproof_correction_rows/4</t>
  </si>
  <si>
    <t xml:space="preserve">9022554f71d687d050f3b0c454bb1705e926c078fa335447438b20f9720d7f88</t>
  </si>
  <si>
    <t xml:space="preserve">{"clarification":"Independent216dpi and432dpi confirms BOTH EN9/MS31 17year/month130=362.75. Execution claim MS326.75 is false and withdrawn; source execution trail preserved unchanged.","clarified_at_utc":"2026-10-26T21:26:04.439648+00:00","correction_basis":"Paired original read-only display at216dpi plus432dpi isolated target, not inferred interpolation.","display_sha256":"c9aa775efac2beab3ad6c639622ee47638dc164ab30ee9f2bd0d07f9bb088684","independent_semantic_review":true,"method":"ordinary read-only visual display; no extraction or OCR","physical_page":31,"reviewed_at_utc":"2026-10-26T21:13:44.066466+00:00","semantic_note":"MalayA121-144:11yr131=7.58/132blank,12yr143=6.94/144blank,20yr121=495.83/144=400; matchesEN9.","task_id":"B25-MY-019"}</t>
  </si>
  <si>
    <t xml:space="preserve">qa-b25-full-review-20261026/issues-and-clarifications.json#/group2_additional_correction_history/independent_pageproof_correction_rows/5</t>
  </si>
  <si>
    <t xml:space="preserve">independent-qa.json#/batches/B25/documents/issues-and-clarifications.json/group2_additional_correction_history/independent_pageproof_correction_rows/5</t>
  </si>
  <si>
    <t xml:space="preserve">469905f2800eb10225177502cb2683ddb63dc95f07a8b9aaea103e3367f0f25f</t>
  </si>
  <si>
    <t xml:space="preserve">{"clarification":"Independent216dpi heading reads Period:145 to180 months, not145 to80. Execution heading typo claim withdrawn.","clarified_at_utc":"2026-10-26T21:26:04.439648+00:00","correction_basis":"Original216dpi page63 ordinary display.","display_sha256":"c9f773a655bef11048c2877b4f79f188eb5555faaa79e559c32c24a59e669ef9","independent_semantic_review":true,"method":"ordinary read-only visual display; no extraction or OCR","physical_page":63,"reviewed_at_utc":"2026-10-26T21:16:12.481853+00:00","semantic_note":"BaseRSC145-180lastpage:13yr155=6.41/156blank,14yr167=5.95/168blank,15yr179=5.56/180blank. Allmaturityblanksnotpositivefinalmonth; 2011later19/20anomaliesspecific.","task_id":"B25-MY-019"}</t>
  </si>
  <si>
    <t xml:space="preserve">qa-b25-full-review-20261026/issues-and-clarifications.json#/group2_additional_correction_history/independent_pageproof_correction_rows/6</t>
  </si>
  <si>
    <t xml:space="preserve">independent-qa.json#/batches/B25/documents/issues-and-clarifications.json/group2_additional_correction_history/independent_pageproof_correction_rows/6</t>
  </si>
  <si>
    <t xml:space="preserve">5e2aa81ef303153f2fc259be8f19cfdee1f7301941c429332759aa306b7b5b14</t>
  </si>
  <si>
    <t xml:space="preserve">{"clarification":"Independent216dpi confirms n-t monthly remaining-term formula and day interpolation; no12n-(t-1) or separatezero-ratebranch. Positive fixedi=.2466%; mathematical boundaryt=0 gives.75C,t=n gives0, notapayoutadvice. III missing preventsestablishingWF.","display_sha256":"4febabbbe9e0ca092c85cfefb8f93adcc1b70ac85e9a2a67159dbee7c29c2003","independent_semantic_review":true,"method":"ordinary read-only visual display; no extraction or OCR","physical_page":64,"reviewed_at_utc":"2026-10-26T21:16:12.481985+00:00","semantic_note":"AppendixIIcash:dailyinterpolation x/mCSVt+1 +(m-x)/mCSVt, xactualdaysincl surrenderday,mactualcertmonthdays. CSVt=.75*C*annuitydue(n-t)/annuitydue(n); both annuityratios1-(1+i)^negative divided1-(1+i)^-1; i=.2466%monthlystated3%pa; Csinglegross,nrepaymentmonths,telapsedcertmonths. PTF=(1-WF)/75%*CSV;operatorresidual. Surrenderonlyearlysettlement;AppendixIVsample. Formula n-t notcrossproduct12n-(t-1); need216confirm.","task_id":"B25-MY-019"}</t>
  </si>
  <si>
    <t xml:space="preserve">qa-b25-full-review-20261026/issues-and-clarifications.json#/group2_additional_correction_history/independent_pageproof_correction_rows/7</t>
  </si>
  <si>
    <t xml:space="preserve">independent-qa.json#/batches/B25/documents/issues-and-clarifications.json/group2_additional_correction_history/independent_pageproof_correction_rows/7</t>
  </si>
  <si>
    <t xml:space="preserve">91178929aefcc8707891ae215e0f95f1fd0e2d53fdcdcd099e2e49327c58eb00</t>
  </si>
  <si>
    <t xml:space="preserve">{"clarification":"Independent216dpi confirms n-t monthly remaining-term formula and day interpolation; no12n-(t-1) or separatezero-ratebranch. Positive fixedi=.2466%; mathematical boundaryt=0 gives.75C,t=n gives0, notapayoutadvice. III missing preventsestablishingWF.","display_sha256":"c9f640330883480f138189929602483dfd43ecd8a6954aae37e42c716c3c5f21","independent_semantic_review":true,"method":"ordinary read-only visual display; no extraction or OCR","physical_page":91,"reviewed_at_utc":"2026-10-26T21:21:56.075013+00:00","semantic_note":"MS Appendix II cash formula daily x/m nextCSV plus(m-x)/m currentCSV;75%C annuity-due remaining(n-t)/full n ratio;monthly i.2466% stated3%pa;N/T definitions uppercase vs formula lowercase. Fund(1-WF)/75% cash,operator residual;only early settlement,IVsamples;printed19/28.","task_id":"B25-MY-019"}</t>
  </si>
  <si>
    <t xml:space="preserve">qa-b25-full-review-20261026/issues-and-clarifications.json#/group2_additional_correction_history/independent_pageproof_correction_rows/8</t>
  </si>
  <si>
    <t xml:space="preserve">independent-qa.json#/batches/B25/documents/issues-and-clarifications.json/group2_additional_correction_history/independent_pageproof_correction_rows/8</t>
  </si>
  <si>
    <t xml:space="preserve">76f02741b02938f3d69d4b9dd9c032fe1c0e7d22ad0e2583cf15db98c4ba7539</t>
  </si>
  <si>
    <t xml:space="preserve">"Prior and withdrawn claims historical only; accepted facts are independentQA notes and corrections. Do not propagate original false claims merely because present in non-note fields."</t>
  </si>
  <si>
    <t xml:space="preserve">qa-b25-full-review-20261026/issues-and-clarifications.json#/group2_additional_correction_history/precision_policy</t>
  </si>
  <si>
    <t xml:space="preserve">independent-qa.json#/batches/B25/documents/issues-and-clarifications.json/group2_additional_correction_history/precision_policy</t>
  </si>
  <si>
    <t xml:space="preserve">e71a95c922be0159e5951ea8729ccef46663213727ff4a9c7abe38780dd3a192</t>
  </si>
  <si>
    <t xml:space="preserve">{"bytes":31194,"path":"execution-evidence.json#/batches/B25/documents/group2~1correction-register.json","sha256":"72a8e08f08157105c49ce5d47203d63df4e34e3c5b10d8aaaeb5a3b9a9a132bc"}</t>
  </si>
  <si>
    <t xml:space="preserve">qa-b25-full-review-20261026/issues-and-clarifications.json#/group2_additional_correction_history/source_correction_register_preserved</t>
  </si>
  <si>
    <t xml:space="preserve">independent-qa.json#/batches/B25/documents/issues-and-clarifications.json/group2_additional_correction_history/source_correction_register_preserved</t>
  </si>
  <si>
    <t xml:space="preserve">fbee60c703050e41a714c69c81e8ca2507e1198cbc52950a995d8f679aadbda4</t>
  </si>
  <si>
    <t xml:space="preserve">69</t>
  </si>
  <si>
    <t xml:space="preserve">qa-b25-full-review-20261026/issues-and-clarifications.json#/group2_additional_correction_history/source_correction_rows</t>
  </si>
  <si>
    <t xml:space="preserve">independent-qa.json#/batches/B25/documents/issues-and-clarifications.json/group2_additional_correction_history/source_correction_rows</t>
  </si>
  <si>
    <t xml:space="preserve">c75cb66ae28d8ebc6eded002c28a8ba0d06d3a78c6b5cbf9b2ade051f0775ac4</t>
  </si>
  <si>
    <t xml:space="preserve">12</t>
  </si>
  <si>
    <t xml:space="preserve">qa-b25-full-review-20261026/issues-and-clarifications.json#/group2_additional_correction_history/source_prior_note_rows</t>
  </si>
  <si>
    <t xml:space="preserve">independent-qa.json#/batches/B25/documents/issues-and-clarifications.json/group2_additional_correction_history/source_prior_note_rows</t>
  </si>
  <si>
    <t xml:space="preserve">6b51d431df5d7f141cbececcf79edf3dd861c3b4069f0b11661a3eefacbba918</t>
  </si>
  <si>
    <t xml:space="preserve">qa-b25-full-review-20261026/issues-and-clarifications.json#/group2_additional_correction_history/source_source_truth_not_assumed</t>
  </si>
  <si>
    <t xml:space="preserve">independent-qa.json#/batches/B25/documents/issues-and-clarifications.json/group2_additional_correction_history/source_source_truth_not_assumed</t>
  </si>
  <si>
    <t xml:space="preserve">{"path":"independent-qa.json#/batches/B25/documents/group2-corrections-and-clarifications.json","sha256":"b1893fe0dffa0bca4139ebf0b2a5c45cabcc446a6c374cd3edf9c827d63661fd"}</t>
  </si>
  <si>
    <t xml:space="preserve">qa-b25-full-review-20261026/issues-and-clarifications.json#/group2_issue_history/clarifications</t>
  </si>
  <si>
    <t xml:space="preserve">independent-qa.json#/batches/B25/documents/issues-and-clarifications.json/group2_issue_history/clarifications</t>
  </si>
  <si>
    <t xml:space="preserve">fec30b29698f015ddf96434a669f8e043366e3b1d935a26b8aeb73817fab25e2</t>
  </si>
  <si>
    <t xml:space="preserve">{"primary_status_basis":"Third-party payable/paid deduction measure remains unresolved; ATM wording attachment ambiguity is bounded, not a proved claimoutcome.","qa_notes":["Confirmed medical third-party payable versus already-paid wording; unresolved operative measure independently supports needs_review.","ATM first-branch English location phrase is potentially ambiguous in attachment; retain potential spatial-scope discrepancy, not a definitive coverage result. OR1km remains in both.","OFS PA013 label is bounded contact cross-reference error; actual important noticePA014 and pregnancyPA013 preserved.","SID002 explicitly preserves proportional residual death cover after smaller TPD; do not generalize to PA007.","All source note/clarification/correction_basis/zoom/result facts reviewed; no additional source metadata correction required. Missing personal schedule/current adoption not sole strict basis."],"qa_result":{"bytes":4430,"path":"independent-qa.json#/batches/B25/documents/group2-003-result.json","sha256":"ef546285493b179405288e12283fdbbb5acd1a467847022c37652fa027f8fc29"},"strict_status":"needs_review","task_id":"B25-MY-003"}</t>
  </si>
  <si>
    <t xml:space="preserve">qa-b25-full-review-20261026/issues-and-clarifications.json#/group2_issue_history/files/0</t>
  </si>
  <si>
    <t xml:space="preserve">independent-qa.json#/batches/B25/documents/issues-and-clarifications.json/group2_issue_history/files/0</t>
  </si>
  <si>
    <t xml:space="preserve">7b9f711d7d28ab8cc01692da8655783d802dfda446cfe0348010263b9ce971c9</t>
  </si>
  <si>
    <t xml:space="preserve">{"primary_status_basis":"Verified genericpropertyfile: all operative components reviewed; bounded label/year defects not substantive failure; noRSC/cash amortisation formula applicable.","qa_notes":["All44physicalpages independently understood; bilingual operative scope reconciled, bounded wrong Introduction004 heading and2013/1984 statutory-year defect preserved, not silently corrected.","MS tiada supplier negative independently confirmed at216dpi; preserve execution withdrawn missing-negative suspicion, not a current issue.","Water unattended/unoccupied literal nuance preserved without assumed residency definition or claim outcome. FE34 special cancellation applies extensiononly;FC51/FC48saving clauses retained.","All execution page notes,clarification,correction_basis,result and21zoom confirmation facts compared; no new correction required. Generic file-level verified only: no personal schedule,current adoption,complete-package or legal-validity certification."],"qa_result":{"bytes":5384,"path":"independent-qa.json#/batches/B25/documents/group2-004-result.json","sha256":"c2f784e963e372089cf376ab77f39e600a24b1ac6efbe2a1e9450dcc721ad07c"},"strict_status":"verified","task_id":"B25-MY-004"}</t>
  </si>
  <si>
    <t xml:space="preserve">qa-b25-full-review-20261026/issues-and-clarifications.json#/group2_issue_history/files/1</t>
  </si>
  <si>
    <t xml:space="preserve">independent-qa.json#/batches/B25/documents/issues-and-clarifications.json/group2_issue_history/files/1</t>
  </si>
  <si>
    <t xml:space="preserve">4614268226d99bc0c6258861f471b06c5eb2980b6aea79a82793493007bcd900</t>
  </si>
  <si>
    <t xml:space="preserve">{"primary_status_basis":"Tabarruriskfactors/wakalahtermbands/immoralityexclusion differ acrosslanguages; actualmissingNOTfalsepositive withdrawn.","qa_notes":["Independent54page review confirms substantive unreconciled bilingual tabarru factors,firstfee-term band3-5vs1-5 andimmoralityTPDexclusion;no explicitlanguagepriorityfound. Personal schedule/currentadoptionnotsoleblockers.","Preserve withdrawal: both23and43 expressly NOTassignable, independently216dpi confirmed. Preserve all prior notes/correction_basis by frozen-source references.","Allsourcepage notes/priornotes/clarifications/correction_basis/result/components/32zoomfacts checked. Bounded2019MS24/25swap,010/011formula label,90days/3months,limbat/above nuance,missinggenericMSsurrenderclause withspecificfeepresent retained.","Independentformula clarification:34/54 both12n-(t-1),t=12dp+1through12n;underpositive-rate/nonzero-denominatorassumption firstpostdefermentfactor=1 andlastlistedmonthfactor remainspositive. No zero-rate branch printed; directlpr=0substitutionis0/0,not anotherproduct12n-tbranch. No monthend convention orpersonalprincipal invented.","Malaydeath/TPDloanwordingsebenarditanggung lacks an explicit outstanding token present in EN; retain as lexical nuance only,not asserted different loan amount. No claim payout computed."],"qa_result":{"bytes":5773,"path":"independent-qa.json#/batches/B25/documents/group2-005-result.json","sha256":"f77a4bb4e73f5ec9833d828147c71b428e9a35b985aa923e801c13d6ab20e7d0"},"strict_status":"needs_review","task_id":"B25-MY-005"}</t>
  </si>
  <si>
    <t xml:space="preserve">qa-b25-full-review-20261026/issues-and-clarifications.json#/group2_issue_history/files/2</t>
  </si>
  <si>
    <t xml:space="preserve">independent-qa.json#/batches/B25/documents/issues-and-clarifications.json/group2_issue_history/files/2</t>
  </si>
  <si>
    <t xml:space="preserve">d6881f2bd7b922a8a77f8a82b94aa440b33fa3a802a5cded8ae7ff5623a32eab</t>
  </si>
  <si>
    <t xml:space="preserve">{"primary_status_basis":"ExplicitincorporatedSR010cashformula absent bothlanguages; personalScheduleabsence alone not basis.","qa_notes":["Independent full44-page review confirms missing expressly incorporated operative SR010 cash-value formula, not merely absent personal schedule; EN stopsSR009 printed18/21, MS20/23.2020 cash22 still incorporates010;SR009 cannot substitute.","All source result,44 page-proof notes and any prior/correction/clarification fields,23sourcezoomconfirmations inspected against original. Source correction history retained by references;sourcepage24 wording unchangedratio must be bounded by its explicit clarification:2019 replacement ofdescriptionunder3.1 startsasterisk, allocationratio not reprinted, no unqualifiedcurrent50/50 or assertedratioextinction.","Wholeage10/cash22/fund1/wakalah2 replaced2020;legal18 deletedentirely, not operative2yearbefore-actionbar.2019 TPDdefinition/14.3smallamounts replaced,15.3/22.3deleted. FundheadingENGeneralconditions mislabelsSR004 andMSrepeat1.1 numbering boundedby actualfundcontent.","SR0071.7/1.8 andSR0063.1b explicitly provide proportional residualdeath fromTPDonset whenTPDlower;deathbeforeTPDpaydeathonly. Generalpaymenttermination not overriddenintoautomaticpartialTPDtermination. RM2maggregate, monthlyanniversaryimmediatelyafter65;suicide/preexistingdeathwithin12monthscashonly.","Independent216dpi confirms both assignment21.2 negatives includingMS tidak;bothTPD2.1c immorality includingMS perbuatan tidak bermoral. Own preliminary144dpi omission impressions withdrawn in pageproof35/40 withpriornotes retained. Do not import005 actualimmoralityomission here.","SR009 equations25/44 match;SCmultipliesentireinnerdifference,capSC;P=((1+il*rp/12)/rp)*(t-D);R=((rp+D-t)*(rp+D+1-t)/(rp*(rp+1)))*il*rp/12. t&lt;=Dlevel;D,rp inmonths,ilannual. Forrp&gt;0 and t=D+rp the displayedfactor algebraicallyzero;il0 yields SC*(1-(t-D)/rp) withinpaymentterm. These are formula checks not personalpayout/currentadoption;no12n-tformulaimport. ENtcurtateduration vsMSgenericmonthduration islexicalnuance.","MS43footerReducingTermTakaful19/22 differsfromsurroundingSinarRiayah/23 butSR008bodymatchesEN;retainliteraltemplatelabel,notclaimprovenforeigninsertion. Schedule/contents/personalcertificate/holder/currenteditionunknownnotsolefailure. No languagepriorityfound andnolegalvalidityorpackagecompletionclaim."],"qa_result":{"bytes":8017,"path":"independent-qa.json#/batches/B25/documents/group2-012-result.json","sha256":"84d712a9ecb67e66a3ea601e53821b6505ede3beee4723044b305d057d3d70fa"},"strict_status":"needs_review","task_id":"B25-MY-012"}</t>
  </si>
  <si>
    <t xml:space="preserve">qa-b25-full-review-20261026/issues-and-clarifications.json#/group2_issue_history/files/3</t>
  </si>
  <si>
    <t xml:space="preserve">independent-qa.json#/batches/B25/documents/issues-and-clarifications.json/group2_issue_history/files/3</t>
  </si>
  <si>
    <t xml:space="preserve">dc4a2ab086aa749b72f144481cdf8324019e2c78ac738c3c61dbeb8fd59ec6f0</t>
  </si>
  <si>
    <t xml:space="preserve">{"primary_status_basis":"SecondcertificateYEAR/secondANNIVERSARYrenewaltiming and payable/paidmedicaloffset;ATMscopeambiguous.","qa_notes":["Independently read all87 physical pages; actual EN32/MS34 base pages and all bilingual2018/2019/OFS endorsements present. No missing incorporated operative annexure found; personal schedule/current-adoption absence is not strict-failure basis.","216dpi confirms PA0081.1 EN second certificate year versus MS second anniversary; both tables give year2=10%/year3+=20%. 2018 changes1.3 only, so timing discrepancy remains. PA009NCD separately says second certificate anniversary in both languages; do not conflate renewal bonus with NCD.","216dpi confirms PA0101.3 trigger already reimbursed in both but deduction basis EN payable versus MS already paid. Material unresolved settlement wording; no language priority or actual payout chosen.","PA0121.3a EN at ATM itself versus MS withdrawal from that ATM, both OR within1km. Preserve spatial attachment ambiguity; do not assert a proven coverage outcome from that phrase alone. Renewal and medical differences independently support needs_review.","MS hazardous-avocation list omits explicit EN boxing but broad hazardous/unlisted-recreation exclusion remains; not evidence boxing is covered. 2018 infectious extension notwithstanding base infectious exclusions is not nullified by those base exclusions.","SID002 alone explicitly preserves proportionally reduced death after smaller infectiousTPD payment; do not generalize to PA007 accidentalTPD. 60-day grace and explicit monthly contribution tables,80%year1/70%later wakalah independently confirmed; not cross-product values.","2019 replaces whole16/17 and15.1/qard,50/50surplus afterqard and&lt;=RM10bank-first/no-bankcharity; no double-qard inference. OFS notice mislabelPA013 does not delete actualPA013weeklyincome; notice isPA014. Assignment NOT present both languages, legal literal before2years retained without enforceability opinion.","All source87page notes, clarifications, correction_basis,52zoom facts and result fields reviewed against originals. Child21/23 inclusive-definition versus attainment termination preserved. Generic source-only review, no current tax/contact/adoption/individual coverage certification."],"qa_result":{"bytes":8843,"path":"independent-qa.json#/batches/B25/documents/group2-013-result.json","sha256":"3f411a07cf42c64b1c0668568365eccebef64d49302901560f016674a7cfaa5f"},"strict_status":"needs_review","task_id":"B25-MY-013"}</t>
  </si>
  <si>
    <t xml:space="preserve">qa-b25-full-review-20261026/issues-and-clarifications.json#/group2_issue_history/files/4</t>
  </si>
  <si>
    <t xml:space="preserve">independent-qa.json#/batches/B25/documents/issues-and-clarifications.json/group2_issue_history/files/4</t>
  </si>
  <si>
    <t xml:space="preserve">c2e56b4babd4ea358fe041fb69de82d41a0c114ab7108ca12dad13838424fdcc</t>
  </si>
  <si>
    <t xml:space="preserve">{"primary_status_basis":"Renewaltiming, payable/paidoffset, reinstatementremedy wording, conditionalacceleratedbenefitdeductions differ; NOT/exclusion falseclaimswithdrawn.","qa_notes":["Full71physicalpages independently read; all source71page metadata including nonnote/prior/clarification/correction fields and37zoom confirmations reviewed against independent originals. Own targeted crops are not extra physical pages.","Needs_review: renewal PA0081.1 EN second certificate year versus MS second anniversary while both tables year2 ten percent, year3+twenty; 2018 changes only1.3, not1.1. NCD PA009 first second anniversary in BOTH, not automatically second year.","Needs_review: reinstatement EN10.3 reliance-only, MS10.3 explicitly false/withheld information -&gt; set aside/termination; EN10.4 incomplete do-this antecedent and10.5 refund still present. Do not infer no legal remedy.","Needs_review: PA011/012/013 clause1.4 BOTH begin already-reimbursed trigger; offset EN third-party payable vs MS already-paid. Independent216dpi39-41/68-70.","Additional scope: PA005/006/007 EN1.1 deduct debt AND prior accelerated optional benefit where applicable, MS1.1 debt only (33-35/62-64). Execution identifies PA005 only. No selected accelerated rider established and no actual payout/double-payment inference.","Independent lower-resolution apparent EN23 is gainfully employed mismatch WITHDRAWN:216dpi confirms is NOT gainfully employed matching MS52. Prior notes preserved in independent pageproof23/52. Execution earlier apparent missing EN6 SID002 exclusions also WITHDRAWN: all three present matching MS12; no missing exclusions issue.","2018July1SLM-SPS001-16032016 adds six specified infections100k/200k; SID002 only lower-TPD residual death ratio from onset, RM2m aggregate and disability minimum6months; no generic PA007 residual-death import.30days exclusions from last reinstatement, not inception. Legal before2years remains; no2020deletion in file.","No2019fund amendment in file: surplus50% afterqard/no claim or benefit; &lt;=RM10 charity only, do not import bank-first rule. 60daygrace/15freelook/2yrreinstate. Monthly contribution tables20/47 fully match inclusive historical6%GST, not current tax conclusion. Wakalah80first/70later.","OFS endorsement wrong PA013 identifier is bounded notice-contact error: actual PA013 corrective surgery and PA014 notice; not deletion of surgery. Boxing explicit EN vs absent named MS but broad hazardous-sports catchall prevents covered inference; child21/23 inclusive definition vs attaining termination retained. Full EN1-26/MS1-28 sequences.","Schedule/currentadoption unknown not sole strictfailure. No new original/primary/product/current adoption/package/gap credit. No formal source or index changes; only own temporary copies removed."],"qa_result":{"bytes":8640,"path":"independent-qa.json#/batches/B25/documents/group2-016-result.json","sha256":"d24929b94fb6105931c65babe5d8bf327fe1aa0d3c18ac236c5c78c3317cbb9e"},"strict_status":"needs_review","task_id":"B25-MY-016"}</t>
  </si>
  <si>
    <t xml:space="preserve">qa-b25-full-review-20261026/issues-and-clarifications.json#/group2_issue_history/files/5</t>
  </si>
  <si>
    <t xml:space="preserve">independent-qa.json#/batches/B25/documents/issues-and-clarifications.json/group2_issue_history/files/5</t>
  </si>
  <si>
    <t xml:space="preserve">d6b1586f86c3415ac648a79a81345335cee0157a613870c765dbf40439b2b570</t>
  </si>
  <si>
    <t xml:space="preserve">"MissingIII/2011B feecomponent plus internallydiscontinuousendtermRSC/cashexamples; two newexecutionnumeric/headerfalseclaimswithdrawn."</t>
  </si>
  <si>
    <t xml:space="preserve">qa-b25-full-review-20261026/issues-and-clarifications.json#/group2_issue_history/files/6/primary_status_basis</t>
  </si>
  <si>
    <t xml:space="preserve">independent-qa.json#/batches/B25/documents/issues-and-clarifications.json/group2_issue_history/files/6/primary_status_basis</t>
  </si>
  <si>
    <t xml:space="preserve">3a888f1e43818dfb473cb1e12a46dcd90009d8be60449f217c78773f80322c98</t>
  </si>
  <si>
    <t xml:space="preserve">qa-b25-full-review-20261026/issues-and-clarifications.json#/group2_issue_history/files/6/qa_notes</t>
  </si>
  <si>
    <t xml:space="preserve">independent-qa.json#/batches/B25/documents/issues-and-clarifications.json/group2_issue_history/files/6/qa_notes</t>
  </si>
  <si>
    <t xml:space="preserve">qa-b25-full-review-20261026/issues-and-clarifications.json#/group2_issue_history/files/6/qa_result</t>
  </si>
  <si>
    <t xml:space="preserve">independent-qa.json#/batches/B25/documents/issues-and-clarifications.json/group2_issue_history/files/6/qa_result</t>
  </si>
  <si>
    <t xml:space="preserve">qa-b25-full-review-20261026/issues-and-clarifications.json#/group2_issue_history/files/6/strict_status</t>
  </si>
  <si>
    <t xml:space="preserve">independent-qa.json#/batches/B25/documents/issues-and-clarifications.json/group2_issue_history/files/6/strict_status</t>
  </si>
  <si>
    <t xml:space="preserve">qa-b25-full-review-20261026/issues-and-clarifications.json#/group2_issue_history/files/6/task_id</t>
  </si>
  <si>
    <t xml:space="preserve">independent-qa.json#/batches/B25/documents/issues-and-clarifications.json/group2_issue_history/files/6/task_id</t>
  </si>
  <si>
    <t xml:space="preserve">"Current2020fundexpense scope and criminal/general lawTPDexclusion differ; MS2019replacementscopeambiguous."</t>
  </si>
  <si>
    <t xml:space="preserve">qa-b25-full-review-20261026/issues-and-clarifications.json#/group2_issue_history/files/7/primary_status_basis</t>
  </si>
  <si>
    <t xml:space="preserve">independent-qa.json#/batches/B25/documents/issues-and-clarifications.json/group2_issue_history/files/7/primary_status_basis</t>
  </si>
  <si>
    <t xml:space="preserve">533144ee6baf990b59cf1cefc08ef52add5cfc4c11cefc158b087b2c025cca06</t>
  </si>
  <si>
    <t xml:space="preserve">qa-b25-full-review-20261026/issues-and-clarifications.json#/group2_issue_history/files/7/qa_notes/0</t>
  </si>
  <si>
    <t xml:space="preserve">independent-qa.json#/batches/B25/documents/issues-and-clarifications.json/group2_issue_history/files/7/qa_notes/0</t>
  </si>
  <si>
    <t xml:space="preserve">qa-b25-full-review-20261026/issues-and-clarifications.json#/group2_issue_history/files/7/qa_notes/1</t>
  </si>
  <si>
    <t xml:space="preserve">independent-qa.json#/batches/B25/documents/issues-and-clarifications.json/group2_issue_history/files/7/qa_notes/1</t>
  </si>
  <si>
    <t xml:space="preserve">qa-b25-full-review-20261026/issues-and-clarifications.json#/group2_issue_history/files/7/qa_notes/2</t>
  </si>
  <si>
    <t xml:space="preserve">independent-qa.json#/batches/B25/documents/issues-and-clarifications.json/group2_issue_history/files/7/qa_notes/2</t>
  </si>
  <si>
    <t xml:space="preserve">qa-b25-full-review-20261026/issues-and-clarifications.json#/group2_issue_history/files/7/qa_notes/3</t>
  </si>
  <si>
    <t xml:space="preserve">independent-qa.json#/batches/B25/documents/issues-and-clarifications.json/group2_issue_history/files/7/qa_notes/3</t>
  </si>
  <si>
    <t xml:space="preserve">qa-b25-full-review-20261026/issues-and-clarifications.json#/group2_issue_history/files/7/qa_notes/4</t>
  </si>
  <si>
    <t xml:space="preserve">independent-qa.json#/batches/B25/documents/issues-and-clarifications.json/group2_issue_history/files/7/qa_notes/4</t>
  </si>
  <si>
    <t xml:space="preserve">qa-b25-full-review-20261026/issues-and-clarifications.json#/group2_issue_history/files/7/qa_notes/5</t>
  </si>
  <si>
    <t xml:space="preserve">independent-qa.json#/batches/B25/documents/issues-and-clarifications.json/group2_issue_history/files/7/qa_notes/5</t>
  </si>
  <si>
    <t xml:space="preserve">qa-b25-full-review-20261026/issues-and-clarifications.json#/group2_issue_history/files/7/qa_notes/6</t>
  </si>
  <si>
    <t xml:space="preserve">independent-qa.json#/batches/B25/documents/issues-and-clarifications.json/group2_issue_history/files/7/qa_notes/6</t>
  </si>
  <si>
    <t xml:space="preserve">qa-b25-full-review-20261026/issues-and-clarifications.json#/group2_issue_history/files/7/qa_notes/7</t>
  </si>
  <si>
    <t xml:space="preserve">independent-qa.json#/batches/B25/documents/issues-and-clarifications.json/group2_issue_history/files/7/qa_notes/7</t>
  </si>
  <si>
    <t xml:space="preserve">qa-b25-full-review-20261026/issues-and-clarifications.json#/group2_issue_history/files/7/qa_notes/8</t>
  </si>
  <si>
    <t xml:space="preserve">independent-qa.json#/batches/B25/documents/issues-and-clarifications.json/group2_issue_history/files/7/qa_notes/8</t>
  </si>
  <si>
    <t xml:space="preserve">qa-b25-full-review-20261026/issues-and-clarifications.json#/group2_issue_history/files/7/qa_notes/9</t>
  </si>
  <si>
    <t xml:space="preserve">independent-qa.json#/batches/B25/documents/issues-and-clarifications.json/group2_issue_history/files/7/qa_notes/9</t>
  </si>
  <si>
    <t xml:space="preserve">qa-b25-full-review-20261026/issues-and-clarifications.json#/group2_issue_history/files/7/qa_notes/10</t>
  </si>
  <si>
    <t xml:space="preserve">independent-qa.json#/batches/B25/documents/issues-and-clarifications.json/group2_issue_history/files/7/qa_notes/10</t>
  </si>
  <si>
    <t xml:space="preserve">qa-b25-full-review-20261026/issues-and-clarifications.json#/group2_issue_history/files/7/qa_notes/11</t>
  </si>
  <si>
    <t xml:space="preserve">independent-qa.json#/batches/B25/documents/issues-and-clarifications.json/group2_issue_history/files/7/qa_notes/11</t>
  </si>
  <si>
    <t xml:space="preserve">qa-b25-full-review-20261026/issues-and-clarifications.json#/group2_issue_history/files/7/qa_notes/12</t>
  </si>
  <si>
    <t xml:space="preserve">independent-qa.json#/batches/B25/documents/issues-and-clarifications.json/group2_issue_history/files/7/qa_notes/12</t>
  </si>
  <si>
    <t xml:space="preserve">qa-b25-full-review-20261026/issues-and-clarifications.json#/group2_issue_history/files/7/qa_notes/13</t>
  </si>
  <si>
    <t xml:space="preserve">independent-qa.json#/batches/B25/documents/issues-and-clarifications.json/group2_issue_history/files/7/qa_notes/13</t>
  </si>
  <si>
    <t xml:space="preserve">qa-b25-full-review-20261026/issues-and-clarifications.json#/group2_issue_history/files/7/qa_notes/14</t>
  </si>
  <si>
    <t xml:space="preserve">independent-qa.json#/batches/B25/documents/issues-and-clarifications.json/group2_issue_history/files/7/qa_notes/14</t>
  </si>
  <si>
    <t xml:space="preserve">qa-b25-full-review-20261026/issues-and-clarifications.json#/group2_issue_history/files/7/qa_notes/15</t>
  </si>
  <si>
    <t xml:space="preserve">independent-qa.json#/batches/B25/documents/issues-and-clarifications.json/group2_issue_history/files/7/qa_notes/15</t>
  </si>
  <si>
    <t xml:space="preserve">qa-b25-full-review-20261026/issues-and-clarifications.json#/group2_issue_history/files/7/qa_notes/16</t>
  </si>
  <si>
    <t xml:space="preserve">independent-qa.json#/batches/B25/documents/issues-and-clarifications.json/group2_issue_history/files/7/qa_notes/16</t>
  </si>
  <si>
    <t xml:space="preserve">qa-b25-full-review-20261026/issues-and-clarifications.json#/group2_issue_history/files/7/qa_notes/17</t>
  </si>
  <si>
    <t xml:space="preserve">independent-qa.json#/batches/B25/documents/issues-and-clarifications.json/group2_issue_history/files/7/qa_notes/17</t>
  </si>
  <si>
    <t xml:space="preserve">qa-b25-full-review-20261026/issues-and-clarifications.json#/group2_issue_history/files/7/qa_result</t>
  </si>
  <si>
    <t xml:space="preserve">independent-qa.json#/batches/B25/documents/issues-and-clarifications.json/group2_issue_history/files/7/qa_result</t>
  </si>
  <si>
    <t xml:space="preserve">qa-b25-full-review-20261026/issues-and-clarifications.json#/group2_issue_history/files/7/strict_status</t>
  </si>
  <si>
    <t xml:space="preserve">independent-qa.json#/batches/B25/documents/issues-and-clarifications.json/group2_issue_history/files/7/strict_status</t>
  </si>
  <si>
    <t xml:space="preserve">qa-b25-full-review-20261026/issues-and-clarifications.json#/group2_issue_history/files/7/task_id</t>
  </si>
  <si>
    <t xml:space="preserve">independent-qa.json#/batches/B25/documents/issues-and-clarifications.json/group2_issue_history/files/7/task_id</t>
  </si>
  <si>
    <t xml:space="preserve">qa-b25-full-review-20261026/issues-and-clarifications.json#/group2_issue_history/no_actual_claim_outcome_or_current_legal_advice</t>
  </si>
  <si>
    <t xml:space="preserve">independent-qa.json#/batches/B25/documents/issues-and-clarifications.json/group2_issue_history/no_actual_claim_outcome_or_current_legal_advice</t>
  </si>
  <si>
    <t xml:space="preserve">qa-b25-full-review-20261026/issues-and-clarifications.json#/group2_issue_history/no_personal_schedule_or_unknown_adoption_only_veto</t>
  </si>
  <si>
    <t xml:space="preserve">independent-qa.json#/batches/B25/documents/issues-and-clarifications.json/group2_issue_history/no_personal_schedule_or_unknown_adoption_only_veto</t>
  </si>
  <si>
    <t xml:space="preserve">{"bytes":14040,"path":"independent-qa.json#/batches/B25/documents/group3~1007-prior-qa-classification.json","sha256":"67cefedf55d348fa2ad63493a5c890eed62251644587e5c1f7953df712bf5bb5"}</t>
  </si>
  <si>
    <t xml:space="preserve">qa-b25-full-review-20261026/issues-and-clarifications.json#/group3_issue_history/007_prior_classification</t>
  </si>
  <si>
    <t xml:space="preserve">independent-qa.json#/batches/B25/documents/issues-and-clarifications.json/group3_issue_history/007_prior_classification</t>
  </si>
  <si>
    <t xml:space="preserve">3ceb3e4ce501a8de92e9a604818a936fae1486cb22ec1fac3e7e0ce3f6d4d4b4</t>
  </si>
  <si>
    <t xml:space="preserve">{"analysis":{"acceptance_reason":"The prior veto demanded explanation of design intent/continuity without identifying a same-situation textual contradiction or undefined input essential to generic execution. Withdraw that veto. Preserve the month-offset as nonblocking clarification; do not normalize the formula or assert actuarial/legal correctness.","arithmetic_retained":"Positive branch first post-deferment is ISC, zero branch ISC*(12pp-1)/(12pp); positive terminal is greater than zero for positive i while zero terminal is0; i→0+ limit differs by ISC/(12pp). These calculations are accurate but compare different rate cases.","branch_domain":"Deferment t=0..12dp uses ISC. Post-deferment t=12dp+1..12n explicitly separates i&gt;0 from i=0. For positive ISC and positive repayment period, each specified (i,t) has one printed result, not competing same-case values.","evidence_already_independently_read":"49 physical pages and 27 targeted216dpi confirmations; no inherited conclusion substitutes for original review.","other_limits":"Undated RM50 versus datedRM53 historical applicability uncertainty not simultaneous conflict and not sole veto. English priority controls bounded translation differences. No current adoption, personal coverage, package completeness or new original/primary/product/gap credit.","prior_result_sha256":"18c6eca390a619b89397d02ee7ac8e332d89782b8bc46b1cf50898b6a6b866e6","prior_sole_blocker":"QA-007-F1","prior_status":"needs_review","t_definition":"English Fifth Schedule defines t as months from Commencement Date; bilingual origin difference is resolved by express English priority. Certificate supplies personal Commencement Date, ISC and durations; absent personal values alone do not block generic file verification.","timing_boundary":"No express different observation/payment timing between rate branches was found. That absence does not make the piecewise definition non-executable: the same defined t can legitimately be used in two rate-dependent formulas. No conflicting mandatory annual table value or competing date mapping is present in this file. Death/TPD onset and expiry conditions must still be applied; terminal formula value alone is not post-expiry benefit entitlement."},"final_status":"verified","reconsidered_at":"2026-10-26T21:21:25.344298+00:00","strict_eligible":true,"task_id":"B25-MY-007"}</t>
  </si>
  <si>
    <t xml:space="preserve">qa-b25-full-review-20261026/issues-and-clarifications.json#/group3_issue_history/007_reconsideration</t>
  </si>
  <si>
    <t xml:space="preserve">independent-qa.json#/batches/B25/documents/issues-and-clarifications.json/group3_issue_history/007_reconsideration</t>
  </si>
  <si>
    <t xml:space="preserve">1ade9999d34271388a82490e92041d210dcadde9f828f700b447baa6d0ae7c3d</t>
  </si>
  <si>
    <t xml:space="preserve">{"clarifications":[{"clarification":"Initial English104week reading omitted NOT.216dpi confirms notmore104weeks, matchingMalay; alleged contradiction withdrawn.","correction_basis":"Direct enlarged visualread p42PA0111.6 andp68; initial notes retained inpageproof.","pages":[42,68]},{"clarification":"OFS endorsement headingPA013 while actual base importantnoticePA012; targeted FMB replacement identifiable bysubject, bounded code error not blanket invalidity.","correction_basis":"Compared endorsement language and both complete base contents/notices.","pages":[17,18,21,43,45,69]},{"clarification":"Fund post-Qard allocation and surplus less-Qard wording read together; no double-Qard assertion.","correction_basis":"Explicit2019 replacements and joint reading.","pages":[1,2,3,4]},{"clarification":"English hazardous-avocation list expressly includes boxing; Malay does not, but open-ended hazardous/unlisted-activity exclusion remains. Do not infer boxing coverage.","correction_basis":"216dpi bilingual exclusion comparison.","pages":[34,60]},{"clarification":"Malay contents footer says1of24 but actual complete printed1-25; bounded denominator mismatch, no inferred absentpage.","correction_basis":"Allpresent69physicalpagesreviewed.","pages":[45,69]}],"correction_basis":"Initial semantic mistake retained and corrected in p42/p68 pageproof; no silently overwritten contradiction. Result fields above reflect216dpi confirmation.","preserved_uncertainties":["Current insurer adoption, source version currency, external statutes and complaint contacts not verified.","Generic benefit/fee schedule present; personal certificate/master particulars and optionalriderselection absent, not by themselves file-level blockers.","No assumption of complete individual contract package, claim outcome, current law, product count or gap closure."],"strict_blocker_basis":["Unresolved bilingual operative expense scope PA00316.3.","Unresolved bilingual third-party reimbursement basis PA0091.3."],"substantive_findings":[{"component":"02/2019 PA00316.3","effect":"Unresolved operativeexpense-scope ambiguity; do not infer actual duplicate deductions.","finding":"English charges other direct claims-related expenses; Malay permits other expenses related to the fund without the direct-claims qualifier. Current in-file bilingual expense scope differs; no language priority found.","id":"001-F1","pages":[1,3]},{"component":"PA0091.3","effect":"Unresolved operative reimbursement basis.","finding":"Third-party reimbursement offset: English excess over amount payable by third party; Malay excess over amount already paid (telah dibayar). This can differ for partialpayment belowamountowed; no language priority found.","id":"001-F2","pages":[40,66]}]}</t>
  </si>
  <si>
    <t xml:space="preserve">qa-b25-full-review-20261026/issues-and-clarifications.json#/group3_issue_history/entries/0/execution_findings_and_clarifications_preserved</t>
  </si>
  <si>
    <t xml:space="preserve">independent-qa.json#/batches/B25/documents/issues-and-clarifications.json/group3_issue_history/entries/0/execution_findings_and_clarifications_preserved</t>
  </si>
  <si>
    <t xml:space="preserve">4dd41f6cea36ee46d475a118bade5bd03551f1850013a6821b4dbf2253c3c9b9</t>
  </si>
  <si>
    <t xml:space="preserve">qa-b25-full-review-20261026/issues-and-clarifications.json#/group3_issue_history/entries/0/independent_findings</t>
  </si>
  <si>
    <t xml:space="preserve">independent-qa.json#/batches/B25/documents/issues-and-clarifications.json/group3_issue_history/entries/0/independent_findings</t>
  </si>
  <si>
    <t xml:space="preserve">qa-b25-full-review-20261026/issues-and-clarifications.json#/group3_issue_history/entries/0/metadata_corrections</t>
  </si>
  <si>
    <t xml:space="preserve">independent-qa.json#/batches/B25/documents/issues-and-clarifications.json/group3_issue_history/entries/0/metadata_corrections</t>
  </si>
  <si>
    <t xml:space="preserve">qa-b25-full-review-20261026/issues-and-clarifications.json#/group3_issue_history/entries/0/status</t>
  </si>
  <si>
    <t xml:space="preserve">independent-qa.json#/batches/B25/documents/issues-and-clarifications.json/group3_issue_history/entries/0/status</t>
  </si>
  <si>
    <t xml:space="preserve">qa-b25-full-review-20261026/issues-and-clarifications.json#/group3_issue_history/entries/0/strict_basis</t>
  </si>
  <si>
    <t xml:space="preserve">independent-qa.json#/batches/B25/documents/issues-and-clarifications.json/group3_issue_history/entries/0/strict_basis</t>
  </si>
  <si>
    <t xml:space="preserve">qa-b25-full-review-20261026/issues-and-clarifications.json#/group3_issue_history/entries/0/task_id</t>
  </si>
  <si>
    <t xml:space="preserve">independent-qa.json#/batches/B25/documents/issues-and-clarifications.json/group3_issue_history/entries/0/task_id</t>
  </si>
  <si>
    <t xml:space="preserve">qa-b25-full-review-20261026/issues-and-clarifications.json#/group3_issue_history/entries/1/execution_findings_and_clarifications_preserved/clarifications</t>
  </si>
  <si>
    <t xml:space="preserve">independent-qa.json#/batches/B25/documents/issues-and-clarifications.json/group3_issue_history/entries/1/execution_findings_and_clarifications_preserved/clarifications</t>
  </si>
  <si>
    <t xml:space="preserve">qa-b25-full-review-20261026/issues-and-clarifications.json#/group3_issue_history/entries/1/execution_findings_and_clarifications_preserved/classification_corrected_at_utc</t>
  </si>
  <si>
    <t xml:space="preserve">independent-qa.json#/batches/B25/documents/issues-and-clarifications.json/group3_issue_history/entries/1/execution_findings_and_clarifications_preserved/classification_corrected_at_utc</t>
  </si>
  <si>
    <t xml:space="preserve">qa-b25-full-review-20261026/issues-and-clarifications.json#/group3_issue_history/entries/1/execution_findings_and_clarifications_preserved/correction_basis</t>
  </si>
  <si>
    <t xml:space="preserve">independent-qa.json#/batches/B25/documents/issues-and-clarifications.json/group3_issue_history/entries/1/execution_findings_and_clarifications_preserved/correction_basis</t>
  </si>
  <si>
    <t xml:space="preserve">qa-b25-full-review-20261026/issues-and-clarifications.json#/group3_issue_history/entries/1/execution_findings_and_clarifications_preserved/initial_classification_before_scope_correction</t>
  </si>
  <si>
    <t xml:space="preserve">independent-qa.json#/batches/B25/documents/issues-and-clarifications.json/group3_issue_history/entries/1/execution_findings_and_clarifications_preserved/initial_classification_before_scope_correction</t>
  </si>
  <si>
    <t xml:space="preserve">qa-b25-full-review-20261026/issues-and-clarifications.json#/group3_issue_history/entries/1/execution_findings_and_clarifications_preserved/preserved_uncertainties</t>
  </si>
  <si>
    <t xml:space="preserve">independent-qa.json#/batches/B25/documents/issues-and-clarifications.json/group3_issue_history/entries/1/execution_findings_and_clarifications_preserved/preserved_uncertainties</t>
  </si>
  <si>
    <t xml:space="preserve">qa-b25-full-review-20261026/issues-and-clarifications.json#/group3_issue_history/entries/1/execution_findings_and_clarifications_preserved/strict_blocker_basis</t>
  </si>
  <si>
    <t xml:space="preserve">independent-qa.json#/batches/B25/documents/issues-and-clarifications.json/group3_issue_history/entries/1/execution_findings_and_clarifications_preserved/strict_blocker_basis</t>
  </si>
  <si>
    <t xml:space="preserve">qa-b25-full-review-20261026/issues-and-clarifications.json#/group3_issue_history/entries/1/execution_findings_and_clarifications_preserved/substantive_findings</t>
  </si>
  <si>
    <t xml:space="preserve">independent-qa.json#/batches/B25/documents/issues-and-clarifications.json/group3_issue_history/entries/1/execution_findings_and_clarifications_preserved/substantive_findings</t>
  </si>
  <si>
    <t xml:space="preserve">qa-b25-full-review-20261026/issues-and-clarifications.json#/group3_issue_history/entries/1/independent_findings/0/bounded_analysis</t>
  </si>
  <si>
    <t xml:space="preserve">independent-qa.json#/batches/B25/documents/issues-and-clarifications.json/group3_issue_history/entries/1/independent_findings/0/bounded_analysis</t>
  </si>
  <si>
    <t xml:space="preserve">qa-b25-full-review-20261026/issues-and-clarifications.json#/group3_issue_history/entries/1/independent_findings/0/classification_correction</t>
  </si>
  <si>
    <t xml:space="preserve">independent-qa.json#/batches/B25/documents/issues-and-clarifications.json/group3_issue_history/entries/1/independent_findings/0/classification_correction</t>
  </si>
  <si>
    <t xml:space="preserve">qa-b25-full-review-20261026/issues-and-clarifications.json#/group3_issue_history/entries/1/independent_findings/0/finding</t>
  </si>
  <si>
    <t xml:space="preserve">independent-qa.json#/batches/B25/documents/issues-and-clarifications.json/group3_issue_history/entries/1/independent_findings/0/finding</t>
  </si>
  <si>
    <t xml:space="preserve">qa-b25-full-review-20261026/issues-and-clarifications.json#/group3_issue_history/entries/1/independent_findings/0/id</t>
  </si>
  <si>
    <t xml:space="preserve">independent-qa.json#/batches/B25/documents/issues-and-clarifications.json/group3_issue_history/entries/1/independent_findings/0/id</t>
  </si>
  <si>
    <t xml:space="preserve">qa-b25-full-review-20261026/issues-and-clarifications.json#/group3_issue_history/entries/1/independent_findings/0/literal</t>
  </si>
  <si>
    <t xml:space="preserve">independent-qa.json#/batches/B25/documents/issues-and-clarifications.json/group3_issue_history/entries/1/independent_findings/0/literal</t>
  </si>
  <si>
    <t xml:space="preserve">qa-b25-full-review-20261026/issues-and-clarifications.json#/group3_issue_history/entries/1/independent_findings/0/pages</t>
  </si>
  <si>
    <t xml:space="preserve">independent-qa.json#/batches/B25/documents/issues-and-clarifications.json/group3_issue_history/entries/1/independent_findings/0/pages</t>
  </si>
  <si>
    <t xml:space="preserve">qa-b25-full-review-20261026/issues-and-clarifications.json#/group3_issue_history/entries/1/independent_findings/0/severity</t>
  </si>
  <si>
    <t xml:space="preserve">independent-qa.json#/batches/B25/documents/issues-and-clarifications.json/group3_issue_history/entries/1/independent_findings/0/severity</t>
  </si>
  <si>
    <t xml:space="preserve">qa-b25-full-review-20261026/issues-and-clarifications.json#/group3_issue_history/entries/1/metadata_corrections</t>
  </si>
  <si>
    <t xml:space="preserve">independent-qa.json#/batches/B25/documents/issues-and-clarifications.json/group3_issue_history/entries/1/metadata_corrections</t>
  </si>
  <si>
    <t xml:space="preserve">qa-b25-full-review-20261026/issues-and-clarifications.json#/group3_issue_history/entries/1/status</t>
  </si>
  <si>
    <t xml:space="preserve">independent-qa.json#/batches/B25/documents/issues-and-clarifications.json/group3_issue_history/entries/1/status</t>
  </si>
  <si>
    <t xml:space="preserve">qa-b25-full-review-20261026/issues-and-clarifications.json#/group3_issue_history/entries/1/strict_basis</t>
  </si>
  <si>
    <t xml:space="preserve">independent-qa.json#/batches/B25/documents/issues-and-clarifications.json/group3_issue_history/entries/1/strict_basis</t>
  </si>
  <si>
    <t xml:space="preserve">qa-b25-full-review-20261026/issues-and-clarifications.json#/group3_issue_history/entries/1/task_id</t>
  </si>
  <si>
    <t xml:space="preserve">independent-qa.json#/batches/B25/documents/issues-and-clarifications.json/group3_issue_history/entries/1/task_id</t>
  </si>
  <si>
    <t xml:space="preserve">{"clarifications":[{"clarification":"2018 and2015 surrender endorsements both explicitly delete/rewrite0092 in entirety; effective dates establish historical sequence, not double fee or unresolved simultaneous rate.","pages":[13,14,15,16]},{"clarification":"Missing MRTTRI002 printed3 and personal certificate/annualRSC schedule are preserved component/context limits, not by themselves the reason for needs_review. Formula ambiguity is grounded in present operative003/010 wording, not assumed missing personal sum.","pages":[22,23,24,37,38,39]},{"clarification":"General18 surrender termination is read with specific11.1 first monthly anniversary after surrender payment; no automatic contradiction asserted.","pages":[27,28,42,43]},{"clarification":"Initial short notes omitted English immorality exclusion distinction.216dpi bilingual reread added and preserved the correction in page proof.","pages":[32,47]},{"clarification":"No zero-profit-rate branch appears; a hypothetical zero input would make displayedratio0/0, but no zero-rate loan applicability is established, so not used as independent strict blocker.","pages":[35,50]}],"correction_basis":[{"basis":"216dpi original-resolution displays confirmed English immorality phrase and absence from corresponding Malay list. Original short notes retained in initial_note_before_zoom_correction; no source text modified.","pages":[32,47]}],"preserved_uncertainties":["Source edition current adoption and individual certificate terms not established.","MRTTRI002 master-contract schedule printed3 absent in both language sequences; application, medical material, individual certificate/annual RSC table and actual loan inputs absent.","Source target mentions Permodalan RISDA while present text identifies MRTTRI32 without naming holder; accepted source attribution preserved, no holder substitution.","No express English/Malay priority clause found.","External statutory, FATCA/IRS and tax references read as source text only, not checked for present legal application."],"strict_blocker_basis":["008-F1 unresolved amount/factor calculation bridge in operative bilingual003/010.","008-F2 unresolved same-layer bilingual immorality exclusion scope."],"substantive_findings":[{"finding_id":"008-F1","impact":"Unresolved operative calculation interpretation; preserve formula as printed and require authoritative clarification. Not a finding that all payments equalRM1 or contract is invalid.","issue":"MRTTRI003 defines reducing sum covered as an amount and directs monthly determination to010, but bilingual010 literally sets RSC_t=1 during deferment then a dimensionless discounted-power ratio with no initial sum multiplier or express normalization/scaling instruction. Present file does not resolve factor-to-benefit-amount bridge.","physical_pages":[24,35,39,50]},{"finding_id":"008-F2","impact":"Unresolved same-layer bilingual exclusion scope; do not silently import or delete exclusion.","issue":"English0082.1(c) includes immorality among excluded causes; Malay equivalent omits it. No express language-priority clause found in all present pages.","physical_pages":[32,47]}]}</t>
  </si>
  <si>
    <t xml:space="preserve">qa-b25-full-review-20261026/issues-and-clarifications.json#/group3_issue_history/entries/2/execution_findings_and_clarifications_preserved</t>
  </si>
  <si>
    <t xml:space="preserve">independent-qa.json#/batches/B25/documents/issues-and-clarifications.json/group3_issue_history/entries/2/execution_findings_and_clarifications_preserved</t>
  </si>
  <si>
    <t xml:space="preserve">09da1cafcb228f1079d0754db3d289ad1773a3c400da480c1e61d2f720dc9484</t>
  </si>
  <si>
    <t xml:space="preserve">qa-b25-full-review-20261026/issues-and-clarifications.json#/group3_issue_history/entries/2/independent_findings</t>
  </si>
  <si>
    <t xml:space="preserve">independent-qa.json#/batches/B25/documents/issues-and-clarifications.json/group3_issue_history/entries/2/independent_findings</t>
  </si>
  <si>
    <t xml:space="preserve">qa-b25-full-review-20261026/issues-and-clarifications.json#/group3_issue_history/entries/2/metadata_corrections</t>
  </si>
  <si>
    <t xml:space="preserve">independent-qa.json#/batches/B25/documents/issues-and-clarifications.json/group3_issue_history/entries/2/metadata_corrections</t>
  </si>
  <si>
    <t xml:space="preserve">qa-b25-full-review-20261026/issues-and-clarifications.json#/group3_issue_history/entries/2/status</t>
  </si>
  <si>
    <t xml:space="preserve">independent-qa.json#/batches/B25/documents/issues-and-clarifications.json/group3_issue_history/entries/2/status</t>
  </si>
  <si>
    <t xml:space="preserve">qa-b25-full-review-20261026/issues-and-clarifications.json#/group3_issue_history/entries/2/strict_basis</t>
  </si>
  <si>
    <t xml:space="preserve">independent-qa.json#/batches/B25/documents/issues-and-clarifications.json/group3_issue_history/entries/2/strict_basis</t>
  </si>
  <si>
    <t xml:space="preserve">qa-b25-full-review-20261026/issues-and-clarifications.json#/group3_issue_history/entries/2/task_id</t>
  </si>
  <si>
    <t xml:space="preserve">independent-qa.json#/batches/B25/documents/issues-and-clarifications.json/group3_issue_history/entries/2/task_id</t>
  </si>
  <si>
    <t xml:space="preserve">qa-b25-full-review-20261026/issues-and-clarifications.json#/group3_issue_history/entries/3/execution_findings_and_clarifications_preserved/clarifications</t>
  </si>
  <si>
    <t xml:space="preserve">independent-qa.json#/batches/B25/documents/issues-and-clarifications.json/group3_issue_history/entries/3/execution_findings_and_clarifications_preserved/clarifications</t>
  </si>
  <si>
    <t xml:space="preserve">qa-b25-full-review-20261026/issues-and-clarifications.json#/group3_issue_history/entries/3/execution_findings_and_clarifications_preserved/correction_basis</t>
  </si>
  <si>
    <t xml:space="preserve">independent-qa.json#/batches/B25/documents/issues-and-clarifications.json/group3_issue_history/entries/3/execution_findings_and_clarifications_preserved/correction_basis</t>
  </si>
  <si>
    <t xml:space="preserve">qa-b25-full-review-20261026/issues-and-clarifications.json#/group3_issue_history/entries/3/execution_findings_and_clarifications_preserved/preserved_uncertainties</t>
  </si>
  <si>
    <t xml:space="preserve">independent-qa.json#/batches/B25/documents/issues-and-clarifications.json/group3_issue_history/entries/3/execution_findings_and_clarifications_preserved/preserved_uncertainties</t>
  </si>
  <si>
    <t xml:space="preserve">qa-b25-full-review-20261026/issues-and-clarifications.json#/group3_issue_history/entries/3/execution_findings_and_clarifications_preserved/strict_blocker_basis</t>
  </si>
  <si>
    <t xml:space="preserve">independent-qa.json#/batches/B25/documents/issues-and-clarifications.json/group3_issue_history/entries/3/execution_findings_and_clarifications_preserved/strict_blocker_basis</t>
  </si>
  <si>
    <t xml:space="preserve">qa-b25-full-review-20261026/issues-and-clarifications.json#/group3_issue_history/entries/3/execution_findings_and_clarifications_preserved/substantive_findings</t>
  </si>
  <si>
    <t xml:space="preserve">independent-qa.json#/batches/B25/documents/issues-and-clarifications.json/group3_issue_history/entries/3/execution_findings_and_clarifications_preserved/substantive_findings</t>
  </si>
  <si>
    <t xml:space="preserve">qa-b25-full-review-20261026/issues-and-clarifications.json#/group3_issue_history/entries/3/independent_findings</t>
  </si>
  <si>
    <t xml:space="preserve">independent-qa.json#/batches/B25/documents/issues-and-clarifications.json/group3_issue_history/entries/3/independent_findings</t>
  </si>
  <si>
    <t xml:space="preserve">qa-b25-full-review-20261026/issues-and-clarifications.json#/group3_issue_history/entries/3/metadata_corrections</t>
  </si>
  <si>
    <t xml:space="preserve">independent-qa.json#/batches/B25/documents/issues-and-clarifications.json/group3_issue_history/entries/3/metadata_corrections</t>
  </si>
  <si>
    <t xml:space="preserve">qa-b25-full-review-20261026/issues-and-clarifications.json#/group3_issue_history/entries/3/status</t>
  </si>
  <si>
    <t xml:space="preserve">independent-qa.json#/batches/B25/documents/issues-and-clarifications.json/group3_issue_history/entries/3/status</t>
  </si>
  <si>
    <t xml:space="preserve">qa-b25-full-review-20261026/issues-and-clarifications.json#/group3_issue_history/entries/3/strict_basis</t>
  </si>
  <si>
    <t xml:space="preserve">independent-qa.json#/batches/B25/documents/issues-and-clarifications.json/group3_issue_history/entries/3/strict_basis</t>
  </si>
  <si>
    <t xml:space="preserve">qa-b25-full-review-20261026/issues-and-clarifications.json#/group3_issue_history/entries/3/task_id</t>
  </si>
  <si>
    <t xml:space="preserve">independent-qa.json#/batches/B25/documents/issues-and-clarifications.json/group3_issue_history/entries/3/task_id</t>
  </si>
  <si>
    <t xml:space="preserve">{"clarifications":[{"clarification":"Importantnotice endorsement PA013code differsactualPA012; uniqueheadingandFMBentityidentify intendedpresentcomponent, boundedcross-reference defect notmissingcomponent.","pages":[18,19,46,74]},{"clarification":"2018notwithstandingaddition coversspecifiedinfectiondeath/TPD notwithstandingoldaccidentdefinition/infectionexclusions; no impossiblecover orinvalidity inferred.","pages":[5,6,9,10,11,12,16,17,28,29,38,56,57,66]},{"clarification":"Fundsurplus/Qard clauses readsequentially; no doubleQarddeduction inferred.","pages":[1,2,3,4]},{"clarification":"Malay hazardavocationlist omitsEnglishboxingword, but nonlistedrecreations/generalhazardexclusion remains; not independentmaterialcoverageconflict.","pages":[37,65,35,63]},{"clarification":"English PA0081.1 says second certificate YEAR; Malay p70 says second ANNIVERSARY, although both tables show year2=10%,year3+=20%. Table does not expressly correct operative prose.","correction_basis":"Independent216dpi comparison of physical42/70 and2018replacementscope PA0081.3 only.","pages":[42,70]},{"clarification":"Bothlanguages capweeklybenefit NOTMORETHAN104weeks; no negation mismatch.","pages":[45,73]}],"correction_basis":[{"clarification":"English PA0081.1 says second certificate YEAR; Malay p70 says second ANNIVERSARY, although both tables show year2=10%,year3+=20%. Table does not expressly correct operative prose.","correction_basis":"Independent216dpi comparison of physical42/70 and2018replacementscope PA0081.3 only.","initial_note_before_zoom_correction":"Year1zero/year2ten/year3onward20%bonuslevelthereafter,renewalcontributionpaid;schemechangeresetsfirstyear.1.3benefitlist expresslyexpanded2018toinfectiondeath/TPD.","pages":[42,70]}],"preserved_uncertainties":["Sourceeditioncurrentadoption andindividualissuedcertificate notestablished; basebenefitschedule ispresent butnotpersonalcertificate.","No expressEnglish/Malaylanguagepriorityfound.","Mastercode suffixnotpresumeddate; undatedOFSendorsement effectivedate unspecified.","HistoricGST/statutoryreferences readasdocumenttext notexternallyvalidatedcurrentlaw."],"strict_blocker_basis":["015-F1fundexpensequalification and015-F2thirdpartyoffset remain materiallydifferentbilingualoperativewording.","015-F3renewalprosetiming conflictswithparallelwording/table without expresscorrection."],"substantive_findings":[{"finding_id":"015-F1","impact":"Unresolved same-layer fundexpense scope; no expresslanguagepriority found.","issue":"2019PA00316.3 English other DIRECT CLAIMS RELATED expenses; Malay other expenses relatedtoriskfund without directclaims qualifier.","physical_pages":[1,3]},{"finding_id":"015-F2","impact":"Potential different coordination-of-benefit amount; no priority/correction found.","issue":"PA0101.3 English offset amount PAYABLE bythirdparty afterwholly/part reimbursement trigger; Malay offset amount ALREADYPAID (telahdibayar).","physical_pages":[44,72]},{"finding_id":"015-F3","impact":"Table corroboratesyearscale but operativeMalaytiming remainsuncorrected; authoritativeclarification needed ratherthansilentrewrite.","issue":"PA0081.1 English10%fromsecondcertificateYEAR; MalaysecondANNIVERSARY. Bothtablesyear2=10%year3+=20%;2018onlyreplaces1.3.","physical_pages":[42,70]}]}</t>
  </si>
  <si>
    <t xml:space="preserve">qa-b25-full-review-20261026/issues-and-clarifications.json#/group3_issue_history/entries/4/execution_findings_and_clarifications_preserved</t>
  </si>
  <si>
    <t xml:space="preserve">independent-qa.json#/batches/B25/documents/issues-and-clarifications.json/group3_issue_history/entries/4/execution_findings_and_clarifications_preserved</t>
  </si>
  <si>
    <t xml:space="preserve">b5c6190cdc31008958912c128ddd26d3a16254816aa4179de858c235dc2ab02a</t>
  </si>
  <si>
    <t xml:space="preserve">qa-b25-full-review-20261026/issues-and-clarifications.json#/group3_issue_history/entries/4/independent_findings</t>
  </si>
  <si>
    <t xml:space="preserve">independent-qa.json#/batches/B25/documents/issues-and-clarifications.json/group3_issue_history/entries/4/independent_findings</t>
  </si>
  <si>
    <t xml:space="preserve">qa-b25-full-review-20261026/issues-and-clarifications.json#/group3_issue_history/entries/4/metadata_corrections</t>
  </si>
  <si>
    <t xml:space="preserve">independent-qa.json#/batches/B25/documents/issues-and-clarifications.json/group3_issue_history/entries/4/metadata_corrections</t>
  </si>
  <si>
    <t xml:space="preserve">qa-b25-full-review-20261026/issues-and-clarifications.json#/group3_issue_history/entries/4/status</t>
  </si>
  <si>
    <t xml:space="preserve">independent-qa.json#/batches/B25/documents/issues-and-clarifications.json/group3_issue_history/entries/4/status</t>
  </si>
  <si>
    <t xml:space="preserve">qa-b25-full-review-20261026/issues-and-clarifications.json#/group3_issue_history/entries/4/strict_basis</t>
  </si>
  <si>
    <t xml:space="preserve">independent-qa.json#/batches/B25/documents/issues-and-clarifications.json/group3_issue_history/entries/4/strict_basis</t>
  </si>
  <si>
    <t xml:space="preserve">qa-b25-full-review-20261026/issues-and-clarifications.json#/group3_issue_history/entries/4/task_id</t>
  </si>
  <si>
    <t xml:space="preserve">independent-qa.json#/batches/B25/documents/issues-and-clarifications.json/group3_issue_history/entries/4/task_id</t>
  </si>
  <si>
    <t xml:space="preserve">qa-b25-full-review-20261026/issues-and-clarifications.json#/group3_issue_history/entries/5/execution_findings_and_clarifications_preserved/clarifications</t>
  </si>
  <si>
    <t xml:space="preserve">independent-qa.json#/batches/B25/documents/issues-and-clarifications.json/group3_issue_history/entries/5/execution_findings_and_clarifications_preserved/clarifications</t>
  </si>
  <si>
    <t xml:space="preserve">qa-b25-full-review-20261026/issues-and-clarifications.json#/group3_issue_history/entries/5/execution_findings_and_clarifications_preserved/correction_basis</t>
  </si>
  <si>
    <t xml:space="preserve">independent-qa.json#/batches/B25/documents/issues-and-clarifications.json/group3_issue_history/entries/5/execution_findings_and_clarifications_preserved/correction_basis</t>
  </si>
  <si>
    <t xml:space="preserve">qa-b25-full-review-20261026/issues-and-clarifications.json#/group3_issue_history/entries/5/execution_findings_and_clarifications_preserved/preserved_uncertainties</t>
  </si>
  <si>
    <t xml:space="preserve">independent-qa.json#/batches/B25/documents/issues-and-clarifications.json/group3_issue_history/entries/5/execution_findings_and_clarifications_preserved/preserved_uncertainties</t>
  </si>
  <si>
    <t xml:space="preserve">qa-b25-full-review-20261026/issues-and-clarifications.json#/group3_issue_history/entries/5/execution_findings_and_clarifications_preserved/strict_blocker_basis</t>
  </si>
  <si>
    <t xml:space="preserve">independent-qa.json#/batches/B25/documents/issues-and-clarifications.json/group3_issue_history/entries/5/execution_findings_and_clarifications_preserved/strict_blocker_basis</t>
  </si>
  <si>
    <t xml:space="preserve">qa-b25-full-review-20261026/issues-and-clarifications.json#/group3_issue_history/entries/5/execution_findings_and_clarifications_preserved/substantive_findings</t>
  </si>
  <si>
    <t xml:space="preserve">independent-qa.json#/batches/B25/documents/issues-and-clarifications.json/group3_issue_history/entries/5/execution_findings_and_clarifications_preserved/substantive_findings</t>
  </si>
  <si>
    <t xml:space="preserve">qa-b25-full-review-20261026/issues-and-clarifications.json#/group3_issue_history/entries/5/independent_findings/0</t>
  </si>
  <si>
    <t xml:space="preserve">independent-qa.json#/batches/B25/documents/issues-and-clarifications.json/group3_issue_history/entries/5/independent_findings/0</t>
  </si>
  <si>
    <t xml:space="preserve">qa-b25-full-review-20261026/issues-and-clarifications.json#/group3_issue_history/entries/5/independent_findings/1</t>
  </si>
  <si>
    <t xml:space="preserve">independent-qa.json#/batches/B25/documents/issues-and-clarifications.json/group3_issue_history/entries/5/independent_findings/1</t>
  </si>
  <si>
    <t xml:space="preserve">qa-b25-full-review-20261026/issues-and-clarifications.json#/group3_issue_history/entries/5/independent_findings/2</t>
  </si>
  <si>
    <t xml:space="preserve">independent-qa.json#/batches/B25/documents/issues-and-clarifications.json/group3_issue_history/entries/5/independent_findings/2</t>
  </si>
  <si>
    <t xml:space="preserve">qa-b25-full-review-20261026/issues-and-clarifications.json#/group3_issue_history/entries/5/independent_findings/3</t>
  </si>
  <si>
    <t xml:space="preserve">independent-qa.json#/batches/B25/documents/issues-and-clarifications.json/group3_issue_history/entries/5/independent_findings/3</t>
  </si>
  <si>
    <t xml:space="preserve">qa-b25-full-review-20261026/issues-and-clarifications.json#/group3_issue_history/entries/5/independent_findings/4</t>
  </si>
  <si>
    <t xml:space="preserve">independent-qa.json#/batches/B25/documents/issues-and-clarifications.json/group3_issue_history/entries/5/independent_findings/4</t>
  </si>
  <si>
    <t xml:space="preserve">qa-b25-full-review-20261026/issues-and-clarifications.json#/group3_issue_history/entries/5/independent_findings/5</t>
  </si>
  <si>
    <t xml:space="preserve">independent-qa.json#/batches/B25/documents/issues-and-clarifications.json/group3_issue_history/entries/5/independent_findings/5</t>
  </si>
  <si>
    <t xml:space="preserve">qa-b25-full-review-20261026/issues-and-clarifications.json#/group3_issue_history/entries/5/independent_findings/6</t>
  </si>
  <si>
    <t xml:space="preserve">independent-qa.json#/batches/B25/documents/issues-and-clarifications.json/group3_issue_history/entries/5/independent_findings/6</t>
  </si>
  <si>
    <t xml:space="preserve">qa-b25-full-review-20261026/issues-and-clarifications.json#/group3_issue_history/entries/5/independent_findings/7</t>
  </si>
  <si>
    <t xml:space="preserve">independent-qa.json#/batches/B25/documents/issues-and-clarifications.json/group3_issue_history/entries/5/independent_findings/7</t>
  </si>
  <si>
    <t xml:space="preserve">qa-b25-full-review-20261026/issues-and-clarifications.json#/group3_issue_history/entries/5/independent_findings/8</t>
  </si>
  <si>
    <t xml:space="preserve">independent-qa.json#/batches/B25/documents/issues-and-clarifications.json/group3_issue_history/entries/5/independent_findings/8</t>
  </si>
  <si>
    <t xml:space="preserve">qa-b25-full-review-20261026/issues-and-clarifications.json#/group3_issue_history/entries/5/independent_findings/9</t>
  </si>
  <si>
    <t xml:space="preserve">independent-qa.json#/batches/B25/documents/issues-and-clarifications.json/group3_issue_history/entries/5/independent_findings/9</t>
  </si>
  <si>
    <t xml:space="preserve">qa-b25-full-review-20261026/issues-and-clarifications.json#/group3_issue_history/entries/5/independent_findings/10</t>
  </si>
  <si>
    <t xml:space="preserve">independent-qa.json#/batches/B25/documents/issues-and-clarifications.json/group3_issue_history/entries/5/independent_findings/10</t>
  </si>
  <si>
    <t xml:space="preserve">qa-b25-full-review-20261026/issues-and-clarifications.json#/group3_issue_history/entries/5/independent_findings/11</t>
  </si>
  <si>
    <t xml:space="preserve">independent-qa.json#/batches/B25/documents/issues-and-clarifications.json/group3_issue_history/entries/5/independent_findings/11</t>
  </si>
  <si>
    <t xml:space="preserve">qa-b25-full-review-20261026/issues-and-clarifications.json#/group3_issue_history/entries/5/metadata_corrections/0</t>
  </si>
  <si>
    <t xml:space="preserve">independent-qa.json#/batches/B25/documents/issues-and-clarifications.json/group3_issue_history/entries/5/metadata_corrections/0</t>
  </si>
  <si>
    <t xml:space="preserve">qa-b25-full-review-20261026/issues-and-clarifications.json#/group3_issue_history/entries/5/metadata_corrections/1</t>
  </si>
  <si>
    <t xml:space="preserve">independent-qa.json#/batches/B25/documents/issues-and-clarifications.json/group3_issue_history/entries/5/metadata_corrections/1</t>
  </si>
  <si>
    <t xml:space="preserve">qa-b25-full-review-20261026/issues-and-clarifications.json#/group3_issue_history/entries/5/metadata_corrections/2</t>
  </si>
  <si>
    <t xml:space="preserve">independent-qa.json#/batches/B25/documents/issues-and-clarifications.json/group3_issue_history/entries/5/metadata_corrections/2</t>
  </si>
  <si>
    <t xml:space="preserve">qa-b25-full-review-20261026/issues-and-clarifications.json#/group3_issue_history/entries/5/metadata_corrections/3</t>
  </si>
  <si>
    <t xml:space="preserve">independent-qa.json#/batches/B25/documents/issues-and-clarifications.json/group3_issue_history/entries/5/metadata_corrections/3</t>
  </si>
  <si>
    <t xml:space="preserve">qa-b25-full-review-20261026/issues-and-clarifications.json#/group3_issue_history/entries/5/metadata_corrections/4</t>
  </si>
  <si>
    <t xml:space="preserve">independent-qa.json#/batches/B25/documents/issues-and-clarifications.json/group3_issue_history/entries/5/metadata_corrections/4</t>
  </si>
  <si>
    <t xml:space="preserve">qa-b25-full-review-20261026/issues-and-clarifications.json#/group3_issue_history/entries/5/metadata_corrections/5</t>
  </si>
  <si>
    <t xml:space="preserve">independent-qa.json#/batches/B25/documents/issues-and-clarifications.json/group3_issue_history/entries/5/metadata_corrections/5</t>
  </si>
  <si>
    <t xml:space="preserve">qa-b25-full-review-20261026/issues-and-clarifications.json#/group3_issue_history/entries/5/metadata_corrections/6</t>
  </si>
  <si>
    <t xml:space="preserve">independent-qa.json#/batches/B25/documents/issues-and-clarifications.json/group3_issue_history/entries/5/metadata_corrections/6</t>
  </si>
  <si>
    <t xml:space="preserve">qa-b25-full-review-20261026/issues-and-clarifications.json#/group3_issue_history/entries/5/metadata_corrections/7</t>
  </si>
  <si>
    <t xml:space="preserve">independent-qa.json#/batches/B25/documents/issues-and-clarifications.json/group3_issue_history/entries/5/metadata_corrections/7</t>
  </si>
  <si>
    <t xml:space="preserve">qa-b25-full-review-20261026/issues-and-clarifications.json#/group3_issue_history/entries/5/metadata_corrections/8</t>
  </si>
  <si>
    <t xml:space="preserve">independent-qa.json#/batches/B25/documents/issues-and-clarifications.json/group3_issue_history/entries/5/metadata_corrections/8</t>
  </si>
  <si>
    <t xml:space="preserve">qa-b25-full-review-20261026/issues-and-clarifications.json#/group3_issue_history/entries/5/status</t>
  </si>
  <si>
    <t xml:space="preserve">independent-qa.json#/batches/B25/documents/issues-and-clarifications.json/group3_issue_history/entries/5/status</t>
  </si>
  <si>
    <t xml:space="preserve">qa-b25-full-review-20261026/issues-and-clarifications.json#/group3_issue_history/entries/5/strict_basis</t>
  </si>
  <si>
    <t xml:space="preserve">independent-qa.json#/batches/B25/documents/issues-and-clarifications.json/group3_issue_history/entries/5/strict_basis</t>
  </si>
  <si>
    <t xml:space="preserve">qa-b25-full-review-20261026/issues-and-clarifications.json#/group3_issue_history/entries/5/task_id</t>
  </si>
  <si>
    <t xml:space="preserve">independent-qa.json#/batches/B25/documents/issues-and-clarifications.json/group3_issue_history/entries/5/task_id</t>
  </si>
  <si>
    <t xml:space="preserve">qa-b25-full-review-20261026/issues-and-clarifications.json#/group3_issue_history/entries/6/execution_findings_and_clarifications_preserved/clarifications</t>
  </si>
  <si>
    <t xml:space="preserve">independent-qa.json#/batches/B25/documents/issues-and-clarifications.json/group3_issue_history/entries/6/execution_findings_and_clarifications_preserved/clarifications</t>
  </si>
  <si>
    <t xml:space="preserve">qa-b25-full-review-20261026/issues-and-clarifications.json#/group3_issue_history/entries/6/execution_findings_and_clarifications_preserved/correction_basis</t>
  </si>
  <si>
    <t xml:space="preserve">independent-qa.json#/batches/B25/documents/issues-and-clarifications.json/group3_issue_history/entries/6/execution_findings_and_clarifications_preserved/correction_basis</t>
  </si>
  <si>
    <t xml:space="preserve">qa-b25-full-review-20261026/issues-and-clarifications.json#/group3_issue_history/entries/6/execution_findings_and_clarifications_preserved/preserved_uncertainties</t>
  </si>
  <si>
    <t xml:space="preserve">independent-qa.json#/batches/B25/documents/issues-and-clarifications.json/group3_issue_history/entries/6/execution_findings_and_clarifications_preserved/preserved_uncertainties</t>
  </si>
  <si>
    <t xml:space="preserve">qa-b25-full-review-20261026/issues-and-clarifications.json#/group3_issue_history/entries/6/execution_findings_and_clarifications_preserved/strict_blocker_basis</t>
  </si>
  <si>
    <t xml:space="preserve">independent-qa.json#/batches/B25/documents/issues-and-clarifications.json/group3_issue_history/entries/6/execution_findings_and_clarifications_preserved/strict_blocker_basis</t>
  </si>
  <si>
    <t xml:space="preserve">qa-b25-full-review-20261026/issues-and-clarifications.json#/group3_issue_history/entries/6/execution_findings_and_clarifications_preserved/substantive_findings</t>
  </si>
  <si>
    <t xml:space="preserve">independent-qa.json#/batches/B25/documents/issues-and-clarifications.json/group3_issue_history/entries/6/execution_findings_and_clarifications_preserved/substantive_findings</t>
  </si>
  <si>
    <t xml:space="preserve">qa-b25-full-review-20261026/issues-and-clarifications.json#/group3_issue_history/entries/6/independent_findings</t>
  </si>
  <si>
    <t xml:space="preserve">independent-qa.json#/batches/B25/documents/issues-and-clarifications.json/group3_issue_history/entries/6/independent_findings</t>
  </si>
  <si>
    <t xml:space="preserve">qa-b25-full-review-20261026/issues-and-clarifications.json#/group3_issue_history/entries/6/metadata_corrections</t>
  </si>
  <si>
    <t xml:space="preserve">independent-qa.json#/batches/B25/documents/issues-and-clarifications.json/group3_issue_history/entries/6/metadata_corrections</t>
  </si>
  <si>
    <t xml:space="preserve">qa-b25-full-review-20261026/issues-and-clarifications.json#/group3_issue_history/entries/6/status</t>
  </si>
  <si>
    <t xml:space="preserve">independent-qa.json#/batches/B25/documents/issues-and-clarifications.json/group3_issue_history/entries/6/status</t>
  </si>
  <si>
    <t xml:space="preserve">qa-b25-full-review-20261026/issues-and-clarifications.json#/group3_issue_history/entries/6/strict_basis</t>
  </si>
  <si>
    <t xml:space="preserve">independent-qa.json#/batches/B25/documents/issues-and-clarifications.json/group3_issue_history/entries/6/strict_basis</t>
  </si>
  <si>
    <t xml:space="preserve">qa-b25-full-review-20261026/issues-and-clarifications.json#/group3_issue_history/entries/6/task_id</t>
  </si>
  <si>
    <t xml:space="preserve">independent-qa.json#/batches/B25/documents/issues-and-clarifications.json/group3_issue_history/entries/6/task_id</t>
  </si>
  <si>
    <t xml:space="preserve">["B25-MY-001","B25-MY-007","B25-MY-008","B25-MY-009","B25-MY-015","B25-MY-017","B25-MY-020"]</t>
  </si>
  <si>
    <t xml:space="preserve">qa-b25-full-review-20261026/issues-and-clarifications.json#/group3_issue_history/scope</t>
  </si>
  <si>
    <t xml:space="preserve">independent-qa.json#/batches/B25/documents/issues-and-clarifications.json/group3_issue_history/scope</t>
  </si>
  <si>
    <t xml:space="preserve">7a64459006beda825ebfde5b253f326696d9bc86d34bcac7d2535fbf3f4474a8</t>
  </si>
  <si>
    <t xml:space="preserve">qa-b25-full-review-20261026/issues-and-clarifications.json#/no_current_adoption_individual_package_claim_or_legal_opinion</t>
  </si>
  <si>
    <t xml:space="preserve">independent-qa.json#/batches/B25/documents/issues-and-clarifications.json/no_current_adoption_individual_package_claim_or_legal_opinion</t>
  </si>
  <si>
    <t xml:space="preserve">"Frozen execution and earlier QA snapshots remain immutable history. Final per-file QA and explicit correction sidecars govern accepted facts/classification; history is not silently reaccepted."</t>
  </si>
  <si>
    <t xml:space="preserve">qa-b25-full-review-20261026/issues-and-clarifications.json#/precedence</t>
  </si>
  <si>
    <t xml:space="preserve">independent-qa.json#/batches/B25/documents/issues-and-clarifications.json/precedence</t>
  </si>
  <si>
    <t xml:space="preserve">b7b03d7743702ba35a1e0e802181ea01b93be385ef5c41e98a7292e6be917d90</t>
  </si>
  <si>
    <t xml:space="preserve">qa-b25-full-review-20261026/issues-and-clarifications.json#/reassigned024_audit/all_66_execution_zoom_fact_fields_read</t>
  </si>
  <si>
    <t xml:space="preserve">independent-qa.json#/batches/B25/documents/issues-and-clarifications.json/reassigned024_audit/all_66_execution_zoom_fact_fields_read</t>
  </si>
  <si>
    <t xml:space="preserve">qa-b25-full-review-20261026/issues-and-clarifications.json#/reassigned024_audit/all_89_execution_notes_read</t>
  </si>
  <si>
    <t xml:space="preserve">independent-qa.json#/batches/B25/documents/issues-and-clarifications.json/reassigned024_audit/all_89_execution_notes_read</t>
  </si>
  <si>
    <t xml:space="preserve">["task_id","prior_task_id","queue_id","original_id","sha256","target","region_code","source_member","source_archive_sha256","source_insurer_preserved","completed_at_utc","review_status","all_pages_reviewed","full_content_review_complete","actual_present_physical_pages","semantically_reviewed_physical_pages","file_level_primary_role_previously_accepted","independent_QA","method","page_proof_path","page_proof_sha256","preflight_path","preflight_sha256","zoom_confirmation_path","zoom_confirmation_sha256","new_original","new_primary","new_product","current_adoption_credit","package_complete_credit","gap_closure_credit","verification_status","strict_eligible_proposal","proposal_only","observed_identity","components","content_summary","substantive_findings","clarifications","correction_basis","preserved_uncertainties","strict_blocker_basis"]</t>
  </si>
  <si>
    <t xml:space="preserve">qa-b25-full-review-20261026/issues-and-clarifications.json#/reassigned024_audit/all_non_note_result_fields_read</t>
  </si>
  <si>
    <t xml:space="preserve">independent-qa.json#/batches/B25/documents/issues-and-clarifications.json/reassigned024_audit/all_non_note_result_fields_read</t>
  </si>
  <si>
    <t xml:space="preserve">98b9f6aa8fdcad4f170b12db6ac61ee5eb4e7b13b2a0d5ec827a58874ff23092</t>
  </si>
  <si>
    <t xml:space="preserve">qa-b25-full-review-20261026/issues-and-clarifications.json#/reassigned024_audit/all_register_rows_read</t>
  </si>
  <si>
    <t xml:space="preserve">independent-qa.json#/batches/B25/documents/issues-and-clarifications.json/reassigned024_audit/all_register_rows_read</t>
  </si>
  <si>
    <t xml:space="preserve">qa-b25-full-review-20261026/issues-and-clarifications.json#/reassigned024_audit/execution_metadata_corrections_key_absent</t>
  </si>
  <si>
    <t xml:space="preserve">independent-qa.json#/batches/B25/documents/issues-and-clarifications.json/reassigned024_audit/execution_metadata_corrections_key_absent</t>
  </si>
  <si>
    <t xml:space="preserve">"1ca668ed5e3d0406e666ed335ad91cddda8918ff200ac9aefa78bfd6353f5810"</t>
  </si>
  <si>
    <t xml:space="preserve">qa-b25-full-review-20261026/issues-and-clarifications.json#/reassigned024_audit/execution_pageproof_sha256</t>
  </si>
  <si>
    <t xml:space="preserve">independent-qa.json#/batches/B25/documents/issues-and-clarifications.json/reassigned024_audit/execution_pageproof_sha256</t>
  </si>
  <si>
    <t xml:space="preserve">ec4e5cd70ca1c7753df653ae50082bf7739cee5da8fdd7ce01216afa919f5cd5</t>
  </si>
  <si>
    <t xml:space="preserve">"fb54d94127c31ef1bd145c6c60d14ed9dae3809763ce60139d466c47bf19e547"</t>
  </si>
  <si>
    <t xml:space="preserve">qa-b25-full-review-20261026/issues-and-clarifications.json#/reassigned024_audit/execution_register_sha256</t>
  </si>
  <si>
    <t xml:space="preserve">independent-qa.json#/batches/B25/documents/issues-and-clarifications.json/reassigned024_audit/execution_register_sha256</t>
  </si>
  <si>
    <t xml:space="preserve">a601263c47dd73ee4597a063793c506507f2985a7ca807ec877cc9a1b7286daf</t>
  </si>
  <si>
    <t xml:space="preserve">"execution-evidence.json#/batches/B25/documents/group3~1024-result.json"</t>
  </si>
  <si>
    <t xml:space="preserve">qa-b25-full-review-20261026/issues-and-clarifications.json#/reassigned024_audit/execution_result_path</t>
  </si>
  <si>
    <t xml:space="preserve">independent-qa.json#/batches/B25/documents/issues-and-clarifications.json/reassigned024_audit/execution_result_path</t>
  </si>
  <si>
    <t xml:space="preserve">d64792c6db517227efea24fda593067260a755f971c5391ec5890467e70427f6</t>
  </si>
  <si>
    <t xml:space="preserve">"adb2f246f2180b35f2ee1a5336fd9b9b0c000de754edd3ee8f60ab079ee11bd0"</t>
  </si>
  <si>
    <t xml:space="preserve">qa-b25-full-review-20261026/issues-and-clarifications.json#/reassigned024_audit/execution_result_sha256</t>
  </si>
  <si>
    <t xml:space="preserve">independent-qa.json#/batches/B25/documents/issues-and-clarifications.json/reassigned024_audit/execution_result_sha256</t>
  </si>
  <si>
    <t xml:space="preserve">7c8291836ba90a39bc07860122372c598f0188ab6835126fb2d12e20ebb60554</t>
  </si>
  <si>
    <t xml:space="preserve">"21cac293ce2f75051fe4a47f37235629d5a7fc715b51a992630cc72e3e46a7f1"</t>
  </si>
  <si>
    <t xml:space="preserve">qa-b25-full-review-20261026/issues-and-clarifications.json#/reassigned024_audit/execution_zoom_sha256</t>
  </si>
  <si>
    <t xml:space="preserve">independent-qa.json#/batches/B25/documents/issues-and-clarifications.json/reassigned024_audit/execution_zoom_sha256</t>
  </si>
  <si>
    <t xml:space="preserve">9ab0e22ab1b11f1d2600e2d0e0b2a805cde907f5dce9034ade354434865ae9ce</t>
  </si>
  <si>
    <t xml:space="preserve">qa-b25-full-review-20261026/issues-and-clarifications.json#/reassigned024_audit/frozen_register_row_preserved/clarifications</t>
  </si>
  <si>
    <t xml:space="preserve">independent-qa.json#/batches/B25/documents/issues-and-clarifications.json/reassigned024_audit/frozen_register_row_preserved/clarifications</t>
  </si>
  <si>
    <t xml:space="preserve">qa-b25-full-review-20261026/issues-and-clarifications.json#/reassigned024_audit/frozen_register_row_preserved/correction_basis</t>
  </si>
  <si>
    <t xml:space="preserve">independent-qa.json#/batches/B25/documents/issues-and-clarifications.json/reassigned024_audit/frozen_register_row_preserved/correction_basis</t>
  </si>
  <si>
    <t xml:space="preserve">{"clarification":"Withdraw initial blanket statement that underlying TPD exclusions are referenced by the later accidentTPD benefit; baseTPD exclusions govern their own benefit, not automatically every add-on.","component":"SWP004 3–4","corrected_at_utc":"2026-10-26T20:47:26.980559+00:00","correction_basis":"Full reading followed by216dpi SWP0092.1 at physical34/80 identifies SWP004 only. No source amendment inferred.","display_sha256":"05bc062d0595be8cdd651a7778419532f6f30240b49016e8d3824ef38af813be","initial_note_before_scope_correction":"Accident death also hazardous pursuits except foot racing, preexisting defects, war/riot, professional sports, needless willful/negligent risk. AccidentTPD add-on exclusions active service, infirmity/illness/infection except accidental wound, pregnancy, prior defects, professional sports and needless risk; separate underlyingTPD exclusions still referenced in later benefit.","language":"English","method":"ordinary_read_only_visual_144dpi","physical_page":18,"reviewed_at_utc":"2026-10-26T20:29:43.339211+00:00","semantic_note":"Accident death also excludes hazardous pursuits except foot racing, preexisting defects, war/riot, professional sports and needless willful/negligent risk. SWP004 accidentTPD exclusions include active service, infirmity/illness/infection except accidental wound, pregnancy, prior defects, professional sports and needless risk. Later SWP009 expressly incorporates SWP004; it does not separately incorporate base TPD SWP006 exclusions.","semantic_read":true,"task_id":"B25-MY-024"}</t>
  </si>
  <si>
    <t xml:space="preserve">qa-b25-full-review-20261026/issues-and-clarifications.json#/reassigned024_audit/frozen_register_row_preserved/page_proof_corrections/0</t>
  </si>
  <si>
    <t xml:space="preserve">independent-qa.json#/batches/B25/documents/issues-and-clarifications.json/reassigned024_audit/frozen_register_row_preserved/page_proof_corrections/0</t>
  </si>
  <si>
    <t xml:space="preserve">d815df8f0642b86544e3d955078334f2b7ce9dd34042112513d276af43e161dd</t>
  </si>
  <si>
    <t xml:space="preserve">{"clarification":"216dpi confirms Malay potensi malignan has no low/rendah qualifier; English low malignant potential p25 differs.","component":"SWP007 5.7–5.9","confirmed_at_utc":"2026-10-26T20:47:26.980592+00:00","correction_basis":"Paired English/Malay216dpi ordinary visual reread; all other surrounding conditions retained. No priority/replacement clause observed.","display_sha256":"76bf512ab632a738dd96dc6021f2328bcddc63f77c43dbfaecbcd0fb435acf47","initial_note_before_zoom_confirmation":"Cancerin situ/borderline/potensi malignan excluded—LOWqualifiernotvisiblehere unlikeEnglishp25,needs216confirmation. Prostate/thyroid/bladderT1N0M0;CLL&lt;RAI3/HIV/nonmelanomaskin excluded. CardiomyopathyNYHAIII+echopermanentnotalcoholdrugs. Marrowfailureall3cytopeniasand&gt;=2treatments,4thnextpage.","language":"Malay","method":"ordinary_read_only_visual_144dpi","physical_page":70,"reviewed_at_utc":"2026-10-26T20:35:04.110070+00:00","semantic_note":"Cancerin situ/borderline/potensi malignan excluded—LOWqualifiernotvisiblehere unlikeEnglishp25,confirmed216dpi. Prostate/thyroid/bladderT1N0M0;CLL&lt;RAI3/HIV/nonmelanomaskin excluded. CardiomyopathyNYHAIII+echopermanentnotalcoholdrugs. Marrowfailureall3cytopeniasand&gt;=2treatments,4thnextpage.","semantic_read":true,"task_id":"B25-MY-024"}</t>
  </si>
  <si>
    <t xml:space="preserve">qa-b25-full-review-20261026/issues-and-clarifications.json#/reassigned024_audit/frozen_register_row_preserved/page_proof_corrections/1</t>
  </si>
  <si>
    <t xml:space="preserve">independent-qa.json#/batches/B25/documents/issues-and-clarifications.json/reassigned024_audit/frozen_register_row_preserved/page_proof_corrections/1</t>
  </si>
  <si>
    <t xml:space="preserve">bed5a6a7b4aec6fbc927728f937e7f3c9e6123cbe4edf257d93e5732fe826b33</t>
  </si>
  <si>
    <t xml:space="preserve">{"clarification":"216dpi confirms sourceinstitution ATAU(OR) abilitytracebloodorigin; English p29 AND differs.","component":"SWP007 5.17–5.20","confirmed_at_utc":"2026-10-26T20:47:26.980598+00:00","correction_basis":"Paired English/Malay216dpi ordinary visual reread; all other surrounding conditions retained. No priority/replacement clause observed.","display_sha256":"d856a62daf77c828885dc965f233f4d6efebbc6ff8cdabc4015178fa4608de49","initial_note_before_zoom_confirmation":"HeartattackTroponinT/I&gt;=0.5ngml/CPKMB,doctorconfirmation,ACS/proceduremarkersout. Valveactualopenheartnotcatheter/keyhole. HIV ALLmednecessary/MYorSGafterstart/nonhemophilia/nonhighrisk; sourceinstitution OR(atau)institutiontracesblood differsEnglishp29AND,216pending. Kidneysbothirreversible dialysis/transplant.","language":"Malay","method":"ordinary_read_only_visual_144dpi","physical_page":73,"reviewed_at_utc":"2026-10-26T20:35:42.523560+00:00","semantic_note":"HeartattackTroponinT/I&gt;=0.5ngml/CPKMB,doctorconfirmation,ACS/proceduremarkersout. Valveactualopenheartnotcatheter/keyhole. HIV ALLmednecessary/MYorSGafterstart/nonhemophilia/nonhighrisk; sourceinstitution OR(atau)institutiontracesblood differsEnglishp29AND,confirmed216dpi. Kidneysbothirreversible dialysis/transplant.","semantic_read":true,"task_id":"B25-MY-024"}</t>
  </si>
  <si>
    <t xml:space="preserve">qa-b25-full-review-20261026/issues-and-clarifications.json#/reassigned024_audit/frozen_register_row_preserved/page_proof_corrections/2</t>
  </si>
  <si>
    <t xml:space="preserve">independent-qa.json#/batches/B25/documents/issues-and-clarifications.json/reassigned024_audit/frozen_register_row_preserved/page_proof_corrections/2</t>
  </si>
  <si>
    <t xml:space="preserve">60b99013ce9bde309838c9c616d43392683dd0f93f49e19442af0cff852d2b45</t>
  </si>
  <si>
    <t xml:space="preserve">{"clarification":"216dpi confirms minimum12years hari lahir terakhir (lastbirthday), versus English p30 nextbirthday.","component":"SWP007 5.27–5.31","confirmed_at_utc":"2026-10-26T20:47:26.980604+00:00","correction_basis":"Paired English/Malay216dpi ordinary visual reread; all other surrounding conditions retained. No priority/replacement clause observed.","display_sha256":"57c06bd33e8e177325df238ea088796dc2ae7eb2133db092e879776b460d2583","initial_note_before_zoom_confirmation":"MSALLtests/motorANDsensory6months/historyremissionexacerbation. Dystrophyallweakness/nosensory/EMGbiopsy; minimum12LASTbirthday(hari terakhir) vsEnglishnextp30,216pending. Paralysis2limbs6months. Parkinsonidiopathicuncontrolledprogressive3ADLnotdrugtoxin. PrimarypulmonaryHTNrightventricleenlargecatheterNYHAIII+.","language":"Malay","method":"ordinary_read_only_visual_144dpi","physical_page":75,"reviewed_at_utc":"2026-10-26T20:35:42.524038+00:00","semantic_note":"MSALLtests/motorANDsensory6months/historyremissionexacerbation. Dystrophyallweakness/nosensory/EMGbiopsy; minimum12LASTbirthday(hari terakhir) vsEnglishnextp30,confirmed216dpi. Paralysis2limbs6months. Parkinsonidiopathicuncontrolledprogressive3ADLnotdrugtoxin. PrimarypulmonaryHTNrightventricleenlargecatheterNYHAIII+.","semantic_read":true,"task_id":"B25-MY-024"}</t>
  </si>
  <si>
    <t xml:space="preserve">qa-b25-full-review-20261026/issues-and-clarifications.json#/reassigned024_audit/frozen_register_row_preserved/page_proof_corrections/3</t>
  </si>
  <si>
    <t xml:space="preserve">independent-qa.json#/batches/B25/documents/issues-and-clarifications.json/reassigned024_audit/frozen_register_row_preserved/page_proof_corrections/3</t>
  </si>
  <si>
    <t xml:space="preserve">6d493f5148efa1c02dc0a2cf97a901601fdcd7d592bfa2d291dabd3c1f78cc29</t>
  </si>
  <si>
    <t xml:space="preserve">{}</t>
  </si>
  <si>
    <t xml:space="preserve">qa-b25-full-review-20261026/issues-and-clarifications.json#/reassigned024_audit/frozen_register_row_preserved/result_initial_and_correction_fields</t>
  </si>
  <si>
    <t xml:space="preserve">independent-qa.json#/batches/B25/documents/issues-and-clarifications.json/reassigned024_audit/frozen_register_row_preserved/result_initial_and_correction_fields</t>
  </si>
  <si>
    <t xml:space="preserve">44136fa355b3678a1146ad16f7e8649e94fb4fc21fe77e8310c060f61caaff8a</t>
  </si>
  <si>
    <t xml:space="preserve">qa-b25-full-review-20261026/issues-and-clarifications.json#/reassigned024_audit/frozen_register_row_preserved/result_path</t>
  </si>
  <si>
    <t xml:space="preserve">independent-qa.json#/batches/B25/documents/issues-and-clarifications.json/reassigned024_audit/frozen_register_row_preserved/result_path</t>
  </si>
  <si>
    <t xml:space="preserve">qa-b25-full-review-20261026/issues-and-clarifications.json#/reassigned024_audit/frozen_register_row_preserved/result_sha256</t>
  </si>
  <si>
    <t xml:space="preserve">independent-qa.json#/batches/B25/documents/issues-and-clarifications.json/reassigned024_audit/frozen_register_row_preserved/result_sha256</t>
  </si>
  <si>
    <t xml:space="preserve">qa-b25-full-review-20261026/issues-and-clarifications.json#/reassigned024_audit/frozen_register_row_preserved/task_id</t>
  </si>
  <si>
    <t xml:space="preserve">independent-qa.json#/batches/B25/documents/issues-and-clarifications.json/reassigned024_audit/frozen_register_row_preserved/task_id</t>
  </si>
  <si>
    <t xml:space="preserve">qa-b25-full-review-20261026/issues-and-clarifications.json#/reassigned024_audit/independent_corrections/0</t>
  </si>
  <si>
    <t xml:space="preserve">independent-qa.json#/batches/B25/documents/issues-and-clarifications.json/reassigned024_audit/independent_corrections/0</t>
  </si>
  <si>
    <t xml:space="preserve">qa-b25-full-review-20261026/issues-and-clarifications.json#/reassigned024_audit/independent_corrections/1</t>
  </si>
  <si>
    <t xml:space="preserve">independent-qa.json#/batches/B25/documents/issues-and-clarifications.json/reassigned024_audit/independent_corrections/1</t>
  </si>
  <si>
    <t xml:space="preserve">qa-b25-full-review-20261026/issues-and-clarifications.json#/reassigned024_audit/independent_corrections/2</t>
  </si>
  <si>
    <t xml:space="preserve">independent-qa.json#/batches/B25/documents/issues-and-clarifications.json/reassigned024_audit/independent_corrections/2</t>
  </si>
  <si>
    <t xml:space="preserve">qa-b25-full-review-20261026/issues-and-clarifications.json#/reassigned024_audit/independent_corrections/3</t>
  </si>
  <si>
    <t xml:space="preserve">independent-qa.json#/batches/B25/documents/issues-and-clarifications.json/reassigned024_audit/independent_corrections/3</t>
  </si>
  <si>
    <t xml:space="preserve">qa-b25-full-review-20261026/issues-and-clarifications.json#/reassigned024_audit/independent_corrections/4</t>
  </si>
  <si>
    <t xml:space="preserve">independent-qa.json#/batches/B25/documents/issues-and-clarifications.json/reassigned024_audit/independent_corrections/4</t>
  </si>
  <si>
    <t xml:space="preserve">qa-b25-full-review-20261026/issues-and-clarifications.json#/reassigned024_audit/independent_corrections/5</t>
  </si>
  <si>
    <t xml:space="preserve">independent-qa.json#/batches/B25/documents/issues-and-clarifications.json/reassigned024_audit/independent_corrections/5</t>
  </si>
  <si>
    <t xml:space="preserve">"Actual89 pages independently semantically read144dpi and71 independent216dpi confirmations; then compare all execution metadata, never use execution as substitute for source reading."</t>
  </si>
  <si>
    <t xml:space="preserve">qa-b25-full-review-20261026/issues-and-clarifications.json#/reassigned024_audit/method</t>
  </si>
  <si>
    <t xml:space="preserve">independent-qa.json#/batches/B25/documents/issues-and-clarifications.json/reassigned024_audit/method</t>
  </si>
  <si>
    <t xml:space="preserve">6dc1dc734ada2886fa4827856bfd86d692674d06b3bdd8ac61568693f51f3479</t>
  </si>
  <si>
    <t xml:space="preserve">qa-b25-full-review-20261026/issues-and-clarifications.json#/reassigned024_audit/task_id</t>
  </si>
  <si>
    <t xml:space="preserve">independent-qa.json#/batches/B25/documents/issues-and-clarifications.json/reassigned024_audit/task_id</t>
  </si>
  <si>
    <t xml:space="preserve">qa-b25-full-review-20261026/issues-and-clarifications.json#/reassigned024_final_metadata_corrections/0</t>
  </si>
  <si>
    <t xml:space="preserve">independent-qa.json#/batches/B25/documents/issues-and-clarifications.json/reassigned024_final_metadata_corrections/0</t>
  </si>
  <si>
    <t xml:space="preserve">qa-b25-full-review-20261026/issues-and-clarifications.json#/reassigned024_final_metadata_corrections/1</t>
  </si>
  <si>
    <t xml:space="preserve">independent-qa.json#/batches/B25/documents/issues-and-clarifications.json/reassigned024_final_metadata_corrections/1</t>
  </si>
  <si>
    <t xml:space="preserve">qa-b25-full-review-20261026/issues-and-clarifications.json#/reassigned024_final_metadata_corrections/2</t>
  </si>
  <si>
    <t xml:space="preserve">independent-qa.json#/batches/B25/documents/issues-and-clarifications.json/reassigned024_final_metadata_corrections/2</t>
  </si>
  <si>
    <t xml:space="preserve">qa-b25-full-review-20261026/issues-and-clarifications.json#/reassigned024_final_metadata_corrections/3</t>
  </si>
  <si>
    <t xml:space="preserve">independent-qa.json#/batches/B25/documents/issues-and-clarifications.json/reassigned024_final_metadata_corrections/3</t>
  </si>
  <si>
    <t xml:space="preserve">qa-b25-full-review-20261026/issues-and-clarifications.json#/reassigned024_final_metadata_corrections/4</t>
  </si>
  <si>
    <t xml:space="preserve">independent-qa.json#/batches/B25/documents/issues-and-clarifications.json/reassigned024_final_metadata_corrections/4</t>
  </si>
  <si>
    <t xml:space="preserve">qa-b25-full-review-20261026/issues-and-clarifications.json#/reassigned024_final_metadata_corrections/5</t>
  </si>
  <si>
    <t xml:space="preserve">independent-qa.json#/batches/B25/documents/issues-and-clarifications.json/reassigned024_final_metadata_corrections/5</t>
  </si>
  <si>
    <t xml:space="preserve">qa-b25-full-review-20261026/issues-and-clarifications.json#/reassigned024_final_metadata_corrections/6</t>
  </si>
  <si>
    <t xml:space="preserve">independent-qa.json#/batches/B25/documents/issues-and-clarifications.json/reassigned024_final_metadata_corrections/6</t>
  </si>
  <si>
    <t xml:space="preserve">"Final result includes M7 temporaryboxing-example withdrawal after standalone audit; all final result.metadata_corrections retained and take priority."</t>
  </si>
  <si>
    <t xml:space="preserve">qa-b25-full-review-20261026/issues-and-clarifications.json#/reassigned024_precedence</t>
  </si>
  <si>
    <t xml:space="preserve">independent-qa.json#/batches/B25/documents/issues-and-clarifications.json/reassigned024_precedence</t>
  </si>
  <si>
    <t xml:space="preserve">d38d2d2856c0a34bc6463ae596e0927fe5009f41eb08df4ef0479027b8cca844</t>
  </si>
  <si>
    <t xml:space="preserve">B26批次历史</t>
  </si>
  <si>
    <t xml:space="preserve">独立QA范围边界</t>
  </si>
  <si>
    <t xml:space="preserve">"All001–005 independent decisions, all independent review fields retained, no frozen execution rewrite"</t>
  </si>
  <si>
    <t xml:space="preserve">qa-b2627-final-review-20261026/issues-and-clarifications-b26.json#/scope</t>
  </si>
  <si>
    <t xml:space="preserve">independent-qa.json#/batches/B26/documents/issues-and-clarifications-b26.json/scope</t>
  </si>
  <si>
    <t xml:space="preserve">87de40d534b5795e4c0fd39452679c0385e0f66ec55c0945ce44e537cbec5635</t>
  </si>
  <si>
    <t xml:space="preserve">"005 date/self-injury wording questions preserved as source clarifications, not silently equated or actual adopted claim findings. No actual customer case is needed to notice a bilingual discrepancy; strict is already withheld on confirmed charge-reference gap and facility scope. Formulas not certified for all mathematical inputs."</t>
  </si>
  <si>
    <t xml:space="preserve">qa-b2627-final-review-20261026/issues-and-clarifications-b26.json#/integration_boundary</t>
  </si>
  <si>
    <t xml:space="preserve">independent-qa.json#/batches/B26/documents/issues-and-clarifications-b26.json/integration_boundary</t>
  </si>
  <si>
    <t xml:space="preserve">33f6bb07a5c83c7e0df0141dd8e2a891abec8d7974648a26b33c6ed5605e19bc</t>
  </si>
  <si>
    <t xml:space="preserve">交付范围与后续采集计划</t>
  </si>
  <si>
    <t xml:space="preserve">实际状态与范围</t>
  </si>
  <si>
    <t xml:space="preserve">下一步</t>
  </si>
  <si>
    <t xml:space="preserve">完成／停止条件</t>
  </si>
  <si>
    <t xml:space="preserve">证据定位</t>
  </si>
  <si>
    <t xml:space="preserve">当前正式终态</t>
  </si>
  <si>
    <t xml:space="preserve">实际网站127／固定私有索引103，三件精确远端回验及双指针同步完成。</t>
  </si>
  <si>
    <t xml:space="preserve">以最新本页为入口；旧表内“当前”均以该表原历史时点为准。</t>
  </si>
  <si>
    <t xml:space="preserve">精确远端三件、独立完整验证、双指针与138逐SHA对账同时成立。</t>
  </si>
  <si>
    <t xml:space="preserve">delivery-final252627-20261026/qa/terminal-state-verification.json</t>
  </si>
  <si>
    <t xml:space="preserve">当前库存与内容</t>
  </si>
  <si>
    <t xml:space="preserve">全文、部分、主角色、严格与隔离分别计量。</t>
  </si>
  <si>
    <t xml:space="preserve">隔离51不是角色身份held；不混用分母。</t>
  </si>
  <si>
    <t xml:space="preserve">delivery-final252627-20261026/qa/terminal-state-verification.json#/counts</t>
  </si>
  <si>
    <t xml:space="preserve">固定原138当前分区</t>
  </si>
  <si>
    <t xml:space="preserve">分母138和原SHA集合不变；11未全文逐项列在下方。</t>
  </si>
  <si>
    <t xml:space="preserve">full不等于身份、采用、合同包或产品缺口闭合。</t>
  </si>
  <si>
    <t xml:space="preserve">delivery-final252627-20261026/closeout/original138-current-index103.private.json#/original138</t>
  </si>
  <si>
    <t xml:space="preserve">原角色90当前分区</t>
  </si>
  <si>
    <t xml:space="preserve">B27不属于角色90；身份held另列5＝四MY全文＋一KH未全文。</t>
  </si>
  <si>
    <t xml:space="preserve">原90身份历史不删；不得以full自动解除held。</t>
  </si>
  <si>
    <t xml:space="preserve">delivery-final252627-20261026/closeout/original138-current-index103.private.json#/role90</t>
  </si>
  <si>
    <t xml:space="preserve">本次与阶段累计</t>
  </si>
  <si>
    <t xml:space="preserve">本次30项、1891页。全文＋30，部分−1，主角色＋1，严格＋3；B25仅004／006／007 verified。</t>
  </si>
  <si>
    <t xml:space="preserve">B28纠正保留，旧51页和45页窄核不重计；其余业务信用0。</t>
  </si>
  <si>
    <t xml:space="preserve">B25-27内容验收!A1:BW31</t>
  </si>
  <si>
    <t xml:space="preserve">文件级全文的边界</t>
  </si>
  <si>
    <t xml:space="preserve">全文≠主身份≠严格≠当前采用≠个人合同包；不称全市场完成。</t>
  </si>
  <si>
    <t xml:space="preserve">按地区→准确产品／保司／holder／代码／版次→对应材料使用。</t>
  </si>
  <si>
    <t xml:space="preserve">不作精算合理、实际可赔、现售、个人适用或个人齐套保证。</t>
  </si>
  <si>
    <t xml:space="preserve">B25-27复核事项!A1:I1125</t>
  </si>
  <si>
    <t xml:space="preserve">30项验收导航</t>
  </si>
  <si>
    <t xml:space="preserve">30个不同既存原件，1891现存物理页；不增加原件或独立产品。</t>
  </si>
  <si>
    <t xml:space="preserve">查看逐项状态、正文问题、身份边界与归档下载。</t>
  </si>
  <si>
    <t xml:space="preserve">接受事实、原件SHA及当前发布应一致。</t>
  </si>
  <si>
    <t xml:space="preserve">完整事实导航</t>
  </si>
  <si>
    <t xml:space="preserve">1124条事实明细包含最终问题、澄清及保留的更正／撤回历史。</t>
  </si>
  <si>
    <t xml:space="preserve">由归档成员＋RFC6901字段定位和源检查点回溯。</t>
  </si>
  <si>
    <t xml:space="preserve">事项明细不另计工单、full、strict或页数。</t>
  </si>
  <si>
    <t xml:space="preserve">未全文 1/11</t>
  </si>
  <si>
    <t xml:space="preserve">KH Traveller’s Insurance；partial；英文13–25页已读，高棉语1–12页未可靠语义核对。</t>
  </si>
  <si>
    <t xml:space="preserve">可靠核对高棉语1–12页并与英文对照；核对23页所引准确附件。</t>
  </si>
  <si>
    <t xml:space="preserve">不得拿Forte PA/IEMA Claim Procedure或AirAsia主合同替代；缺口有界保留。</t>
  </si>
  <si>
    <t xml:space="preserve">delivery-final252627-20261026/closeout/original138-current-index103.private.json#/not_full_rows/0；SHA 04b8a27f379ceade54171a795ce15e87296bef71ccdaa44d3e433c9cf4f2bea2</t>
  </si>
  <si>
    <t xml:space="preserve">未全文 2/11</t>
  </si>
  <si>
    <t xml:space="preserve">MY CIS／支持材料，未全文：GTTCP0425／Legacy and Protection。GTT SO／GTTSO、GTT BH不能替代CP。</t>
  </si>
  <si>
    <t xml:space="preserve">仅有实质新证据时匹配准确官方主合同、代码及holder：CIMB Bank Berhad，另核产品/Plan和版次。</t>
  </si>
  <si>
    <t xml:space="preserve">准确关系获证并独立接受，或保留有界缺口；不重复旧锚点/旧GET，不以CIS顶替。</t>
  </si>
  <si>
    <t xml:space="preserve">delivery-final252627-20261026/closeout/original138-current-index103.private.json#/not_full_rows/1；SHA 07c5c6d5fb1fec2500240c2ff34f4ed386f7c89c7543940bd9c190f1fd43cb80</t>
  </si>
  <si>
    <t xml:space="preserve">未全文 3/11</t>
  </si>
  <si>
    <t xml:space="preserve">MY CIS／支持材料，未全文：GTTCIMB0623／Plan A（冻结GTL/CIMB Bank标签保留）。旧CIMBGTT0623与GTTCIMB0623顺序不同，未获代码等同证明。</t>
  </si>
  <si>
    <t xml:space="preserve">仅有实质新证据时匹配准确官方主合同、代码及holder：CIMB Islamic Bank Berhad，另核产品/Plan和版次。</t>
  </si>
  <si>
    <t xml:space="preserve">delivery-final252627-20261026/closeout/original138-current-index103.private.json#/not_full_rows/2；SHA 1db8d63aa433ea6d59dbc350f44c704456313df333db2358f26cf278df16b137</t>
  </si>
  <si>
    <t xml:space="preserve">未全文 4/11</t>
  </si>
  <si>
    <t xml:space="preserve">MY CIS／支持材料，未全文：GTLCIMB1124／Plan B。同码旧Plan A仍是CIS；GTL0313等不能替代，Plan A/B不合并。</t>
  </si>
  <si>
    <t xml:space="preserve">delivery-final252627-20261026/closeout/original138-current-index103.private.json#/not_full_rows/3；SHA 2c0bd51ab5ff5b161fa434fad7ef5b03b02b218c46d383417dab38e637bc088c</t>
  </si>
  <si>
    <t xml:space="preserve">未全文 5/11</t>
  </si>
  <si>
    <t xml:space="preserve">KH EASYCare；partial；正文2–31页高棉语语义未可靠确认。</t>
  </si>
  <si>
    <t xml:space="preserve">可靠核对2–31页及Appendix 1（28–31）；区分公开通用组件与个人字段。</t>
  </si>
  <si>
    <t xml:space="preserve">保留历史准确现行链接／SHA观察；不因他次失败推翻或用结构显示当full。</t>
  </si>
  <si>
    <t xml:space="preserve">delivery-final252627-20261026/closeout/original138-current-index103.private.json#/not_full_rows/4；SHA 3e77306f99110780970b358c4fe675b0bd45142099ef5b2fdf74b3b25aa71c02</t>
  </si>
  <si>
    <t xml:space="preserve">未全文 6/11</t>
  </si>
  <si>
    <t xml:space="preserve">KH AIA Samrab Sokhapheap／Chambong来源标签；91页未全文且身份held。</t>
  </si>
  <si>
    <t xml:space="preserve">先可靠映射91页语言/组件、高棉语标题及IMR0与英文关系，再核正文和附加组件。</t>
  </si>
  <si>
    <t xml:space="preserve">不由稀疏旧文本猜高棉语页段；准确身份／语言未获证就保留held。</t>
  </si>
  <si>
    <t xml:space="preserve">delivery-final252627-20261026/closeout/original138-current-index103.private.json#/not_full_rows/5；SHA 4b414b3c8f4df54fd38b15069402ca2cd358672fae61ad83cb7e3465aa34c02a</t>
  </si>
  <si>
    <t xml:space="preserve">未全文 7/11</t>
  </si>
  <si>
    <t xml:space="preserve">KH Forte PA／IEMA；partial；英文21–40页已读，高棉语1–20页未可靠确认。</t>
  </si>
  <si>
    <t xml:space="preserve">可靠高棉语1–20页及双语主文／rider核对；保留事件6/7、最低年龄14年/14天差异。</t>
  </si>
  <si>
    <t xml:space="preserve">准确Claim Procedure仅在有界公开路径或获准答复出现时推进；不预认齐套。</t>
  </si>
  <si>
    <t xml:space="preserve">delivery-final252627-20261026/closeout/original138-current-index103.private.json#/not_full_rows/6；SHA 5afad175725a0d1df646fb6076379823cc7acfb17329be111256fbefe7624f24</t>
  </si>
  <si>
    <t xml:space="preserve">未全文 8/11</t>
  </si>
  <si>
    <t xml:space="preserve">MY CIS／支持材料，未全文：GTTSA0425／Legacy and Protection。GTT SO／GTTSO、GTT BH不能建立SA附件关系。</t>
  </si>
  <si>
    <t xml:space="preserve">delivery-final252627-20261026/closeout/original138-current-index103.private.json#/not_full_rows/7；SHA 7c9c448f8d1744108ca1953aab9a33f3a8d8ccc51b837eb3018365d79fc669f3</t>
  </si>
  <si>
    <t xml:space="preserve">未全文 9/11</t>
  </si>
  <si>
    <t xml:space="preserve">MY CIS／支持材料，未全文：GTTCIMB0623／Plan B（冻结GTL/CIMB Bank标签保留）。代码与旧CIMBGTT0623不等同；Plan B与Plan A、Green Home分开。</t>
  </si>
  <si>
    <t xml:space="preserve">delivery-final252627-20261026/closeout/original138-current-index103.private.json#/not_full_rows/8；SHA c33bc4acb793b240b66006cb6e16e52fdb3bd596261a9a1f30b25671dcc63014</t>
  </si>
  <si>
    <t xml:space="preserve">未全文 10/11</t>
  </si>
  <si>
    <t xml:space="preserve">MY CIS／支持材料，未全文：GTTCIMB0623／Green Home。旧B11未解观察不是已接受主合同关系；Green Home不补足代码桥。</t>
  </si>
  <si>
    <t xml:space="preserve">delivery-final252627-20261026/closeout/original138-current-index103.private.json#/not_full_rows/9；SHA db5c2580a3c7e7bc1ae64c2f4d8f9884bbaaffe0f8101054e28b6d82592c8447</t>
  </si>
  <si>
    <t xml:space="preserve">未全文 11/11</t>
  </si>
  <si>
    <t xml:space="preserve">MY CIS／支持材料，未全文：GTTCIMB1024／Green Home。旧主文该代码仅见文件名／URL，正文主号及holder未确立，不能由CIS填补。</t>
  </si>
  <si>
    <t xml:space="preserve">delivery-final252627-20261026/closeout/original138-current-index103.private.json#/not_full_rows/10；SHA ef41d5b18cc52660c449a261037c527339137614e285740c4734494e5eb473d1</t>
  </si>
  <si>
    <t xml:space="preserve">B26-MY-003 身份余项</t>
  </si>
  <si>
    <t xml:space="preserve">已full，但身份held／needs_review：2025 DTT00001／DTT00002及对应双语主合同关系未解决；新增HIV AND/OR问题保留。</t>
  </si>
  <si>
    <t xml:space="preserve">取得准确代码/holder/版次对应证据，分别核正文差异。</t>
  </si>
  <si>
    <t xml:space="preserve">准确新证据及相应授权后独立接受；不因full自动解除held，不算11未全文之外的新工单。</t>
  </si>
  <si>
    <t xml:space="preserve">delivery-final252627-20261026/closeout/original138-current-index103.private.json#/full_but_identity_held_rows/0</t>
  </si>
  <si>
    <t xml:space="preserve">B26-MY-004 身份余项</t>
  </si>
  <si>
    <t xml:space="preserve">已full，但身份held／needs_review：正文IVSB与2020批注Angkatan Koperasi holder、SSE0918／SSE1117及SMS/SSE引用未获对应桥。</t>
  </si>
  <si>
    <t xml:space="preserve">取得准确持有人变化、代码与附件目标证据；不以共同条名自动改码。</t>
  </si>
  <si>
    <t xml:space="preserve">delivery-final252627-20261026/closeout/original138-current-index103.private.json#/full_but_identity_held_rows/1</t>
  </si>
  <si>
    <t xml:space="preserve">B26-MY-002 身份余项</t>
  </si>
  <si>
    <t xml:space="preserve">已full，但身份held／needs_review：冻结Bank Rakyat／2015前标签与正文Al Rajhi holder不一致，身份held保留。</t>
  </si>
  <si>
    <t xml:space="preserve">取得准确holder/代码/版本桥；不直接迁移来源owner或合并他件。</t>
  </si>
  <si>
    <t xml:space="preserve">delivery-final252627-20261026/closeout/original138-current-index103.private.json#/full_but_identity_held_rows/2</t>
  </si>
  <si>
    <t xml:space="preserve">B26-MY-001 身份余项</t>
  </si>
  <si>
    <t xml:space="preserve">已full，但身份held／needs_review：New GASA来源标签与GASA2014／GASA0714正文关系、2025 GASA001目标仍待准确身份依据。</t>
  </si>
  <si>
    <t xml:space="preserve">取得准确官方映射及版本/批注目标证据；正文其他问题保持。</t>
  </si>
  <si>
    <t xml:space="preserve">delivery-final252627-20261026/closeout/original138-current-index103.private.json#/full_but_identity_held_rows/3</t>
  </si>
  <si>
    <t xml:space="preserve">交付边界</t>
  </si>
  <si>
    <t xml:space="preserve">固定138份既存原件是本阶段核对边界，不代表全市场、全部产品或个人合同包完成。</t>
  </si>
  <si>
    <t xml:space="preserve">后续按确切原件与缺口继续核对；不扩大已交付口径。</t>
  </si>
  <si>
    <t xml:space="preserve">所有138个SHA各有一次现状归属，全文、部分、未审和身份缺口分开。</t>
  </si>
  <si>
    <t xml:space="preserve">closeout-planning-20261026/closeout-sequence.json#/success_definition</t>
  </si>
  <si>
    <t xml:space="preserve">原件与临时副本</t>
  </si>
  <si>
    <t xml:space="preserve">原件以既存私有归档的成员和SHA定位；本地阅读／显示副本是工作副本。</t>
  </si>
  <si>
    <t xml:space="preserve">复核先比对归档及成员SHA；保留原件、原权限、来源身份与历史。</t>
  </si>
  <si>
    <t xml:space="preserve">临时副本不替代归档，不凭本地路径或文件名认定产品／版次。</t>
  </si>
  <si>
    <t xml:space="preserve">closeout-planning-20261026/remaining-exceptions.json#/rows</t>
  </si>
  <si>
    <t xml:space="preserve">公开来源优先级</t>
  </si>
  <si>
    <t xml:space="preserve">优先保司官方条款、监管公开材料，再用可核验平台材料补充来源线索。</t>
  </si>
  <si>
    <t xml:space="preserve">保存实际来源入口、取得时间、原件SHA与适用范围。</t>
  </si>
  <si>
    <t xml:space="preserve">未建立官方对应关系的平台副本不自动升级成官方现行采用。</t>
  </si>
  <si>
    <t xml:space="preserve">closeout-planning-20261026/closeout-sequence.json#/phases/3</t>
  </si>
  <si>
    <t xml:space="preserve">主文匹配</t>
  </si>
  <si>
    <t xml:space="preserve">准确产品、法律持有人、主合同参考码、基础版次与附加条款目标必须分别匹配。</t>
  </si>
  <si>
    <t xml:space="preserve">有新权威证据才推进准确映射；保留不同SHA和来源标签。</t>
  </si>
  <si>
    <t xml:space="preserve">同参考码或同名不是同版；不能转移他件full、strict、holder或合同包。</t>
  </si>
  <si>
    <t xml:space="preserve">closeout-reconciliation-20261026/next-actions.private.json#/highest_information_local_workorders</t>
  </si>
  <si>
    <t xml:space="preserve">引用组件与个人附表</t>
  </si>
  <si>
    <t xml:space="preserve">缺少通用引用文件，与未取得个人保单附表属于不同边界。</t>
  </si>
  <si>
    <t xml:space="preserve">先识别哪些是公开通用组件，再核对准确链接；不收集无关个人资料。</t>
  </si>
  <si>
    <t xml:space="preserve">不能把个人Schedule缺失普遍解释成原件漏页，也不能宣称个人齐套。</t>
  </si>
  <si>
    <t xml:space="preserve">closeout-reconciliation-20261026/next-actions.private.json#/language_queue</t>
  </si>
  <si>
    <t xml:space="preserve">访问受限</t>
  </si>
  <si>
    <t xml:space="preserve">只记录具体动作、目标和观察到的结果；不把单点失败推成全网无公开合同。</t>
  </si>
  <si>
    <t xml:space="preserve">遇到权限或访问限制停在已授权普通路径；有实质新证据再评估。</t>
  </si>
  <si>
    <t xml:space="preserve">不绕过拒绝、不猜测隐藏端点；应用错误不自动称WAF或403。</t>
  </si>
  <si>
    <t xml:space="preserve">closeout-planning-20261026/remaining-exceptions.json#/public_acquisition_constraints/restriction_handling</t>
  </si>
  <si>
    <t xml:space="preserve">未获用户明确发送批准；邮件环境此前readiness失败，未发送，不处于等回信状态。</t>
  </si>
  <si>
    <t xml:space="preserve">先核实接收方、准确内容及可用发件／回复路径，再取得发送批准。</t>
  </si>
  <si>
    <t xml:space="preserve">未满足这些条件仅保留拟议请求，不发送邮件、表单或电话请求。</t>
  </si>
  <si>
    <t xml:space="preserve">official-sample-request-queue-20261026/outreach-approval-state.json</t>
  </si>
  <si>
    <t xml:space="preserve">继续与停止</t>
  </si>
  <si>
    <t xml:space="preserve">后续行动以可验证新证据和具体缺口为依据，无新增工期或日程承诺。</t>
  </si>
  <si>
    <t xml:space="preserve">记录准确下一步、必要证据与授权条件。</t>
  </si>
  <si>
    <t xml:space="preserve">证明较窄状态并获接受，或明确剩余阻断及停止边界；不强行置为full／strict。</t>
  </si>
  <si>
    <t xml:space="preserve">历史计数说明</t>
  </si>
  <si>
    <t xml:space="preserve">旧计划17及过往各批计数均保留为历史，不替代本页实际终态分区。</t>
  </si>
  <si>
    <t xml:space="preserve">回溯历史时同时看批次时点、原件SHA与最终更正链。</t>
  </si>
  <si>
    <t xml:space="preserve">B24原QA 2/18仍为历史；B28纠正后当前3/17，不回滚strict423基线。</t>
  </si>
  <si>
    <t xml:space="preserve">closeout-planning-20261026/remaining-exceptions.json#/conditional_not_full_after_B23_B24_next24</t>
  </si>
</sst>
</file>

<file path=xl/styles.xml><?xml version="1.0" encoding="utf-8"?>
<styleSheet xmlns="http://schemas.openxmlformats.org/spreadsheetml/2006/main">
  <numFmts count="13">
    <numFmt numFmtId="164" formatCode="General"/>
    <numFmt numFmtId="165" formatCode="_(* #,##0.00_);_(* \(#,##0.00\);_(* \-??_);_(@_)"/>
    <numFmt numFmtId="166" formatCode="_(* #,##0.00_);_(* \(#,##0.00\);_(* \-??_);_(@_)"/>
    <numFmt numFmtId="167" formatCode="_(* #,##0_);_(* \(#,##0\);_(* \-_);_(@_)"/>
    <numFmt numFmtId="168" formatCode="_(* #,##0_);_(* \(#,##0\);_(* \-_);_(@_)"/>
    <numFmt numFmtId="169" formatCode="_(\$* #,##0.00_);_(\$* \(#,##0.00\);_(\$* \-??_);_(@_)"/>
    <numFmt numFmtId="170" formatCode="_(\$* #,##0.00_);_(\$* \(#,##0.00\);_(\$* \-??_);_(@_)"/>
    <numFmt numFmtId="171" formatCode="_(\$* #,##0_);_(\$* \(#,##0\);_(\$* \-_);_(@_)"/>
    <numFmt numFmtId="172" formatCode="_(\$* #,##0_);_(\$* \(#,##0\);_(\$* \-_);_(@_)"/>
    <numFmt numFmtId="173" formatCode="0%"/>
    <numFmt numFmtId="174" formatCode="yyyy\-mm\-dd"/>
    <numFmt numFmtId="175" formatCode="#,##0"/>
    <numFmt numFmtId="176" formatCode="yyyy\-mm\-dd\ hh:mm:ss"/>
  </numFmts>
  <fonts count="24">
    <font>
      <sz val="10"/>
      <name val="Arial"/>
      <family val="2"/>
    </font>
    <font>
      <sz val="10"/>
      <name val="Arial"/>
      <family val="0"/>
    </font>
    <font>
      <sz val="10"/>
      <name val="Arial"/>
      <family val="0"/>
    </font>
    <font>
      <sz val="10"/>
      <name val="Arial"/>
      <family val="0"/>
    </font>
    <font>
      <sz val="10"/>
      <name val="Arial"/>
      <family val="0"/>
      <charset val="1"/>
    </font>
    <font>
      <sz val="10"/>
      <name val="Arial"/>
      <family val="2"/>
      <charset val="1"/>
    </font>
    <font>
      <sz val="11"/>
      <name val="Calibri"/>
      <family val="0"/>
      <charset val="1"/>
    </font>
    <font>
      <sz val="11"/>
      <color rgb="FF20334A"/>
      <name val="Arial"/>
      <family val="0"/>
      <charset val="1"/>
    </font>
    <font>
      <b val="true"/>
      <sz val="16"/>
      <color rgb="FF18364D"/>
      <name val="Noto Sans CJK SC"/>
      <family val="2"/>
      <charset val="1"/>
    </font>
    <font>
      <sz val="11"/>
      <color rgb="FF20334A"/>
      <name val="Noto Sans CJK SC"/>
      <family val="2"/>
      <charset val="1"/>
    </font>
    <font>
      <b val="true"/>
      <sz val="11"/>
      <color rgb="FFFFFFFF"/>
      <name val="Noto Sans CJK SC"/>
      <family val="2"/>
      <charset val="1"/>
    </font>
    <font>
      <b val="true"/>
      <sz val="13"/>
      <color rgb="FF18364D"/>
      <name val="Noto Sans CJK SC"/>
      <family val="2"/>
      <charset val="1"/>
    </font>
    <font>
      <sz val="11"/>
      <color rgb="FF20334A"/>
      <name val="Arial"/>
      <family val="2"/>
      <charset val="1"/>
    </font>
    <font>
      <b val="true"/>
      <sz val="11"/>
      <color rgb="FFFFFFFF"/>
      <name val="Arial"/>
      <family val="2"/>
      <charset val="1"/>
    </font>
    <font>
      <b val="true"/>
      <sz val="11"/>
      <color rgb="FFFFFFFF"/>
      <name val="Noto Sans CJK SC"/>
      <family val="2"/>
    </font>
    <font>
      <sz val="11"/>
      <color rgb="FF20334A"/>
      <name val="Noto Sans CJK SC"/>
      <family val="2"/>
    </font>
    <font>
      <b val="true"/>
      <sz val="11"/>
      <color rgb="FFFFFFFF"/>
      <name val="Arial"/>
      <family val="0"/>
      <charset val="1"/>
    </font>
    <font>
      <u val="single"/>
      <sz val="11"/>
      <color rgb="FF0563C1"/>
      <name val="Arial"/>
      <family val="0"/>
      <charset val="1"/>
    </font>
    <font>
      <u val="single"/>
      <sz val="11"/>
      <color rgb="FF20334A"/>
      <name val="Arial"/>
      <family val="0"/>
      <charset val="1"/>
    </font>
    <font>
      <b val="true"/>
      <sz val="16"/>
      <color rgb="FF18364D"/>
      <name val="Arial"/>
      <family val="2"/>
      <charset val="1"/>
    </font>
    <font>
      <sz val="10"/>
      <name val="Noto Sans CJK SC"/>
      <family val="2"/>
      <charset val="1"/>
    </font>
    <font>
      <b val="true"/>
      <sz val="10"/>
      <color rgb="FFFFFFFF"/>
      <name val="Noto Sans CJK SC"/>
      <family val="2"/>
      <charset val="1"/>
    </font>
    <font>
      <sz val="10"/>
      <color rgb="FF203B53"/>
      <name val="Noto Sans CJK SC"/>
      <family val="2"/>
      <charset val="1"/>
    </font>
    <font>
      <sz val="11"/>
      <color rgb="FF203B53"/>
      <name val="Noto Sans CJK SC"/>
      <family val="2"/>
      <charset val="1"/>
    </font>
  </fonts>
  <fills count="8">
    <fill>
      <patternFill patternType="none"/>
    </fill>
    <fill>
      <patternFill patternType="gray125"/>
    </fill>
    <fill>
      <patternFill patternType="solid">
        <fgColor rgb="FF18364D"/>
        <bgColor rgb="FF193C53"/>
      </patternFill>
    </fill>
    <fill>
      <patternFill patternType="solid">
        <fgColor rgb="FFF3F5F7"/>
        <bgColor rgb="FFE9F1F7"/>
      </patternFill>
    </fill>
    <fill>
      <patternFill patternType="solid">
        <fgColor rgb="FFFFF2CC"/>
        <bgColor rgb="FFFDE9E7"/>
      </patternFill>
    </fill>
    <fill>
      <patternFill patternType="solid">
        <fgColor rgb="FFFFFFFF"/>
        <bgColor rgb="FFF3F5F7"/>
      </patternFill>
    </fill>
    <fill>
      <patternFill patternType="solid">
        <fgColor rgb="FFE9F1F7"/>
        <bgColor rgb="FFF3F5F7"/>
      </patternFill>
    </fill>
    <fill>
      <patternFill patternType="solid">
        <fgColor rgb="FF193C53"/>
        <bgColor rgb="FF203B53"/>
      </patternFill>
    </fill>
  </fills>
  <borders count="2">
    <border diagonalUp="false" diagonalDown="false">
      <left/>
      <right/>
      <top/>
      <bottom/>
      <diagonal/>
    </border>
    <border diagonalUp="false" diagonalDown="false">
      <left/>
      <right/>
      <top/>
      <bottom style="thin">
        <color rgb="FFCFD8E1"/>
      </bottom>
      <diagonal/>
    </border>
  </borders>
  <cellStyleXfs count="249">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4" fillId="0" borderId="0" applyFont="true" applyBorder="false" applyAlignment="false" applyProtection="false"/>
    <xf numFmtId="166" fontId="4" fillId="0" borderId="0" applyFont="true" applyBorder="false" applyAlignment="false" applyProtection="false"/>
    <xf numFmtId="166" fontId="4" fillId="0" borderId="0" applyFont="true" applyBorder="false" applyAlignment="false" applyProtection="false"/>
    <xf numFmtId="166" fontId="4" fillId="0" borderId="0" applyFont="true" applyBorder="false" applyAlignment="false" applyProtection="false"/>
    <xf numFmtId="166" fontId="4" fillId="0" borderId="0" applyFont="true" applyBorder="false" applyAlignment="false" applyProtection="false"/>
    <xf numFmtId="166" fontId="4" fillId="0" borderId="0" applyFont="true" applyBorder="false" applyAlignment="false" applyProtection="false"/>
    <xf numFmtId="166" fontId="4" fillId="0" borderId="0" applyFont="true" applyBorder="false" applyAlignment="false" applyProtection="false"/>
    <xf numFmtId="166" fontId="4" fillId="0" borderId="0" applyFont="true" applyBorder="false" applyAlignment="false" applyProtection="false"/>
    <xf numFmtId="166" fontId="4" fillId="0" borderId="0" applyFont="true" applyBorder="false" applyAlignment="false" applyProtection="false"/>
    <xf numFmtId="166" fontId="4" fillId="0" borderId="0" applyFont="true" applyBorder="false" applyAlignment="false" applyProtection="false"/>
    <xf numFmtId="166" fontId="4" fillId="0" borderId="0" applyFont="true" applyBorder="false" applyAlignment="false" applyProtection="false"/>
    <xf numFmtId="166" fontId="4" fillId="0" borderId="0" applyFont="true" applyBorder="false" applyAlignment="false" applyProtection="false"/>
    <xf numFmtId="166" fontId="4" fillId="0" borderId="0" applyFont="true" applyBorder="false" applyAlignment="false" applyProtection="false"/>
    <xf numFmtId="166" fontId="4" fillId="0" borderId="0" applyFont="true" applyBorder="false" applyAlignment="false" applyProtection="false"/>
    <xf numFmtId="166" fontId="4" fillId="0" borderId="0" applyFont="true" applyBorder="false" applyAlignment="false" applyProtection="false"/>
    <xf numFmtId="166" fontId="4" fillId="0" borderId="0" applyFont="true" applyBorder="false" applyAlignment="false" applyProtection="false"/>
    <xf numFmtId="166" fontId="4" fillId="0" borderId="0" applyFont="true" applyBorder="false" applyAlignment="false" applyProtection="false"/>
    <xf numFmtId="166" fontId="4" fillId="0" borderId="0" applyFont="true" applyBorder="false" applyAlignment="false" applyProtection="false"/>
    <xf numFmtId="166" fontId="4" fillId="0" borderId="0" applyFont="true" applyBorder="false" applyAlignment="false" applyProtection="false"/>
    <xf numFmtId="166" fontId="4" fillId="0" borderId="0" applyFont="true" applyBorder="false" applyAlignment="false" applyProtection="false"/>
    <xf numFmtId="166" fontId="4" fillId="0" borderId="0" applyFont="true" applyBorder="false" applyAlignment="false" applyProtection="false"/>
    <xf numFmtId="166" fontId="4" fillId="0" borderId="0" applyFont="true" applyBorder="false" applyAlignment="false" applyProtection="false"/>
    <xf numFmtId="166" fontId="4" fillId="0" borderId="0" applyFont="true" applyBorder="false" applyAlignment="false" applyProtection="false"/>
    <xf numFmtId="166" fontId="4" fillId="0" borderId="0" applyFont="true" applyBorder="false" applyAlignment="false" applyProtection="false"/>
    <xf numFmtId="166" fontId="4" fillId="0" borderId="0" applyFont="true" applyBorder="false" applyAlignment="false" applyProtection="false"/>
    <xf numFmtId="166" fontId="4" fillId="0" borderId="0" applyFont="true" applyBorder="false" applyAlignment="false" applyProtection="false"/>
    <xf numFmtId="166" fontId="4" fillId="0" borderId="0" applyFont="true" applyBorder="false" applyAlignment="false" applyProtection="false"/>
    <xf numFmtId="166" fontId="4" fillId="0" borderId="0" applyFont="true" applyBorder="false" applyAlignment="false" applyProtection="false"/>
    <xf numFmtId="166" fontId="4" fillId="0" borderId="0" applyFont="true" applyBorder="false" applyAlignment="false" applyProtection="false"/>
    <xf numFmtId="166" fontId="4" fillId="0" borderId="0" applyFont="true" applyBorder="false" applyAlignment="false" applyProtection="false"/>
    <xf numFmtId="166" fontId="4" fillId="0" borderId="0" applyFont="true" applyBorder="false" applyAlignment="false" applyProtection="false"/>
    <xf numFmtId="166" fontId="4" fillId="0" borderId="0" applyFont="true" applyBorder="false" applyAlignment="false" applyProtection="false"/>
    <xf numFmtId="166" fontId="4" fillId="0" borderId="0" applyFont="true" applyBorder="false" applyAlignment="false" applyProtection="false"/>
    <xf numFmtId="166" fontId="4" fillId="0" borderId="0" applyFont="true" applyBorder="false" applyAlignment="false" applyProtection="false"/>
    <xf numFmtId="166" fontId="4" fillId="0" borderId="0" applyFont="true" applyBorder="false" applyAlignment="false" applyProtection="false"/>
    <xf numFmtId="166" fontId="4" fillId="0" borderId="0" applyFont="true" applyBorder="false" applyAlignment="false" applyProtection="false"/>
    <xf numFmtId="166" fontId="4" fillId="0" borderId="0" applyFont="true" applyBorder="false" applyAlignment="false" applyProtection="false"/>
    <xf numFmtId="166" fontId="4" fillId="0" borderId="0" applyFont="true" applyBorder="false" applyAlignment="false" applyProtection="false"/>
    <xf numFmtId="167" fontId="4" fillId="0" borderId="0" applyFont="true" applyBorder="false" applyAlignment="false" applyProtection="false"/>
    <xf numFmtId="168" fontId="4" fillId="0" borderId="0" applyFont="true" applyBorder="false" applyAlignment="false" applyProtection="false"/>
    <xf numFmtId="168" fontId="4" fillId="0" borderId="0" applyFont="true" applyBorder="false" applyAlignment="false" applyProtection="false"/>
    <xf numFmtId="168" fontId="4" fillId="0" borderId="0" applyFont="true" applyBorder="false" applyAlignment="false" applyProtection="false"/>
    <xf numFmtId="168" fontId="4" fillId="0" borderId="0" applyFont="true" applyBorder="false" applyAlignment="false" applyProtection="false"/>
    <xf numFmtId="168" fontId="4" fillId="0" borderId="0" applyFont="true" applyBorder="false" applyAlignment="false" applyProtection="false"/>
    <xf numFmtId="168" fontId="4" fillId="0" borderId="0" applyFont="true" applyBorder="false" applyAlignment="false" applyProtection="false"/>
    <xf numFmtId="168" fontId="4" fillId="0" borderId="0" applyFont="true" applyBorder="false" applyAlignment="false" applyProtection="false"/>
    <xf numFmtId="168" fontId="4" fillId="0" borderId="0" applyFont="true" applyBorder="false" applyAlignment="false" applyProtection="false"/>
    <xf numFmtId="168" fontId="4" fillId="0" borderId="0" applyFont="true" applyBorder="false" applyAlignment="false" applyProtection="false"/>
    <xf numFmtId="168" fontId="4" fillId="0" borderId="0" applyFont="true" applyBorder="false" applyAlignment="false" applyProtection="false"/>
    <xf numFmtId="168" fontId="4" fillId="0" borderId="0" applyFont="true" applyBorder="false" applyAlignment="false" applyProtection="false"/>
    <xf numFmtId="168" fontId="4" fillId="0" borderId="0" applyFont="true" applyBorder="false" applyAlignment="false" applyProtection="false"/>
    <xf numFmtId="168" fontId="4" fillId="0" borderId="0" applyFont="true" applyBorder="false" applyAlignment="false" applyProtection="false"/>
    <xf numFmtId="168" fontId="4" fillId="0" borderId="0" applyFont="true" applyBorder="false" applyAlignment="false" applyProtection="false"/>
    <xf numFmtId="168" fontId="4" fillId="0" borderId="0" applyFont="true" applyBorder="false" applyAlignment="false" applyProtection="false"/>
    <xf numFmtId="168" fontId="4" fillId="0" borderId="0" applyFont="true" applyBorder="false" applyAlignment="false" applyProtection="false"/>
    <xf numFmtId="168" fontId="4" fillId="0" borderId="0" applyFont="true" applyBorder="false" applyAlignment="false" applyProtection="false"/>
    <xf numFmtId="168" fontId="4" fillId="0" borderId="0" applyFont="true" applyBorder="false" applyAlignment="false" applyProtection="false"/>
    <xf numFmtId="168" fontId="4" fillId="0" borderId="0" applyFont="true" applyBorder="false" applyAlignment="false" applyProtection="false"/>
    <xf numFmtId="168" fontId="4" fillId="0" borderId="0" applyFont="true" applyBorder="false" applyAlignment="false" applyProtection="false"/>
    <xf numFmtId="168" fontId="4" fillId="0" borderId="0" applyFont="true" applyBorder="false" applyAlignment="false" applyProtection="false"/>
    <xf numFmtId="168" fontId="4" fillId="0" borderId="0" applyFont="true" applyBorder="false" applyAlignment="false" applyProtection="false"/>
    <xf numFmtId="168" fontId="4" fillId="0" borderId="0" applyFont="true" applyBorder="false" applyAlignment="false" applyProtection="false"/>
    <xf numFmtId="168" fontId="4" fillId="0" borderId="0" applyFont="true" applyBorder="false" applyAlignment="false" applyProtection="false"/>
    <xf numFmtId="168" fontId="4" fillId="0" borderId="0" applyFont="true" applyBorder="false" applyAlignment="false" applyProtection="false"/>
    <xf numFmtId="168" fontId="4" fillId="0" borderId="0" applyFont="true" applyBorder="false" applyAlignment="false" applyProtection="false"/>
    <xf numFmtId="168" fontId="4" fillId="0" borderId="0" applyFont="true" applyBorder="false" applyAlignment="false" applyProtection="false"/>
    <xf numFmtId="168" fontId="4" fillId="0" borderId="0" applyFont="true" applyBorder="false" applyAlignment="false" applyProtection="false"/>
    <xf numFmtId="168" fontId="4" fillId="0" borderId="0" applyFont="true" applyBorder="false" applyAlignment="false" applyProtection="false"/>
    <xf numFmtId="168" fontId="4" fillId="0" borderId="0" applyFont="true" applyBorder="false" applyAlignment="false" applyProtection="false"/>
    <xf numFmtId="168" fontId="4" fillId="0" borderId="0" applyFont="true" applyBorder="false" applyAlignment="false" applyProtection="false"/>
    <xf numFmtId="168" fontId="4" fillId="0" borderId="0" applyFont="true" applyBorder="false" applyAlignment="false" applyProtection="false"/>
    <xf numFmtId="168" fontId="4" fillId="0" borderId="0" applyFont="true" applyBorder="false" applyAlignment="false" applyProtection="false"/>
    <xf numFmtId="168" fontId="4" fillId="0" borderId="0" applyFont="true" applyBorder="false" applyAlignment="false" applyProtection="false"/>
    <xf numFmtId="168" fontId="4" fillId="0" borderId="0" applyFont="true" applyBorder="false" applyAlignment="false" applyProtection="false"/>
    <xf numFmtId="168" fontId="4" fillId="0" borderId="0" applyFont="true" applyBorder="false" applyAlignment="false" applyProtection="false"/>
    <xf numFmtId="168" fontId="4" fillId="0" borderId="0" applyFont="true" applyBorder="false" applyAlignment="false" applyProtection="false"/>
    <xf numFmtId="169" fontId="4" fillId="0" borderId="0" applyFont="true" applyBorder="false" applyAlignment="false" applyProtection="false"/>
    <xf numFmtId="170" fontId="4" fillId="0" borderId="0" applyFont="true" applyBorder="false" applyAlignment="false" applyProtection="false"/>
    <xf numFmtId="170" fontId="4" fillId="0" borderId="0" applyFont="true" applyBorder="false" applyAlignment="false" applyProtection="false"/>
    <xf numFmtId="170" fontId="4" fillId="0" borderId="0" applyFont="true" applyBorder="false" applyAlignment="false" applyProtection="false"/>
    <xf numFmtId="170" fontId="4" fillId="0" borderId="0" applyFont="true" applyBorder="false" applyAlignment="false" applyProtection="false"/>
    <xf numFmtId="170" fontId="4" fillId="0" borderId="0" applyFont="true" applyBorder="false" applyAlignment="false" applyProtection="false"/>
    <xf numFmtId="170" fontId="4" fillId="0" borderId="0" applyFont="true" applyBorder="false" applyAlignment="false" applyProtection="false"/>
    <xf numFmtId="170" fontId="4" fillId="0" borderId="0" applyFont="true" applyBorder="false" applyAlignment="false" applyProtection="false"/>
    <xf numFmtId="170" fontId="4" fillId="0" borderId="0" applyFont="true" applyBorder="false" applyAlignment="false" applyProtection="false"/>
    <xf numFmtId="170" fontId="4" fillId="0" borderId="0" applyFont="true" applyBorder="false" applyAlignment="false" applyProtection="false"/>
    <xf numFmtId="170" fontId="4" fillId="0" borderId="0" applyFont="true" applyBorder="false" applyAlignment="false" applyProtection="false"/>
    <xf numFmtId="170" fontId="4" fillId="0" borderId="0" applyFont="true" applyBorder="false" applyAlignment="false" applyProtection="false"/>
    <xf numFmtId="170" fontId="4" fillId="0" borderId="0" applyFont="true" applyBorder="false" applyAlignment="false" applyProtection="false"/>
    <xf numFmtId="170" fontId="4" fillId="0" borderId="0" applyFont="true" applyBorder="false" applyAlignment="false" applyProtection="false"/>
    <xf numFmtId="170" fontId="4" fillId="0" borderId="0" applyFont="true" applyBorder="false" applyAlignment="false" applyProtection="false"/>
    <xf numFmtId="170" fontId="4" fillId="0" borderId="0" applyFont="true" applyBorder="false" applyAlignment="false" applyProtection="false"/>
    <xf numFmtId="170" fontId="4" fillId="0" borderId="0" applyFont="true" applyBorder="false" applyAlignment="false" applyProtection="false"/>
    <xf numFmtId="170" fontId="4" fillId="0" borderId="0" applyFont="true" applyBorder="false" applyAlignment="false" applyProtection="false"/>
    <xf numFmtId="170" fontId="4" fillId="0" borderId="0" applyFont="true" applyBorder="false" applyAlignment="false" applyProtection="false"/>
    <xf numFmtId="170" fontId="4" fillId="0" borderId="0" applyFont="true" applyBorder="false" applyAlignment="false" applyProtection="false"/>
    <xf numFmtId="170" fontId="4" fillId="0" borderId="0" applyFont="true" applyBorder="false" applyAlignment="false" applyProtection="false"/>
    <xf numFmtId="170" fontId="4" fillId="0" borderId="0" applyFont="true" applyBorder="false" applyAlignment="false" applyProtection="false"/>
    <xf numFmtId="170" fontId="4" fillId="0" borderId="0" applyFont="true" applyBorder="false" applyAlignment="false" applyProtection="false"/>
    <xf numFmtId="170" fontId="4" fillId="0" borderId="0" applyFont="true" applyBorder="false" applyAlignment="false" applyProtection="false"/>
    <xf numFmtId="170" fontId="4" fillId="0" borderId="0" applyFont="true" applyBorder="false" applyAlignment="false" applyProtection="false"/>
    <xf numFmtId="170" fontId="4" fillId="0" borderId="0" applyFont="true" applyBorder="false" applyAlignment="false" applyProtection="false"/>
    <xf numFmtId="170" fontId="4" fillId="0" borderId="0" applyFont="true" applyBorder="false" applyAlignment="false" applyProtection="false"/>
    <xf numFmtId="170" fontId="4" fillId="0" borderId="0" applyFont="true" applyBorder="false" applyAlignment="false" applyProtection="false"/>
    <xf numFmtId="170" fontId="4" fillId="0" borderId="0" applyFont="true" applyBorder="false" applyAlignment="false" applyProtection="false"/>
    <xf numFmtId="170" fontId="4" fillId="0" borderId="0" applyFont="true" applyBorder="false" applyAlignment="false" applyProtection="false"/>
    <xf numFmtId="170" fontId="4" fillId="0" borderId="0" applyFont="true" applyBorder="false" applyAlignment="false" applyProtection="false"/>
    <xf numFmtId="170" fontId="4" fillId="0" borderId="0" applyFont="true" applyBorder="false" applyAlignment="false" applyProtection="false"/>
    <xf numFmtId="170" fontId="4" fillId="0" borderId="0" applyFont="true" applyBorder="false" applyAlignment="false" applyProtection="false"/>
    <xf numFmtId="170" fontId="4" fillId="0" borderId="0" applyFont="true" applyBorder="false" applyAlignment="false" applyProtection="false"/>
    <xf numFmtId="170" fontId="4" fillId="0" borderId="0" applyFont="true" applyBorder="false" applyAlignment="false" applyProtection="false"/>
    <xf numFmtId="170" fontId="4" fillId="0" borderId="0" applyFont="true" applyBorder="false" applyAlignment="false" applyProtection="false"/>
    <xf numFmtId="170" fontId="4" fillId="0" borderId="0" applyFont="true" applyBorder="false" applyAlignment="false" applyProtection="false"/>
    <xf numFmtId="170" fontId="4" fillId="0" borderId="0" applyFont="true" applyBorder="false" applyAlignment="false" applyProtection="false"/>
    <xf numFmtId="171" fontId="4" fillId="0" borderId="0" applyFont="true" applyBorder="false" applyAlignment="false" applyProtection="false"/>
    <xf numFmtId="172" fontId="4" fillId="0" borderId="0" applyFont="true" applyBorder="false" applyAlignment="false" applyProtection="false"/>
    <xf numFmtId="172" fontId="4" fillId="0" borderId="0" applyFont="true" applyBorder="false" applyAlignment="false" applyProtection="false"/>
    <xf numFmtId="172" fontId="4" fillId="0" borderId="0" applyFont="true" applyBorder="false" applyAlignment="false" applyProtection="false"/>
    <xf numFmtId="172" fontId="4" fillId="0" borderId="0" applyFont="true" applyBorder="false" applyAlignment="false" applyProtection="false"/>
    <xf numFmtId="172" fontId="4" fillId="0" borderId="0" applyFont="true" applyBorder="false" applyAlignment="false" applyProtection="false"/>
    <xf numFmtId="172" fontId="4" fillId="0" borderId="0" applyFont="true" applyBorder="false" applyAlignment="false" applyProtection="false"/>
    <xf numFmtId="172" fontId="4" fillId="0" borderId="0" applyFont="true" applyBorder="false" applyAlignment="false" applyProtection="false"/>
    <xf numFmtId="172" fontId="4" fillId="0" borderId="0" applyFont="true" applyBorder="false" applyAlignment="false" applyProtection="false"/>
    <xf numFmtId="172" fontId="4" fillId="0" borderId="0" applyFont="true" applyBorder="false" applyAlignment="false" applyProtection="false"/>
    <xf numFmtId="172" fontId="4" fillId="0" borderId="0" applyFont="true" applyBorder="false" applyAlignment="false" applyProtection="false"/>
    <xf numFmtId="172" fontId="4" fillId="0" borderId="0" applyFont="true" applyBorder="false" applyAlignment="false" applyProtection="false"/>
    <xf numFmtId="172" fontId="4" fillId="0" borderId="0" applyFont="true" applyBorder="false" applyAlignment="false" applyProtection="false"/>
    <xf numFmtId="172" fontId="4" fillId="0" borderId="0" applyFont="true" applyBorder="false" applyAlignment="false" applyProtection="false"/>
    <xf numFmtId="172" fontId="4" fillId="0" borderId="0" applyFont="true" applyBorder="false" applyAlignment="false" applyProtection="false"/>
    <xf numFmtId="172" fontId="4" fillId="0" borderId="0" applyFont="true" applyBorder="false" applyAlignment="false" applyProtection="false"/>
    <xf numFmtId="172" fontId="4" fillId="0" borderId="0" applyFont="true" applyBorder="false" applyAlignment="false" applyProtection="false"/>
    <xf numFmtId="172" fontId="4" fillId="0" borderId="0" applyFont="true" applyBorder="false" applyAlignment="false" applyProtection="false"/>
    <xf numFmtId="172" fontId="4" fillId="0" borderId="0" applyFont="true" applyBorder="false" applyAlignment="false" applyProtection="false"/>
    <xf numFmtId="172" fontId="4" fillId="0" borderId="0" applyFont="true" applyBorder="false" applyAlignment="false" applyProtection="false"/>
    <xf numFmtId="172" fontId="4" fillId="0" borderId="0" applyFont="true" applyBorder="false" applyAlignment="false" applyProtection="false"/>
    <xf numFmtId="172" fontId="4" fillId="0" borderId="0" applyFont="true" applyBorder="false" applyAlignment="false" applyProtection="false"/>
    <xf numFmtId="172" fontId="4" fillId="0" borderId="0" applyFont="true" applyBorder="false" applyAlignment="false" applyProtection="false"/>
    <xf numFmtId="172" fontId="4" fillId="0" borderId="0" applyFont="true" applyBorder="false" applyAlignment="false" applyProtection="false"/>
    <xf numFmtId="172" fontId="4" fillId="0" borderId="0" applyFont="true" applyBorder="false" applyAlignment="false" applyProtection="false"/>
    <xf numFmtId="172" fontId="4" fillId="0" borderId="0" applyFont="true" applyBorder="false" applyAlignment="false" applyProtection="false"/>
    <xf numFmtId="172" fontId="4" fillId="0" borderId="0" applyFont="true" applyBorder="false" applyAlignment="false" applyProtection="false"/>
    <xf numFmtId="172" fontId="4" fillId="0" borderId="0" applyFont="true" applyBorder="false" applyAlignment="false" applyProtection="false"/>
    <xf numFmtId="172" fontId="4" fillId="0" borderId="0" applyFont="true" applyBorder="false" applyAlignment="false" applyProtection="false"/>
    <xf numFmtId="172" fontId="4" fillId="0" borderId="0" applyFont="true" applyBorder="false" applyAlignment="false" applyProtection="false"/>
    <xf numFmtId="172" fontId="4" fillId="0" borderId="0" applyFont="true" applyBorder="false" applyAlignment="false" applyProtection="false"/>
    <xf numFmtId="172" fontId="4" fillId="0" borderId="0" applyFont="true" applyBorder="false" applyAlignment="false" applyProtection="false"/>
    <xf numFmtId="172" fontId="4" fillId="0" borderId="0" applyFont="true" applyBorder="false" applyAlignment="false" applyProtection="false"/>
    <xf numFmtId="172" fontId="4" fillId="0" borderId="0" applyFont="true" applyBorder="false" applyAlignment="false" applyProtection="false"/>
    <xf numFmtId="172" fontId="4" fillId="0" borderId="0" applyFont="true" applyBorder="false" applyAlignment="false" applyProtection="false"/>
    <xf numFmtId="172" fontId="4" fillId="0" borderId="0" applyFont="true" applyBorder="false" applyAlignment="false" applyProtection="false"/>
    <xf numFmtId="172" fontId="4" fillId="0" borderId="0" applyFont="true" applyBorder="false" applyAlignment="false" applyProtection="false"/>
    <xf numFmtId="172" fontId="4" fillId="0" borderId="0" applyFont="true" applyBorder="false" applyAlignment="false" applyProtection="false"/>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73" fontId="4" fillId="0" borderId="0" applyFont="true" applyBorder="false" applyAlignment="false" applyProtection="false"/>
    <xf numFmtId="173" fontId="4" fillId="0" borderId="0" applyFont="true" applyBorder="false" applyAlignment="false" applyProtection="false"/>
    <xf numFmtId="173" fontId="4" fillId="0" borderId="0" applyFont="true" applyBorder="false" applyAlignment="false" applyProtection="false"/>
    <xf numFmtId="173" fontId="4" fillId="0" borderId="0" applyFont="true" applyBorder="false" applyAlignment="false" applyProtection="false"/>
    <xf numFmtId="173" fontId="4" fillId="0" borderId="0" applyFont="true" applyBorder="false" applyAlignment="false" applyProtection="false"/>
    <xf numFmtId="173" fontId="4" fillId="0" borderId="0" applyFont="true" applyBorder="false" applyAlignment="false" applyProtection="false"/>
    <xf numFmtId="173" fontId="4" fillId="0" borderId="0" applyFont="true" applyBorder="false" applyAlignment="false" applyProtection="false"/>
    <xf numFmtId="173" fontId="4" fillId="0" borderId="0" applyFont="true" applyBorder="false" applyAlignment="false" applyProtection="false"/>
    <xf numFmtId="173" fontId="4" fillId="0" borderId="0" applyFont="true" applyBorder="false" applyAlignment="false" applyProtection="false"/>
    <xf numFmtId="173" fontId="4" fillId="0" borderId="0" applyFont="true" applyBorder="false" applyAlignment="false" applyProtection="false"/>
    <xf numFmtId="173" fontId="4" fillId="0" borderId="0" applyFont="true" applyBorder="false" applyAlignment="false" applyProtection="false"/>
    <xf numFmtId="173" fontId="4" fillId="0" borderId="0" applyFont="true" applyBorder="false" applyAlignment="false" applyProtection="false"/>
    <xf numFmtId="173" fontId="4" fillId="0" borderId="0" applyFont="true" applyBorder="false" applyAlignment="false" applyProtection="false"/>
    <xf numFmtId="173" fontId="4" fillId="0" borderId="0" applyFont="true" applyBorder="false" applyAlignment="false" applyProtection="false"/>
    <xf numFmtId="173" fontId="4" fillId="0" borderId="0" applyFont="true" applyBorder="false" applyAlignment="false" applyProtection="false"/>
    <xf numFmtId="173" fontId="4" fillId="0" borderId="0" applyFont="true" applyBorder="false" applyAlignment="false" applyProtection="false"/>
    <xf numFmtId="173" fontId="4" fillId="0" borderId="0" applyFont="true" applyBorder="false" applyAlignment="false" applyProtection="false"/>
    <xf numFmtId="173" fontId="4" fillId="0" borderId="0" applyFont="true" applyBorder="false" applyAlignment="false" applyProtection="false"/>
    <xf numFmtId="173" fontId="4" fillId="0" borderId="0" applyFont="true" applyBorder="false" applyAlignment="false" applyProtection="false"/>
    <xf numFmtId="173" fontId="4" fillId="0" borderId="0" applyFont="true" applyBorder="false" applyAlignment="false" applyProtection="false"/>
    <xf numFmtId="173" fontId="4" fillId="0" borderId="0" applyFont="true" applyBorder="false" applyAlignment="false" applyProtection="false"/>
    <xf numFmtId="173" fontId="4" fillId="0" borderId="0" applyFont="true" applyBorder="false" applyAlignment="false" applyProtection="false"/>
    <xf numFmtId="173" fontId="4" fillId="0" borderId="0" applyFont="true" applyBorder="false" applyAlignment="false" applyProtection="false"/>
    <xf numFmtId="173" fontId="4" fillId="0" borderId="0" applyFont="true" applyBorder="false" applyAlignment="false" applyProtection="false"/>
    <xf numFmtId="173" fontId="4" fillId="0" borderId="0" applyFont="true" applyBorder="false" applyAlignment="false" applyProtection="false"/>
    <xf numFmtId="173" fontId="4" fillId="0" borderId="0" applyFont="true" applyBorder="false" applyAlignment="false" applyProtection="false"/>
    <xf numFmtId="173" fontId="4" fillId="0" borderId="0" applyFont="true" applyBorder="false" applyAlignment="false" applyProtection="false"/>
    <xf numFmtId="173" fontId="4" fillId="0" borderId="0" applyFont="true" applyBorder="false" applyAlignment="false" applyProtection="false"/>
    <xf numFmtId="173" fontId="4" fillId="0" borderId="0" applyFont="true" applyBorder="false" applyAlignment="false" applyProtection="false"/>
    <xf numFmtId="173" fontId="4" fillId="0" borderId="0" applyFont="true" applyBorder="false" applyAlignment="false" applyProtection="false"/>
    <xf numFmtId="173" fontId="4" fillId="0" borderId="0" applyFont="true" applyBorder="false" applyAlignment="false" applyProtection="false"/>
    <xf numFmtId="173" fontId="4" fillId="0" borderId="0" applyFont="true" applyBorder="false" applyAlignment="false" applyProtection="false"/>
    <xf numFmtId="173" fontId="4" fillId="0" borderId="0" applyFont="true" applyBorder="false" applyAlignment="false" applyProtection="false"/>
    <xf numFmtId="173" fontId="4" fillId="0" borderId="0" applyFont="true" applyBorder="false" applyAlignment="false" applyProtection="false"/>
    <xf numFmtId="173" fontId="4" fillId="0" borderId="0" applyFont="true" applyBorder="false" applyAlignment="false" applyProtection="false"/>
    <xf numFmtId="173" fontId="4" fillId="0" borderId="0" applyFont="true" applyBorder="false" applyAlignment="false" applyProtection="false"/>
    <xf numFmtId="173" fontId="4" fillId="0" borderId="0" applyFont="true" applyBorder="false" applyAlignment="false" applyProtection="false"/>
    <xf numFmtId="173" fontId="4" fillId="0" borderId="0" applyFont="true" applyBorder="false" applyAlignment="false" applyProtection="false"/>
  </cellStyleXfs>
  <cellXfs count="159">
    <xf numFmtId="164" fontId="0" fillId="0" borderId="0" xfId="0" applyFont="false" applyBorder="false" applyAlignment="false" applyProtection="false">
      <alignment horizontal="general" vertical="bottom" textRotation="0" wrapText="false" indent="0" shrinkToFit="false"/>
      <protection locked="true" hidden="false"/>
    </xf>
    <xf numFmtId="164" fontId="7" fillId="0" borderId="0" xfId="173" applyFont="true" applyBorder="true" applyAlignment="true" applyProtection="true">
      <alignment horizontal="general" vertical="center" textRotation="0" wrapText="false" indent="0" shrinkToFit="false"/>
      <protection locked="true" hidden="false"/>
    </xf>
    <xf numFmtId="164" fontId="8" fillId="0" borderId="1" xfId="173" applyFont="true" applyBorder="true" applyAlignment="true" applyProtection="true">
      <alignment horizontal="general" vertical="center" textRotation="0" wrapText="false" indent="0" shrinkToFit="false"/>
      <protection locked="true" hidden="false"/>
    </xf>
    <xf numFmtId="164" fontId="9" fillId="0" borderId="0" xfId="173" applyFont="true" applyBorder="true" applyAlignment="true" applyProtection="true">
      <alignment horizontal="general" vertical="center" textRotation="0" wrapText="false" indent="0" shrinkToFit="false"/>
      <protection locked="true" hidden="false"/>
    </xf>
    <xf numFmtId="174" fontId="7" fillId="0" borderId="0" xfId="173" applyFont="true" applyBorder="true" applyAlignment="true" applyProtection="true">
      <alignment horizontal="general" vertical="center" textRotation="0" wrapText="false" indent="0" shrinkToFit="false"/>
      <protection locked="true" hidden="false"/>
    </xf>
    <xf numFmtId="164" fontId="9" fillId="0" borderId="0" xfId="203" applyFont="true" applyBorder="true" applyAlignment="true" applyProtection="true">
      <alignment horizontal="general" vertical="center" textRotation="0" wrapText="true" indent="0" shrinkToFit="false"/>
      <protection locked="true" hidden="false"/>
    </xf>
    <xf numFmtId="164" fontId="10" fillId="2" borderId="1" xfId="173" applyFont="true" applyBorder="true" applyAlignment="true" applyProtection="true">
      <alignment horizontal="center" vertical="center" textRotation="0" wrapText="true" indent="0" shrinkToFit="false"/>
      <protection locked="true" hidden="false"/>
    </xf>
    <xf numFmtId="175" fontId="7" fillId="0" borderId="0" xfId="206" applyFont="true" applyBorder="true" applyAlignment="true" applyProtection="true">
      <alignment horizontal="general" vertical="center" textRotation="0" wrapText="false" indent="0" shrinkToFit="false"/>
      <protection locked="true" hidden="false"/>
    </xf>
    <xf numFmtId="175" fontId="9" fillId="0" borderId="0" xfId="206" applyFont="true" applyBorder="true" applyAlignment="true" applyProtection="true">
      <alignment horizontal="general" vertical="center" textRotation="0" wrapText="false" indent="0" shrinkToFit="false"/>
      <protection locked="true" hidden="false"/>
    </xf>
    <xf numFmtId="164" fontId="9" fillId="0" borderId="0" xfId="173" applyFont="true" applyBorder="true" applyAlignment="true" applyProtection="true">
      <alignment horizontal="general" vertical="center" textRotation="0" wrapText="true" indent="0" shrinkToFit="false"/>
      <protection locked="true" hidden="false"/>
    </xf>
    <xf numFmtId="175" fontId="10" fillId="2" borderId="1" xfId="206" applyFont="true" applyBorder="true" applyAlignment="true" applyProtection="true">
      <alignment horizontal="center" vertical="center" textRotation="0" wrapText="true" indent="0" shrinkToFit="false"/>
      <protection locked="true" hidden="false"/>
    </xf>
    <xf numFmtId="164" fontId="11" fillId="0" borderId="0" xfId="173" applyFont="true" applyBorder="true" applyAlignment="true" applyProtection="true">
      <alignment horizontal="general" vertical="center" textRotation="0" wrapText="false" indent="0" shrinkToFit="false"/>
      <protection locked="true" hidden="false"/>
    </xf>
    <xf numFmtId="175" fontId="11" fillId="0" borderId="0" xfId="206" applyFont="true" applyBorder="true" applyAlignment="true" applyProtection="true">
      <alignment horizontal="general" vertical="center" textRotation="0" wrapText="false" indent="0" shrinkToFit="false"/>
      <protection locked="true" hidden="false"/>
    </xf>
    <xf numFmtId="164" fontId="7" fillId="0" borderId="0" xfId="173" applyFont="true" applyBorder="true" applyAlignment="true" applyProtection="true">
      <alignment horizontal="general" vertical="center" textRotation="0" wrapText="true" indent="0" shrinkToFit="false"/>
      <protection locked="true" hidden="false"/>
    </xf>
    <xf numFmtId="164" fontId="11" fillId="0" borderId="0" xfId="206" applyFont="true" applyBorder="true" applyAlignment="true" applyProtection="true">
      <alignment horizontal="general" vertical="top" textRotation="0" wrapText="true" indent="0" shrinkToFit="false"/>
      <protection locked="true" hidden="false"/>
    </xf>
    <xf numFmtId="175" fontId="7" fillId="0" borderId="0" xfId="206" applyFont="true" applyBorder="true" applyAlignment="true" applyProtection="true">
      <alignment horizontal="general" vertical="top" textRotation="0" wrapText="true" indent="0" shrinkToFit="false"/>
      <protection locked="true" hidden="false"/>
    </xf>
    <xf numFmtId="164" fontId="7" fillId="0" borderId="0" xfId="206" applyFont="true" applyBorder="true" applyAlignment="true" applyProtection="true">
      <alignment horizontal="general" vertical="top" textRotation="0" wrapText="true" indent="0" shrinkToFit="false"/>
      <protection locked="true" hidden="false"/>
    </xf>
    <xf numFmtId="164" fontId="10" fillId="2" borderId="0" xfId="206" applyFont="true" applyBorder="true" applyAlignment="true" applyProtection="true">
      <alignment horizontal="center" vertical="center" textRotation="0" wrapText="true" indent="0" shrinkToFit="false"/>
      <protection locked="true" hidden="false"/>
    </xf>
    <xf numFmtId="175" fontId="10" fillId="2" borderId="0" xfId="206" applyFont="true" applyBorder="true" applyAlignment="true" applyProtection="true">
      <alignment horizontal="center" vertical="center" textRotation="0" wrapText="true" indent="0" shrinkToFit="false"/>
      <protection locked="true" hidden="false"/>
    </xf>
    <xf numFmtId="164" fontId="12" fillId="0" borderId="0" xfId="206" applyFont="true" applyBorder="true" applyAlignment="true" applyProtection="true">
      <alignment horizontal="general" vertical="top" textRotation="0" wrapText="true" indent="0" shrinkToFit="false"/>
      <protection locked="true" hidden="false"/>
    </xf>
    <xf numFmtId="164" fontId="9" fillId="0" borderId="0" xfId="206" applyFont="true" applyBorder="true" applyAlignment="true" applyProtection="true">
      <alignment horizontal="general" vertical="top" textRotation="0" wrapText="true" indent="0" shrinkToFit="false"/>
      <protection locked="true" hidden="false"/>
    </xf>
    <xf numFmtId="175" fontId="12" fillId="0" borderId="0" xfId="206" applyFont="true" applyBorder="true" applyAlignment="true" applyProtection="true">
      <alignment horizontal="general" vertical="top" textRotation="0" wrapText="true" indent="0" shrinkToFit="false"/>
      <protection locked="true" hidden="false"/>
    </xf>
    <xf numFmtId="175" fontId="9" fillId="0" borderId="0" xfId="206" applyFont="true" applyBorder="true" applyAlignment="true" applyProtection="true">
      <alignment horizontal="general" vertical="top" textRotation="0" wrapText="true" indent="0" shrinkToFit="false"/>
      <protection locked="true" hidden="false"/>
    </xf>
    <xf numFmtId="164" fontId="9" fillId="0" borderId="0" xfId="203" applyFont="true" applyBorder="true" applyAlignment="true" applyProtection="true">
      <alignment horizontal="general" vertical="top" textRotation="0" wrapText="true" indent="0" shrinkToFit="false"/>
      <protection locked="true" hidden="false"/>
    </xf>
    <xf numFmtId="175" fontId="12" fillId="0" borderId="0" xfId="203" applyFont="true" applyBorder="true" applyAlignment="true" applyProtection="true">
      <alignment horizontal="general" vertical="top" textRotation="0" wrapText="true" indent="0" shrinkToFit="false"/>
      <protection locked="true" hidden="false"/>
    </xf>
    <xf numFmtId="164" fontId="13" fillId="2" borderId="0" xfId="209" applyFont="true" applyBorder="true" applyAlignment="true" applyProtection="true">
      <alignment horizontal="center" vertical="center" textRotation="0" wrapText="true" indent="0" shrinkToFit="false"/>
      <protection locked="true" hidden="false"/>
    </xf>
    <xf numFmtId="164" fontId="10" fillId="2" borderId="0" xfId="209" applyFont="true" applyBorder="true" applyAlignment="true" applyProtection="true">
      <alignment horizontal="center" vertical="center" textRotation="0" wrapText="true" indent="0" shrinkToFit="false"/>
      <protection locked="true" hidden="false"/>
    </xf>
    <xf numFmtId="164" fontId="12" fillId="0" borderId="0" xfId="209" applyFont="true" applyBorder="true" applyAlignment="true" applyProtection="true">
      <alignment horizontal="general" vertical="top" textRotation="0" wrapText="true" indent="0" shrinkToFit="false"/>
      <protection locked="true" hidden="false"/>
    </xf>
    <xf numFmtId="164" fontId="9" fillId="0" borderId="0" xfId="209" applyFont="true" applyBorder="true" applyAlignment="true" applyProtection="true">
      <alignment horizontal="general" vertical="top" textRotation="0" wrapText="true" indent="0" shrinkToFit="false"/>
      <protection locked="true" hidden="false"/>
    </xf>
    <xf numFmtId="164" fontId="12" fillId="0" borderId="0" xfId="203" applyFont="true" applyBorder="true" applyAlignment="true" applyProtection="true">
      <alignment horizontal="general" vertical="top" textRotation="0" wrapText="true" indent="0" shrinkToFit="false"/>
      <protection locked="true" hidden="false"/>
    </xf>
    <xf numFmtId="164" fontId="9" fillId="0" borderId="0" xfId="198" applyFont="true" applyBorder="true" applyAlignment="true" applyProtection="true">
      <alignment horizontal="general" vertical="top" textRotation="0" wrapText="true" indent="0" shrinkToFit="false"/>
      <protection locked="true" hidden="false"/>
    </xf>
    <xf numFmtId="164" fontId="13" fillId="2" borderId="0" xfId="176" applyFont="true" applyBorder="true" applyAlignment="true" applyProtection="true">
      <alignment horizontal="center" vertical="center" textRotation="0" wrapText="true" indent="0" shrinkToFit="false"/>
      <protection locked="true" hidden="false"/>
    </xf>
    <xf numFmtId="164" fontId="10" fillId="2" borderId="0" xfId="176" applyFont="true" applyBorder="true" applyAlignment="true" applyProtection="true">
      <alignment horizontal="center" vertical="center" textRotation="0" wrapText="true" indent="0" shrinkToFit="false"/>
      <protection locked="true" hidden="false"/>
    </xf>
    <xf numFmtId="164" fontId="12" fillId="0" borderId="0" xfId="176" applyFont="true" applyBorder="true" applyAlignment="true" applyProtection="true">
      <alignment horizontal="general" vertical="top" textRotation="0" wrapText="true" indent="0" shrinkToFit="false"/>
      <protection locked="true" hidden="false"/>
    </xf>
    <xf numFmtId="164" fontId="9" fillId="0" borderId="0" xfId="176" applyFont="true" applyBorder="true" applyAlignment="true" applyProtection="true">
      <alignment horizontal="general" vertical="top" textRotation="0" wrapText="true" indent="0" shrinkToFit="false"/>
      <protection locked="true" hidden="false"/>
    </xf>
    <xf numFmtId="164" fontId="12" fillId="0" borderId="0" xfId="198" applyFont="true" applyBorder="true" applyAlignment="true" applyProtection="true">
      <alignment horizontal="general" vertical="top" textRotation="0" wrapText="true" indent="0" shrinkToFit="false"/>
      <protection locked="true" hidden="false"/>
    </xf>
    <xf numFmtId="164" fontId="13" fillId="2" borderId="0" xfId="179" applyFont="true" applyBorder="true" applyAlignment="true" applyProtection="true">
      <alignment horizontal="center" vertical="center" textRotation="0" wrapText="true" indent="0" shrinkToFit="false"/>
      <protection locked="true" hidden="false"/>
    </xf>
    <xf numFmtId="164" fontId="10" fillId="2" borderId="0" xfId="179" applyFont="true" applyBorder="true" applyAlignment="true" applyProtection="true">
      <alignment horizontal="center" vertical="center" textRotation="0" wrapText="true" indent="0" shrinkToFit="false"/>
      <protection locked="true" hidden="false"/>
    </xf>
    <xf numFmtId="164" fontId="9" fillId="0" borderId="0" xfId="179" applyFont="true" applyBorder="true" applyAlignment="true" applyProtection="true">
      <alignment horizontal="general" vertical="top" textRotation="0" wrapText="true" indent="0" shrinkToFit="false"/>
      <protection locked="true" hidden="false"/>
    </xf>
    <xf numFmtId="164" fontId="12" fillId="0" borderId="0" xfId="179" applyFont="true" applyBorder="true" applyAlignment="true" applyProtection="true">
      <alignment horizontal="general" vertical="top" textRotation="0" wrapText="true" indent="0" shrinkToFit="false"/>
      <protection locked="true" hidden="false"/>
    </xf>
    <xf numFmtId="164" fontId="13" fillId="2" borderId="0" xfId="184" applyFont="true" applyBorder="true" applyAlignment="true" applyProtection="true">
      <alignment horizontal="center" vertical="center" textRotation="0" wrapText="true" indent="0" shrinkToFit="false"/>
      <protection locked="true" hidden="false"/>
    </xf>
    <xf numFmtId="164" fontId="10" fillId="2" borderId="0" xfId="184" applyFont="true" applyBorder="true" applyAlignment="true" applyProtection="true">
      <alignment horizontal="center" vertical="center" textRotation="0" wrapText="true" indent="0" shrinkToFit="false"/>
      <protection locked="true" hidden="false"/>
    </xf>
    <xf numFmtId="164" fontId="9" fillId="0" borderId="0" xfId="184" applyFont="true" applyBorder="true" applyAlignment="true" applyProtection="true">
      <alignment horizontal="general" vertical="top" textRotation="0" wrapText="true" indent="0" shrinkToFit="false"/>
      <protection locked="true" hidden="false"/>
    </xf>
    <xf numFmtId="164" fontId="12" fillId="0" borderId="0" xfId="184" applyFont="true" applyBorder="true" applyAlignment="true" applyProtection="true">
      <alignment horizontal="general" vertical="top" textRotation="0" wrapText="true" indent="0" shrinkToFit="false"/>
      <protection locked="true" hidden="false"/>
    </xf>
    <xf numFmtId="164" fontId="13" fillId="2" borderId="0" xfId="191" applyFont="true" applyBorder="true" applyAlignment="true" applyProtection="true">
      <alignment horizontal="center" vertical="center" textRotation="0" wrapText="true" indent="0" shrinkToFit="false"/>
      <protection locked="true" hidden="false"/>
    </xf>
    <xf numFmtId="164" fontId="10" fillId="2" borderId="0" xfId="191" applyFont="true" applyBorder="true" applyAlignment="true" applyProtection="true">
      <alignment horizontal="center" vertical="center" textRotation="0" wrapText="true" indent="0" shrinkToFit="false"/>
      <protection locked="true" hidden="false"/>
    </xf>
    <xf numFmtId="164" fontId="9" fillId="0" borderId="0" xfId="191" applyFont="true" applyBorder="true" applyAlignment="true" applyProtection="true">
      <alignment horizontal="general" vertical="top" textRotation="0" wrapText="true" indent="0" shrinkToFit="false"/>
      <protection locked="true" hidden="false"/>
    </xf>
    <xf numFmtId="164" fontId="12" fillId="0" borderId="0" xfId="191" applyFont="true" applyBorder="true" applyAlignment="true" applyProtection="true">
      <alignment horizontal="general" vertical="top" textRotation="0" wrapText="true" indent="0" shrinkToFit="false"/>
      <protection locked="true" hidden="false"/>
    </xf>
    <xf numFmtId="164" fontId="13" fillId="2" borderId="0" xfId="199" applyFont="true" applyBorder="true" applyAlignment="true" applyProtection="true">
      <alignment horizontal="center" vertical="center" textRotation="0" wrapText="true" indent="0" shrinkToFit="false"/>
      <protection locked="true" hidden="false"/>
    </xf>
    <xf numFmtId="164" fontId="10" fillId="2" borderId="0" xfId="199" applyFont="true" applyBorder="true" applyAlignment="true" applyProtection="true">
      <alignment horizontal="center" vertical="center" textRotation="0" wrapText="true" indent="0" shrinkToFit="false"/>
      <protection locked="true" hidden="false"/>
    </xf>
    <xf numFmtId="164" fontId="9" fillId="0" borderId="0" xfId="199" applyFont="true" applyBorder="true" applyAlignment="true" applyProtection="true">
      <alignment horizontal="general" vertical="top" textRotation="0" wrapText="true" indent="0" shrinkToFit="false"/>
      <protection locked="true" hidden="false"/>
    </xf>
    <xf numFmtId="164" fontId="12" fillId="0" borderId="0" xfId="199" applyFont="true" applyBorder="true" applyAlignment="true" applyProtection="true">
      <alignment horizontal="general" vertical="top" textRotation="0" wrapText="true" indent="0" shrinkToFit="false"/>
      <protection locked="true" hidden="false"/>
    </xf>
    <xf numFmtId="164" fontId="13" fillId="2" borderId="0" xfId="202" applyFont="true" applyBorder="true" applyAlignment="true" applyProtection="true">
      <alignment horizontal="center" vertical="center" textRotation="0" wrapText="true" indent="0" shrinkToFit="false"/>
      <protection locked="true" hidden="false"/>
    </xf>
    <xf numFmtId="164" fontId="10" fillId="2" borderId="0" xfId="202" applyFont="true" applyBorder="true" applyAlignment="true" applyProtection="true">
      <alignment horizontal="center" vertical="center" textRotation="0" wrapText="true" indent="0" shrinkToFit="false"/>
      <protection locked="true" hidden="false"/>
    </xf>
    <xf numFmtId="164" fontId="9" fillId="0" borderId="0" xfId="202" applyFont="true" applyBorder="true" applyAlignment="true" applyProtection="true">
      <alignment horizontal="general" vertical="top" textRotation="0" wrapText="true" indent="0" shrinkToFit="false"/>
      <protection locked="true" hidden="false"/>
    </xf>
    <xf numFmtId="164" fontId="12" fillId="0" borderId="0" xfId="202" applyFont="true" applyBorder="true" applyAlignment="true" applyProtection="true">
      <alignment horizontal="general" vertical="top" textRotation="0" wrapText="true" indent="0" shrinkToFit="false"/>
      <protection locked="true" hidden="false"/>
    </xf>
    <xf numFmtId="164" fontId="13" fillId="2" borderId="0" xfId="204" applyFont="true" applyBorder="true" applyAlignment="true" applyProtection="true">
      <alignment horizontal="center" vertical="center" textRotation="0" wrapText="true" indent="0" shrinkToFit="false"/>
      <protection locked="true" hidden="false"/>
    </xf>
    <xf numFmtId="164" fontId="10" fillId="2" borderId="0" xfId="204" applyFont="true" applyBorder="true" applyAlignment="true" applyProtection="true">
      <alignment horizontal="center" vertical="center" textRotation="0" wrapText="true" indent="0" shrinkToFit="false"/>
      <protection locked="true" hidden="false"/>
    </xf>
    <xf numFmtId="164" fontId="9" fillId="0" borderId="0" xfId="204" applyFont="true" applyBorder="true" applyAlignment="true" applyProtection="true">
      <alignment horizontal="general" vertical="top" textRotation="0" wrapText="true" indent="0" shrinkToFit="false"/>
      <protection locked="true" hidden="false"/>
    </xf>
    <xf numFmtId="164" fontId="12" fillId="0" borderId="0" xfId="204" applyFont="true" applyBorder="true" applyAlignment="true" applyProtection="true">
      <alignment horizontal="general" vertical="top" textRotation="0" wrapText="true" indent="0" shrinkToFit="false"/>
      <protection locked="true" hidden="false"/>
    </xf>
    <xf numFmtId="164" fontId="13" fillId="2" borderId="0" xfId="205" applyFont="true" applyBorder="true" applyAlignment="true" applyProtection="true">
      <alignment horizontal="center" vertical="center" textRotation="0" wrapText="true" indent="0" shrinkToFit="false"/>
      <protection locked="true" hidden="false"/>
    </xf>
    <xf numFmtId="164" fontId="10" fillId="2" borderId="0" xfId="205" applyFont="true" applyBorder="true" applyAlignment="true" applyProtection="true">
      <alignment horizontal="center" vertical="center" textRotation="0" wrapText="true" indent="0" shrinkToFit="false"/>
      <protection locked="true" hidden="false"/>
    </xf>
    <xf numFmtId="164" fontId="9" fillId="0" borderId="0" xfId="205" applyFont="true" applyBorder="true" applyAlignment="true" applyProtection="true">
      <alignment horizontal="general" vertical="top" textRotation="0" wrapText="true" indent="0" shrinkToFit="false"/>
      <protection locked="true" hidden="false"/>
    </xf>
    <xf numFmtId="164" fontId="12" fillId="0" borderId="0" xfId="205" applyFont="true" applyBorder="true" applyAlignment="true" applyProtection="true">
      <alignment horizontal="general" vertical="top" textRotation="0" wrapText="true" indent="0" shrinkToFit="false"/>
      <protection locked="true" hidden="false"/>
    </xf>
    <xf numFmtId="164" fontId="13" fillId="2" borderId="0" xfId="172" applyFont="true" applyBorder="true" applyAlignment="true" applyProtection="true">
      <alignment horizontal="center" vertical="center" textRotation="0" wrapText="true" indent="0" shrinkToFit="false"/>
      <protection locked="true" hidden="false"/>
    </xf>
    <xf numFmtId="164" fontId="10" fillId="2" borderId="0" xfId="172" applyFont="true" applyBorder="true" applyAlignment="true" applyProtection="true">
      <alignment horizontal="center" vertical="center" textRotation="0" wrapText="true" indent="0" shrinkToFit="false"/>
      <protection locked="true" hidden="false"/>
    </xf>
    <xf numFmtId="164" fontId="9" fillId="0" borderId="0" xfId="172" applyFont="true" applyBorder="true" applyAlignment="true" applyProtection="true">
      <alignment horizontal="general" vertical="top" textRotation="0" wrapText="true" indent="0" shrinkToFit="false"/>
      <protection locked="true" hidden="false"/>
    </xf>
    <xf numFmtId="164" fontId="12" fillId="0" borderId="0" xfId="172" applyFont="true" applyBorder="true" applyAlignment="true" applyProtection="true">
      <alignment horizontal="general" vertical="top" textRotation="0" wrapText="true" indent="0" shrinkToFit="false"/>
      <protection locked="true" hidden="false"/>
    </xf>
    <xf numFmtId="164" fontId="15" fillId="0" borderId="0" xfId="172" applyFont="true" applyBorder="true" applyAlignment="true" applyProtection="true">
      <alignment horizontal="general" vertical="top" textRotation="0" wrapText="true" indent="0" shrinkToFit="false"/>
      <protection locked="true" hidden="false"/>
    </xf>
    <xf numFmtId="164" fontId="10" fillId="2" borderId="1" xfId="209" applyFont="true" applyBorder="true" applyAlignment="true" applyProtection="true">
      <alignment horizontal="center" vertical="center" textRotation="0" wrapText="true" indent="0" shrinkToFit="false"/>
      <protection locked="true" hidden="false"/>
    </xf>
    <xf numFmtId="164" fontId="7" fillId="3" borderId="0" xfId="173" applyFont="true" applyBorder="true" applyAlignment="true" applyProtection="true">
      <alignment horizontal="general" vertical="top" textRotation="0" wrapText="true" indent="0" shrinkToFit="false"/>
      <protection locked="true" hidden="false"/>
    </xf>
    <xf numFmtId="164" fontId="9" fillId="3" borderId="0" xfId="173" applyFont="true" applyBorder="true" applyAlignment="true" applyProtection="true">
      <alignment horizontal="general" vertical="top" textRotation="0" wrapText="true" indent="0" shrinkToFit="false"/>
      <protection locked="true" hidden="false"/>
    </xf>
    <xf numFmtId="175" fontId="7" fillId="3" borderId="0" xfId="173" applyFont="true" applyBorder="true" applyAlignment="true" applyProtection="true">
      <alignment horizontal="general" vertical="top" textRotation="0" wrapText="true" indent="0" shrinkToFit="false"/>
      <protection locked="true" hidden="false"/>
    </xf>
    <xf numFmtId="164" fontId="9" fillId="4" borderId="0" xfId="173" applyFont="true" applyBorder="true" applyAlignment="true" applyProtection="true">
      <alignment horizontal="general" vertical="top" textRotation="0" wrapText="true" indent="0" shrinkToFit="false"/>
      <protection locked="true" hidden="false"/>
    </xf>
    <xf numFmtId="174" fontId="7" fillId="3" borderId="0" xfId="173" applyFont="true" applyBorder="true" applyAlignment="true" applyProtection="true">
      <alignment horizontal="general" vertical="top" textRotation="0" wrapText="true" indent="0" shrinkToFit="false"/>
      <protection locked="true" hidden="false"/>
    </xf>
    <xf numFmtId="175" fontId="12" fillId="0" borderId="0" xfId="209" applyFont="true" applyBorder="true" applyAlignment="true" applyProtection="true">
      <alignment horizontal="general" vertical="top" textRotation="0" wrapText="true" indent="0" shrinkToFit="false"/>
      <protection locked="true" hidden="false"/>
    </xf>
    <xf numFmtId="164" fontId="7" fillId="5" borderId="0" xfId="173" applyFont="true" applyBorder="true" applyAlignment="true" applyProtection="true">
      <alignment horizontal="general" vertical="top" textRotation="0" wrapText="true" indent="0" shrinkToFit="false"/>
      <protection locked="true" hidden="false"/>
    </xf>
    <xf numFmtId="164" fontId="9" fillId="5" borderId="0" xfId="173" applyFont="true" applyBorder="true" applyAlignment="true" applyProtection="true">
      <alignment horizontal="general" vertical="top" textRotation="0" wrapText="true" indent="0" shrinkToFit="false"/>
      <protection locked="true" hidden="false"/>
    </xf>
    <xf numFmtId="175" fontId="7" fillId="5" borderId="0" xfId="173" applyFont="true" applyBorder="true" applyAlignment="true" applyProtection="true">
      <alignment horizontal="general" vertical="top" textRotation="0" wrapText="true" indent="0" shrinkToFit="false"/>
      <protection locked="true" hidden="false"/>
    </xf>
    <xf numFmtId="174" fontId="7" fillId="5" borderId="0" xfId="173" applyFont="true" applyBorder="true" applyAlignment="true" applyProtection="true">
      <alignment horizontal="general" vertical="top" textRotation="0" wrapText="true" indent="0" shrinkToFit="false"/>
      <protection locked="true" hidden="false"/>
    </xf>
    <xf numFmtId="164" fontId="7" fillId="4" borderId="0" xfId="173" applyFont="true" applyBorder="true" applyAlignment="true" applyProtection="true">
      <alignment horizontal="general" vertical="top" textRotation="0" wrapText="true" indent="0" shrinkToFit="false"/>
      <protection locked="true" hidden="false"/>
    </xf>
    <xf numFmtId="164" fontId="7" fillId="3" borderId="0" xfId="206" applyFont="true" applyBorder="true" applyAlignment="true" applyProtection="true">
      <alignment horizontal="general" vertical="top" textRotation="0" wrapText="true" indent="0" shrinkToFit="false"/>
      <protection locked="true" hidden="false"/>
    </xf>
    <xf numFmtId="164" fontId="9" fillId="3" borderId="0" xfId="206" applyFont="true" applyBorder="true" applyAlignment="true" applyProtection="true">
      <alignment horizontal="general" vertical="top" textRotation="0" wrapText="true" indent="0" shrinkToFit="false"/>
      <protection locked="true" hidden="false"/>
    </xf>
    <xf numFmtId="175" fontId="7" fillId="3" borderId="0" xfId="206" applyFont="true" applyBorder="true" applyAlignment="true" applyProtection="true">
      <alignment horizontal="general" vertical="top" textRotation="0" wrapText="true" indent="0" shrinkToFit="false"/>
      <protection locked="true" hidden="false"/>
    </xf>
    <xf numFmtId="164" fontId="9" fillId="4" borderId="0" xfId="206" applyFont="true" applyBorder="true" applyAlignment="true" applyProtection="true">
      <alignment horizontal="general" vertical="top" textRotation="0" wrapText="true" indent="0" shrinkToFit="false"/>
      <protection locked="true" hidden="false"/>
    </xf>
    <xf numFmtId="174" fontId="7" fillId="3" borderId="0" xfId="206" applyFont="true" applyBorder="true" applyAlignment="true" applyProtection="true">
      <alignment horizontal="general" vertical="top" textRotation="0" wrapText="true" indent="0" shrinkToFit="false"/>
      <protection locked="true" hidden="false"/>
    </xf>
    <xf numFmtId="164" fontId="12" fillId="3" borderId="0" xfId="206" applyFont="true" applyBorder="true" applyAlignment="true" applyProtection="true">
      <alignment horizontal="general" vertical="top" textRotation="0" wrapText="true" indent="0" shrinkToFit="false"/>
      <protection locked="true" hidden="false"/>
    </xf>
    <xf numFmtId="164" fontId="12" fillId="4" borderId="0" xfId="206" applyFont="true" applyBorder="true" applyAlignment="true" applyProtection="true">
      <alignment horizontal="general" vertical="top" textRotation="0" wrapText="true" indent="0" shrinkToFit="false"/>
      <protection locked="true" hidden="false"/>
    </xf>
    <xf numFmtId="164" fontId="7" fillId="3" borderId="0" xfId="209" applyFont="true" applyBorder="true" applyAlignment="true" applyProtection="true">
      <alignment horizontal="general" vertical="top" textRotation="0" wrapText="true" indent="0" shrinkToFit="false"/>
      <protection locked="true" hidden="false"/>
    </xf>
    <xf numFmtId="164" fontId="9" fillId="3" borderId="0" xfId="209" applyFont="true" applyBorder="true" applyAlignment="true" applyProtection="true">
      <alignment horizontal="general" vertical="top" textRotation="0" wrapText="true" indent="0" shrinkToFit="false"/>
      <protection locked="true" hidden="false"/>
    </xf>
    <xf numFmtId="175" fontId="7" fillId="3" borderId="0" xfId="209" applyFont="true" applyBorder="true" applyAlignment="true" applyProtection="true">
      <alignment horizontal="general" vertical="top" textRotation="0" wrapText="true" indent="0" shrinkToFit="false"/>
      <protection locked="true" hidden="false"/>
    </xf>
    <xf numFmtId="164" fontId="9" fillId="4" borderId="0" xfId="209" applyFont="true" applyBorder="true" applyAlignment="true" applyProtection="true">
      <alignment horizontal="general" vertical="top" textRotation="0" wrapText="true" indent="0" shrinkToFit="false"/>
      <protection locked="true" hidden="false"/>
    </xf>
    <xf numFmtId="164" fontId="12" fillId="4" borderId="0" xfId="209" applyFont="true" applyBorder="true" applyAlignment="true" applyProtection="true">
      <alignment horizontal="general" vertical="top" textRotation="0" wrapText="true" indent="0" shrinkToFit="false"/>
      <protection locked="true" hidden="false"/>
    </xf>
    <xf numFmtId="174" fontId="7" fillId="3" borderId="0" xfId="209" applyFont="true" applyBorder="true" applyAlignment="true" applyProtection="true">
      <alignment horizontal="general" vertical="top" textRotation="0" wrapText="true" indent="0" shrinkToFit="false"/>
      <protection locked="true" hidden="false"/>
    </xf>
    <xf numFmtId="164" fontId="12" fillId="3" borderId="0" xfId="209" applyFont="true" applyBorder="true" applyAlignment="true" applyProtection="true">
      <alignment horizontal="general" vertical="top" textRotation="0" wrapText="true" indent="0" shrinkToFit="false"/>
      <protection locked="true" hidden="false"/>
    </xf>
    <xf numFmtId="164" fontId="7" fillId="3" borderId="0" xfId="176" applyFont="true" applyBorder="true" applyAlignment="true" applyProtection="true">
      <alignment horizontal="general" vertical="top" textRotation="0" wrapText="true" indent="0" shrinkToFit="false"/>
      <protection locked="true" hidden="false"/>
    </xf>
    <xf numFmtId="164" fontId="9" fillId="3" borderId="0" xfId="176" applyFont="true" applyBorder="true" applyAlignment="true" applyProtection="true">
      <alignment horizontal="general" vertical="top" textRotation="0" wrapText="true" indent="0" shrinkToFit="false"/>
      <protection locked="true" hidden="false"/>
    </xf>
    <xf numFmtId="164" fontId="12" fillId="3" borderId="0" xfId="176" applyFont="true" applyBorder="true" applyAlignment="true" applyProtection="true">
      <alignment horizontal="general" vertical="top" textRotation="0" wrapText="true" indent="0" shrinkToFit="false"/>
      <protection locked="true" hidden="false"/>
    </xf>
    <xf numFmtId="175" fontId="7" fillId="3" borderId="0" xfId="176" applyFont="true" applyBorder="true" applyAlignment="true" applyProtection="true">
      <alignment horizontal="general" vertical="top" textRotation="0" wrapText="true" indent="0" shrinkToFit="false"/>
      <protection locked="true" hidden="false"/>
    </xf>
    <xf numFmtId="164" fontId="9" fillId="4" borderId="0" xfId="176" applyFont="true" applyBorder="true" applyAlignment="true" applyProtection="true">
      <alignment horizontal="general" vertical="top" textRotation="0" wrapText="true" indent="0" shrinkToFit="false"/>
      <protection locked="true" hidden="false"/>
    </xf>
    <xf numFmtId="164" fontId="12" fillId="4" borderId="0" xfId="176" applyFont="true" applyBorder="true" applyAlignment="true" applyProtection="true">
      <alignment horizontal="general" vertical="top" textRotation="0" wrapText="true" indent="0" shrinkToFit="false"/>
      <protection locked="true" hidden="false"/>
    </xf>
    <xf numFmtId="174" fontId="7" fillId="3" borderId="0" xfId="176" applyFont="true" applyBorder="true" applyAlignment="true" applyProtection="true">
      <alignment horizontal="general" vertical="top" textRotation="0" wrapText="true" indent="0" shrinkToFit="false"/>
      <protection locked="true" hidden="false"/>
    </xf>
    <xf numFmtId="175" fontId="12" fillId="0" borderId="0" xfId="176" applyFont="true" applyBorder="true" applyAlignment="true" applyProtection="true">
      <alignment horizontal="general" vertical="top" textRotation="0" wrapText="true" indent="0" shrinkToFit="false"/>
      <protection locked="true" hidden="false"/>
    </xf>
    <xf numFmtId="164" fontId="9" fillId="6" borderId="0" xfId="173" applyFont="true" applyBorder="true" applyAlignment="true" applyProtection="true">
      <alignment horizontal="general" vertical="top" textRotation="0" wrapText="true" indent="0" shrinkToFit="false"/>
      <protection locked="true" hidden="false"/>
    </xf>
    <xf numFmtId="164" fontId="9" fillId="6" borderId="0" xfId="206" applyFont="true" applyBorder="true" applyAlignment="true" applyProtection="true">
      <alignment horizontal="general" vertical="top" textRotation="0" wrapText="true" indent="0" shrinkToFit="false"/>
      <protection locked="true" hidden="false"/>
    </xf>
    <xf numFmtId="164" fontId="9" fillId="6" borderId="0" xfId="209" applyFont="true" applyBorder="true" applyAlignment="true" applyProtection="true">
      <alignment horizontal="general" vertical="top" textRotation="0" wrapText="true" indent="0" shrinkToFit="false"/>
      <protection locked="true" hidden="false"/>
    </xf>
    <xf numFmtId="164" fontId="9" fillId="6" borderId="0" xfId="176" applyFont="true" applyBorder="true" applyAlignment="true" applyProtection="true">
      <alignment horizontal="general" vertical="top" textRotation="0" wrapText="true" indent="0" shrinkToFit="false"/>
      <protection locked="true" hidden="false"/>
    </xf>
    <xf numFmtId="164" fontId="17" fillId="3" borderId="0" xfId="173" applyFont="true" applyBorder="true" applyAlignment="true" applyProtection="true">
      <alignment horizontal="general" vertical="top" textRotation="0" wrapText="true" indent="0" shrinkToFit="false"/>
      <protection locked="true" hidden="false"/>
    </xf>
    <xf numFmtId="164" fontId="17" fillId="5" borderId="0" xfId="173" applyFont="true" applyBorder="true" applyAlignment="true" applyProtection="true">
      <alignment horizontal="general" vertical="top" textRotation="0" wrapText="true" indent="0" shrinkToFit="false"/>
      <protection locked="true" hidden="false"/>
    </xf>
    <xf numFmtId="164" fontId="18" fillId="3" borderId="0" xfId="206" applyFont="true" applyBorder="true" applyAlignment="true" applyProtection="true">
      <alignment horizontal="general" vertical="top" textRotation="0" wrapText="true" indent="0" shrinkToFit="false"/>
      <protection locked="true" hidden="false"/>
    </xf>
    <xf numFmtId="164" fontId="18" fillId="3" borderId="0" xfId="209" applyFont="true" applyBorder="true" applyAlignment="true" applyProtection="true">
      <alignment horizontal="general" vertical="top" textRotation="0" wrapText="true" indent="0" shrinkToFit="false"/>
      <protection locked="true" hidden="false"/>
    </xf>
    <xf numFmtId="164" fontId="18" fillId="3" borderId="0" xfId="176" applyFont="true" applyBorder="true" applyAlignment="true" applyProtection="true">
      <alignment horizontal="general" vertical="top" textRotation="0" wrapText="true" indent="0" shrinkToFit="false"/>
      <protection locked="true" hidden="false"/>
    </xf>
    <xf numFmtId="164" fontId="9" fillId="0" borderId="0" xfId="173" applyFont="true" applyBorder="true" applyAlignment="true" applyProtection="true">
      <alignment horizontal="general" vertical="bottom" textRotation="0" wrapText="false" indent="0" shrinkToFit="false"/>
      <protection locked="true" hidden="false"/>
    </xf>
    <xf numFmtId="164" fontId="7" fillId="0" borderId="0" xfId="173" applyFont="true" applyBorder="true" applyAlignment="true" applyProtection="true">
      <alignment horizontal="general" vertical="bottom" textRotation="0" wrapText="false" indent="0" shrinkToFit="false"/>
      <protection locked="true" hidden="false"/>
    </xf>
    <xf numFmtId="164" fontId="9" fillId="0" borderId="0" xfId="208" applyFont="true" applyBorder="true" applyAlignment="true" applyProtection="true">
      <alignment horizontal="general" vertical="top" textRotation="0" wrapText="true" indent="0" shrinkToFit="false"/>
      <protection locked="true" hidden="false"/>
    </xf>
    <xf numFmtId="164" fontId="12" fillId="0" borderId="0" xfId="181" applyFont="true" applyBorder="true" applyAlignment="true" applyProtection="true">
      <alignment horizontal="general" vertical="top" textRotation="0" wrapText="true" indent="0" shrinkToFit="false"/>
      <protection locked="true" hidden="false"/>
    </xf>
    <xf numFmtId="164" fontId="9" fillId="0" borderId="0" xfId="182" applyFont="true" applyBorder="true" applyAlignment="true" applyProtection="true">
      <alignment horizontal="general" vertical="top" textRotation="0" wrapText="true" indent="0" shrinkToFit="false"/>
      <protection locked="true" hidden="false"/>
    </xf>
    <xf numFmtId="164" fontId="9" fillId="0" borderId="0" xfId="190" applyFont="true" applyBorder="true" applyAlignment="true" applyProtection="true">
      <alignment horizontal="general" vertical="top" textRotation="0" wrapText="true" indent="0" shrinkToFit="false"/>
      <protection locked="true" hidden="false"/>
    </xf>
    <xf numFmtId="164" fontId="19" fillId="0" borderId="0" xfId="209" applyFont="true" applyBorder="true" applyAlignment="true" applyProtection="true">
      <alignment horizontal="general" vertical="top" textRotation="0" wrapText="true" indent="0" shrinkToFit="false"/>
      <protection locked="true" hidden="false"/>
    </xf>
    <xf numFmtId="164" fontId="5" fillId="0" borderId="0" xfId="177" applyFont="true" applyBorder="true" applyAlignment="true" applyProtection="true">
      <alignment horizontal="general" vertical="bottom" textRotation="0" wrapText="false" indent="0" shrinkToFit="false"/>
      <protection locked="true" hidden="false"/>
    </xf>
    <xf numFmtId="164" fontId="21" fillId="7" borderId="0" xfId="179" applyFont="true" applyBorder="true" applyAlignment="true" applyProtection="true">
      <alignment horizontal="center" vertical="center" textRotation="0" wrapText="true" indent="0" shrinkToFit="false"/>
      <protection locked="true" hidden="false"/>
    </xf>
    <xf numFmtId="164" fontId="22" fillId="0" borderId="0" xfId="179" applyFont="true" applyBorder="true" applyAlignment="true" applyProtection="true">
      <alignment horizontal="general" vertical="top" textRotation="0" wrapText="true" indent="0" shrinkToFit="false"/>
      <protection locked="true" hidden="false"/>
    </xf>
    <xf numFmtId="175" fontId="22" fillId="0" borderId="0" xfId="179" applyFont="true" applyBorder="true" applyAlignment="true" applyProtection="true">
      <alignment horizontal="general" vertical="top" textRotation="0" wrapText="true" indent="0" shrinkToFit="false"/>
      <protection locked="true" hidden="false"/>
    </xf>
    <xf numFmtId="176" fontId="22" fillId="0" borderId="0" xfId="179" applyFont="true" applyBorder="true" applyAlignment="true" applyProtection="true">
      <alignment horizontal="left" vertical="top" textRotation="0" wrapText="true" indent="0" shrinkToFit="false"/>
      <protection locked="true" hidden="false"/>
    </xf>
    <xf numFmtId="164" fontId="21" fillId="7" borderId="0" xfId="184" applyFont="true" applyBorder="true" applyAlignment="true" applyProtection="true">
      <alignment horizontal="center" vertical="center" textRotation="0" wrapText="true" indent="0" shrinkToFit="false"/>
      <protection locked="true" hidden="false"/>
    </xf>
    <xf numFmtId="164" fontId="22" fillId="0" borderId="0" xfId="184" applyFont="true" applyBorder="true" applyAlignment="true" applyProtection="true">
      <alignment horizontal="general" vertical="top" textRotation="0" wrapText="true" indent="0" shrinkToFit="false"/>
      <protection locked="true" hidden="false"/>
    </xf>
    <xf numFmtId="175" fontId="22" fillId="0" borderId="0" xfId="184" applyFont="true" applyBorder="true" applyAlignment="true" applyProtection="true">
      <alignment horizontal="general" vertical="top" textRotation="0" wrapText="true" indent="0" shrinkToFit="false"/>
      <protection locked="true" hidden="false"/>
    </xf>
    <xf numFmtId="164" fontId="22" fillId="4" borderId="0" xfId="184" applyFont="true" applyBorder="true" applyAlignment="true" applyProtection="true">
      <alignment horizontal="general" vertical="top" textRotation="0" wrapText="true" indent="0" shrinkToFit="false"/>
      <protection locked="true" hidden="false"/>
    </xf>
    <xf numFmtId="176" fontId="22" fillId="0" borderId="0" xfId="184" applyFont="true" applyBorder="true" applyAlignment="true" applyProtection="true">
      <alignment horizontal="general" vertical="top" textRotation="0" wrapText="true" indent="0" shrinkToFit="false"/>
      <protection locked="true" hidden="false"/>
    </xf>
    <xf numFmtId="164" fontId="21" fillId="7" borderId="0" xfId="191" applyFont="true" applyBorder="true" applyAlignment="true" applyProtection="true">
      <alignment horizontal="center" vertical="center" textRotation="0" wrapText="true" indent="0" shrinkToFit="false"/>
      <protection locked="true" hidden="false"/>
    </xf>
    <xf numFmtId="164" fontId="22" fillId="0" borderId="0" xfId="191" applyFont="true" applyBorder="true" applyAlignment="true" applyProtection="true">
      <alignment horizontal="general" vertical="top" textRotation="0" wrapText="true" indent="0" shrinkToFit="false"/>
      <protection locked="true" hidden="false"/>
    </xf>
    <xf numFmtId="175" fontId="22" fillId="0" borderId="0" xfId="191" applyFont="true" applyBorder="true" applyAlignment="true" applyProtection="true">
      <alignment horizontal="general" vertical="top" textRotation="0" wrapText="true" indent="0" shrinkToFit="false"/>
      <protection locked="true" hidden="false"/>
    </xf>
    <xf numFmtId="176" fontId="22" fillId="0" borderId="0" xfId="193" applyFont="true" applyBorder="true" applyAlignment="true" applyProtection="true">
      <alignment horizontal="general" vertical="top" textRotation="0" wrapText="true" indent="0" shrinkToFit="false"/>
      <protection locked="true" hidden="false"/>
    </xf>
    <xf numFmtId="164" fontId="21" fillId="7" borderId="0" xfId="191" applyFont="true" applyBorder="true" applyAlignment="true" applyProtection="true">
      <alignment horizontal="general" vertical="bottom" textRotation="0" wrapText="true" indent="0" shrinkToFit="false"/>
      <protection locked="true" hidden="false"/>
    </xf>
    <xf numFmtId="164" fontId="22" fillId="0" borderId="0" xfId="191" applyFont="true" applyBorder="true" applyAlignment="true" applyProtection="true">
      <alignment horizontal="general" vertical="bottom" textRotation="0" wrapText="false" indent="0" shrinkToFit="false"/>
      <protection locked="true" hidden="false"/>
    </xf>
    <xf numFmtId="175" fontId="22" fillId="0" borderId="0" xfId="191" applyFont="true" applyBorder="true" applyAlignment="true" applyProtection="true">
      <alignment horizontal="general" vertical="bottom" textRotation="0" wrapText="false" indent="0" shrinkToFit="false"/>
      <protection locked="true" hidden="false"/>
    </xf>
    <xf numFmtId="164" fontId="21" fillId="7" borderId="0" xfId="199" applyFont="true" applyBorder="true" applyAlignment="true" applyProtection="true">
      <alignment horizontal="center" vertical="center" textRotation="0" wrapText="true" indent="0" shrinkToFit="false"/>
      <protection locked="true" hidden="false"/>
    </xf>
    <xf numFmtId="164" fontId="22" fillId="0" borderId="0" xfId="199" applyFont="true" applyBorder="true" applyAlignment="true" applyProtection="true">
      <alignment horizontal="general" vertical="top" textRotation="0" wrapText="true" indent="0" shrinkToFit="false"/>
      <protection locked="true" hidden="false"/>
    </xf>
    <xf numFmtId="175" fontId="22" fillId="0" borderId="0" xfId="199" applyFont="true" applyBorder="true" applyAlignment="true" applyProtection="true">
      <alignment horizontal="general" vertical="top" textRotation="0" wrapText="true" indent="0" shrinkToFit="false"/>
      <protection locked="true" hidden="false"/>
    </xf>
    <xf numFmtId="176" fontId="22" fillId="0" borderId="0" xfId="199" applyFont="true" applyBorder="true" applyAlignment="true" applyProtection="true">
      <alignment horizontal="general" vertical="top" textRotation="0" wrapText="true" indent="0" shrinkToFit="false"/>
      <protection locked="true" hidden="false"/>
    </xf>
    <xf numFmtId="164" fontId="21" fillId="7" borderId="0" xfId="202" applyFont="true" applyBorder="true" applyAlignment="true" applyProtection="true">
      <alignment horizontal="center" vertical="center" textRotation="0" wrapText="true" indent="0" shrinkToFit="false"/>
      <protection locked="true" hidden="false"/>
    </xf>
    <xf numFmtId="164" fontId="22" fillId="0" borderId="0" xfId="202" applyFont="true" applyBorder="true" applyAlignment="true" applyProtection="true">
      <alignment horizontal="general" vertical="top" textRotation="0" wrapText="true" indent="0" shrinkToFit="false"/>
      <protection locked="true" hidden="false"/>
    </xf>
    <xf numFmtId="175" fontId="22" fillId="0" borderId="0" xfId="202" applyFont="true" applyBorder="true" applyAlignment="true" applyProtection="true">
      <alignment horizontal="general" vertical="top" textRotation="0" wrapText="true" indent="0" shrinkToFit="false"/>
      <protection locked="true" hidden="false"/>
    </xf>
    <xf numFmtId="176" fontId="22" fillId="0" borderId="0" xfId="202" applyFont="true" applyBorder="true" applyAlignment="true" applyProtection="true">
      <alignment horizontal="general" vertical="top" textRotation="0" wrapText="true" indent="0" shrinkToFit="false"/>
      <protection locked="true" hidden="false"/>
    </xf>
    <xf numFmtId="164" fontId="21" fillId="7" borderId="0" xfId="204" applyFont="true" applyBorder="true" applyAlignment="true" applyProtection="true">
      <alignment horizontal="center" vertical="center" textRotation="0" wrapText="true" indent="0" shrinkToFit="false"/>
      <protection locked="true" hidden="false"/>
    </xf>
    <xf numFmtId="164" fontId="22" fillId="0" borderId="0" xfId="204" applyFont="true" applyBorder="true" applyAlignment="true" applyProtection="true">
      <alignment horizontal="general" vertical="top" textRotation="0" wrapText="true" indent="0" shrinkToFit="false"/>
      <protection locked="true" hidden="false"/>
    </xf>
    <xf numFmtId="175" fontId="22" fillId="0" borderId="0" xfId="204" applyFont="true" applyBorder="true" applyAlignment="true" applyProtection="true">
      <alignment horizontal="general" vertical="top" textRotation="0" wrapText="true" indent="0" shrinkToFit="false"/>
      <protection locked="true" hidden="false"/>
    </xf>
    <xf numFmtId="176" fontId="22" fillId="0" borderId="0" xfId="204" applyFont="true" applyBorder="true" applyAlignment="true" applyProtection="true">
      <alignment horizontal="general" vertical="top" textRotation="0" wrapText="true" indent="0" shrinkToFit="false"/>
      <protection locked="true" hidden="false"/>
    </xf>
    <xf numFmtId="164" fontId="21" fillId="7" borderId="0" xfId="205" applyFont="true" applyBorder="true" applyAlignment="true" applyProtection="true">
      <alignment horizontal="center" vertical="center" textRotation="0" wrapText="true" indent="0" shrinkToFit="false"/>
      <protection locked="true" hidden="false"/>
    </xf>
    <xf numFmtId="164" fontId="22" fillId="0" borderId="0" xfId="205" applyFont="true" applyBorder="true" applyAlignment="true" applyProtection="true">
      <alignment horizontal="general" vertical="top" textRotation="0" wrapText="true" indent="0" shrinkToFit="false"/>
      <protection locked="true" hidden="false"/>
    </xf>
    <xf numFmtId="175" fontId="22" fillId="0" borderId="0" xfId="205" applyFont="true" applyBorder="true" applyAlignment="true" applyProtection="true">
      <alignment horizontal="general" vertical="top" textRotation="0" wrapText="true" indent="0" shrinkToFit="false"/>
      <protection locked="true" hidden="false"/>
    </xf>
    <xf numFmtId="176" fontId="22" fillId="0" borderId="0" xfId="205" applyFont="true" applyBorder="true" applyAlignment="true" applyProtection="true">
      <alignment horizontal="general" vertical="top" textRotation="0" wrapText="true" indent="0" shrinkToFit="false"/>
      <protection locked="true" hidden="false"/>
    </xf>
    <xf numFmtId="164" fontId="21" fillId="7" borderId="0" xfId="205" applyFont="true" applyBorder="true" applyAlignment="true" applyProtection="true">
      <alignment horizontal="general" vertical="top" textRotation="0" wrapText="true" indent="0" shrinkToFit="false"/>
      <protection locked="true" hidden="false"/>
    </xf>
    <xf numFmtId="164" fontId="21" fillId="7" borderId="0" xfId="172" applyFont="true" applyBorder="true" applyAlignment="true" applyProtection="false">
      <alignment horizontal="center" vertical="center" textRotation="0" wrapText="true" indent="0" shrinkToFit="false"/>
      <protection locked="true" hidden="false"/>
    </xf>
    <xf numFmtId="164" fontId="22" fillId="0" borderId="0" xfId="172" applyFont="true" applyBorder="true" applyAlignment="true" applyProtection="false">
      <alignment horizontal="general" vertical="top" textRotation="0" wrapText="true" indent="0" shrinkToFit="false"/>
      <protection locked="true" hidden="false"/>
    </xf>
    <xf numFmtId="175" fontId="22" fillId="0" borderId="0" xfId="172" applyFont="true" applyBorder="true" applyAlignment="true" applyProtection="false">
      <alignment horizontal="general" vertical="top" textRotation="0" wrapText="true" indent="0" shrinkToFit="false"/>
      <protection locked="true" hidden="false"/>
    </xf>
    <xf numFmtId="176" fontId="22" fillId="0" borderId="0" xfId="172" applyFont="true" applyBorder="true" applyAlignment="true" applyProtection="false">
      <alignment horizontal="general" vertical="top" textRotation="0" wrapText="true" indent="0" shrinkToFit="false"/>
      <protection locked="true" hidden="false"/>
    </xf>
    <xf numFmtId="164" fontId="10" fillId="7" borderId="0" xfId="172" applyFont="true" applyBorder="true" applyAlignment="true" applyProtection="false">
      <alignment horizontal="center" vertical="center" textRotation="0" wrapText="true" indent="0" shrinkToFit="false"/>
      <protection locked="true" hidden="false"/>
    </xf>
    <xf numFmtId="164" fontId="23" fillId="0" borderId="0" xfId="172" applyFont="true" applyBorder="true" applyAlignment="true" applyProtection="false">
      <alignment horizontal="general" vertical="top" textRotation="0" wrapText="true" indent="0" shrinkToFit="false"/>
      <protection locked="true" hidden="false"/>
    </xf>
  </cellXfs>
  <cellStyles count="235">
    <cellStyle name="Normal" xfId="0" builtinId="0"/>
    <cellStyle name="Comma" xfId="15" builtinId="3"/>
    <cellStyle name="Comma [0]" xfId="16" builtinId="6"/>
    <cellStyle name="Currency" xfId="17" builtinId="4"/>
    <cellStyle name="Currency [0]" xfId="18" builtinId="7"/>
    <cellStyle name="Percent" xfId="19" builtinId="5"/>
    <cellStyle name="Comma" xfId="20"/>
    <cellStyle name="Comma 1" xfId="21"/>
    <cellStyle name="Comma 10" xfId="22"/>
    <cellStyle name="Comma 11" xfId="23"/>
    <cellStyle name="Comma 12" xfId="24"/>
    <cellStyle name="Comma 13" xfId="25"/>
    <cellStyle name="Comma 14" xfId="26"/>
    <cellStyle name="Comma 15" xfId="27"/>
    <cellStyle name="Comma 16" xfId="28"/>
    <cellStyle name="Comma 17" xfId="29"/>
    <cellStyle name="Comma 18" xfId="30"/>
    <cellStyle name="Comma 19" xfId="31"/>
    <cellStyle name="Comma 2" xfId="32"/>
    <cellStyle name="Comma 20" xfId="33"/>
    <cellStyle name="Comma 21" xfId="34"/>
    <cellStyle name="Comma 22" xfId="35"/>
    <cellStyle name="Comma 23" xfId="36"/>
    <cellStyle name="Comma 24" xfId="37"/>
    <cellStyle name="Comma 25" xfId="38"/>
    <cellStyle name="Comma 26" xfId="39"/>
    <cellStyle name="Comma 27" xfId="40"/>
    <cellStyle name="Comma 28" xfId="41"/>
    <cellStyle name="Comma 29" xfId="42"/>
    <cellStyle name="Comma 3" xfId="43"/>
    <cellStyle name="Comma 30" xfId="44"/>
    <cellStyle name="Comma 31" xfId="45"/>
    <cellStyle name="Comma 32" xfId="46"/>
    <cellStyle name="Comma 33" xfId="47"/>
    <cellStyle name="Comma 34" xfId="48"/>
    <cellStyle name="Comma 35" xfId="49"/>
    <cellStyle name="Comma 36" xfId="50"/>
    <cellStyle name="Comma 37" xfId="51"/>
    <cellStyle name="Comma 4" xfId="52"/>
    <cellStyle name="Comma 5" xfId="53"/>
    <cellStyle name="Comma 6" xfId="54"/>
    <cellStyle name="Comma 7" xfId="55"/>
    <cellStyle name="Comma 8" xfId="56"/>
    <cellStyle name="Comma 9" xfId="57"/>
    <cellStyle name="Comma [0]" xfId="58"/>
    <cellStyle name="Comma [0] 10" xfId="59"/>
    <cellStyle name="Comma [0] 11" xfId="60"/>
    <cellStyle name="Comma [0] 12" xfId="61"/>
    <cellStyle name="Comma [0] 13" xfId="62"/>
    <cellStyle name="Comma [0] 14" xfId="63"/>
    <cellStyle name="Comma [0] 15" xfId="64"/>
    <cellStyle name="Comma [0] 16" xfId="65"/>
    <cellStyle name="Comma [0] 17" xfId="66"/>
    <cellStyle name="Comma [0] 18" xfId="67"/>
    <cellStyle name="Comma [0] 19" xfId="68"/>
    <cellStyle name="Comma [0] 2" xfId="69"/>
    <cellStyle name="Comma [0] 20" xfId="70"/>
    <cellStyle name="Comma [0] 21" xfId="71"/>
    <cellStyle name="Comma [0] 22" xfId="72"/>
    <cellStyle name="Comma [0] 23" xfId="73"/>
    <cellStyle name="Comma [0] 24" xfId="74"/>
    <cellStyle name="Comma [0] 25" xfId="75"/>
    <cellStyle name="Comma [0] 26" xfId="76"/>
    <cellStyle name="Comma [0] 27" xfId="77"/>
    <cellStyle name="Comma [0] 28" xfId="78"/>
    <cellStyle name="Comma [0] 29" xfId="79"/>
    <cellStyle name="Comma [0] 3" xfId="80"/>
    <cellStyle name="Comma [0] 30" xfId="81"/>
    <cellStyle name="Comma [0] 31" xfId="82"/>
    <cellStyle name="Comma [0] 32" xfId="83"/>
    <cellStyle name="Comma [0] 33" xfId="84"/>
    <cellStyle name="Comma [0] 34" xfId="85"/>
    <cellStyle name="Comma [0] 35" xfId="86"/>
    <cellStyle name="Comma [0] 36" xfId="87"/>
    <cellStyle name="Comma [0] 37" xfId="88"/>
    <cellStyle name="Comma [0] 38" xfId="89"/>
    <cellStyle name="Comma [0] 4" xfId="90"/>
    <cellStyle name="Comma [0] 5" xfId="91"/>
    <cellStyle name="Comma [0] 6" xfId="92"/>
    <cellStyle name="Comma [0] 7" xfId="93"/>
    <cellStyle name="Comma [0] 8" xfId="94"/>
    <cellStyle name="Comma [0] 9" xfId="95"/>
    <cellStyle name="Currency" xfId="96"/>
    <cellStyle name="Currency 10" xfId="97"/>
    <cellStyle name="Currency 11" xfId="98"/>
    <cellStyle name="Currency 12" xfId="99"/>
    <cellStyle name="Currency 13" xfId="100"/>
    <cellStyle name="Currency 14" xfId="101"/>
    <cellStyle name="Currency 15" xfId="102"/>
    <cellStyle name="Currency 16" xfId="103"/>
    <cellStyle name="Currency 17" xfId="104"/>
    <cellStyle name="Currency 18" xfId="105"/>
    <cellStyle name="Currency 19" xfId="106"/>
    <cellStyle name="Currency 20" xfId="107"/>
    <cellStyle name="Currency 21" xfId="108"/>
    <cellStyle name="Currency 22" xfId="109"/>
    <cellStyle name="Currency 23" xfId="110"/>
    <cellStyle name="Currency 24" xfId="111"/>
    <cellStyle name="Currency 25" xfId="112"/>
    <cellStyle name="Currency 26" xfId="113"/>
    <cellStyle name="Currency 27" xfId="114"/>
    <cellStyle name="Currency 28" xfId="115"/>
    <cellStyle name="Currency 29" xfId="116"/>
    <cellStyle name="Currency 3" xfId="117"/>
    <cellStyle name="Currency 30" xfId="118"/>
    <cellStyle name="Currency 31" xfId="119"/>
    <cellStyle name="Currency 32" xfId="120"/>
    <cellStyle name="Currency 33" xfId="121"/>
    <cellStyle name="Currency 34" xfId="122"/>
    <cellStyle name="Currency 35" xfId="123"/>
    <cellStyle name="Currency 36" xfId="124"/>
    <cellStyle name="Currency 37" xfId="125"/>
    <cellStyle name="Currency 38" xfId="126"/>
    <cellStyle name="Currency 39" xfId="127"/>
    <cellStyle name="Currency 4" xfId="128"/>
    <cellStyle name="Currency 5" xfId="129"/>
    <cellStyle name="Currency 6" xfId="130"/>
    <cellStyle name="Currency 7" xfId="131"/>
    <cellStyle name="Currency 8" xfId="132"/>
    <cellStyle name="Currency 9" xfId="133"/>
    <cellStyle name="Currency [0]" xfId="134"/>
    <cellStyle name="Currency [0] 10" xfId="135"/>
    <cellStyle name="Currency [0] 11" xfId="136"/>
    <cellStyle name="Currency [0] 12" xfId="137"/>
    <cellStyle name="Currency [0] 13" xfId="138"/>
    <cellStyle name="Currency [0] 14" xfId="139"/>
    <cellStyle name="Currency [0] 15" xfId="140"/>
    <cellStyle name="Currency [0] 16" xfId="141"/>
    <cellStyle name="Currency [0] 17" xfId="142"/>
    <cellStyle name="Currency [0] 18" xfId="143"/>
    <cellStyle name="Currency [0] 19" xfId="144"/>
    <cellStyle name="Currency [0] 20" xfId="145"/>
    <cellStyle name="Currency [0] 21" xfId="146"/>
    <cellStyle name="Currency [0] 22" xfId="147"/>
    <cellStyle name="Currency [0] 23" xfId="148"/>
    <cellStyle name="Currency [0] 24" xfId="149"/>
    <cellStyle name="Currency [0] 25" xfId="150"/>
    <cellStyle name="Currency [0] 26" xfId="151"/>
    <cellStyle name="Currency [0] 27" xfId="152"/>
    <cellStyle name="Currency [0] 28" xfId="153"/>
    <cellStyle name="Currency [0] 29" xfId="154"/>
    <cellStyle name="Currency [0] 30" xfId="155"/>
    <cellStyle name="Currency [0] 31" xfId="156"/>
    <cellStyle name="Currency [0] 32" xfId="157"/>
    <cellStyle name="Currency [0] 33" xfId="158"/>
    <cellStyle name="Currency [0] 34" xfId="159"/>
    <cellStyle name="Currency [0] 35" xfId="160"/>
    <cellStyle name="Currency [0] 36" xfId="161"/>
    <cellStyle name="Currency [0] 37" xfId="162"/>
    <cellStyle name="Currency [0] 38" xfId="163"/>
    <cellStyle name="Currency [0] 39" xfId="164"/>
    <cellStyle name="Currency [0] 4" xfId="165"/>
    <cellStyle name="Currency [0] 40" xfId="166"/>
    <cellStyle name="Currency [0] 5" xfId="167"/>
    <cellStyle name="Currency [0] 6" xfId="168"/>
    <cellStyle name="Currency [0] 7" xfId="169"/>
    <cellStyle name="Currency [0] 8" xfId="170"/>
    <cellStyle name="Currency [0] 9" xfId="171"/>
    <cellStyle name="Normal" xfId="172"/>
    <cellStyle name="Normal 1" xfId="173"/>
    <cellStyle name="Normal 10" xfId="174"/>
    <cellStyle name="Normal 11" xfId="175"/>
    <cellStyle name="Normal 12" xfId="176"/>
    <cellStyle name="Normal 13" xfId="177"/>
    <cellStyle name="Normal 14" xfId="178"/>
    <cellStyle name="Normal 15" xfId="179"/>
    <cellStyle name="Normal 16" xfId="180"/>
    <cellStyle name="Normal 17" xfId="181"/>
    <cellStyle name="Normal 18" xfId="182"/>
    <cellStyle name="Normal 19" xfId="183"/>
    <cellStyle name="Normal 20" xfId="184"/>
    <cellStyle name="Normal 21" xfId="185"/>
    <cellStyle name="Normal 22" xfId="186"/>
    <cellStyle name="Normal 23" xfId="187"/>
    <cellStyle name="Normal 24" xfId="188"/>
    <cellStyle name="Normal 25" xfId="189"/>
    <cellStyle name="Normal 26" xfId="190"/>
    <cellStyle name="Normal 27" xfId="191"/>
    <cellStyle name="Normal 28" xfId="192"/>
    <cellStyle name="Normal 29" xfId="193"/>
    <cellStyle name="Normal 30" xfId="194"/>
    <cellStyle name="Normal 31" xfId="195"/>
    <cellStyle name="Normal 32" xfId="196"/>
    <cellStyle name="Normal 33" xfId="197"/>
    <cellStyle name="Normal 34" xfId="198"/>
    <cellStyle name="Normal 35" xfId="199"/>
    <cellStyle name="Normal 36" xfId="200"/>
    <cellStyle name="Normal 37" xfId="201"/>
    <cellStyle name="Normal 38" xfId="202"/>
    <cellStyle name="Normal 39" xfId="203"/>
    <cellStyle name="Normal 40" xfId="204"/>
    <cellStyle name="Normal 41" xfId="205"/>
    <cellStyle name="Normal 5" xfId="206"/>
    <cellStyle name="Normal 6" xfId="207"/>
    <cellStyle name="Normal 7" xfId="208"/>
    <cellStyle name="Normal 8" xfId="209"/>
    <cellStyle name="Normal 9" xfId="210"/>
    <cellStyle name="Percent" xfId="211"/>
    <cellStyle name="Percent 10" xfId="212"/>
    <cellStyle name="Percent 11" xfId="213"/>
    <cellStyle name="Percent 12" xfId="214"/>
    <cellStyle name="Percent 13" xfId="215"/>
    <cellStyle name="Percent 14" xfId="216"/>
    <cellStyle name="Percent 15" xfId="217"/>
    <cellStyle name="Percent 16" xfId="218"/>
    <cellStyle name="Percent 17" xfId="219"/>
    <cellStyle name="Percent 18" xfId="220"/>
    <cellStyle name="Percent 19" xfId="221"/>
    <cellStyle name="Percent 20" xfId="222"/>
    <cellStyle name="Percent 21" xfId="223"/>
    <cellStyle name="Percent 22" xfId="224"/>
    <cellStyle name="Percent 23" xfId="225"/>
    <cellStyle name="Percent 24" xfId="226"/>
    <cellStyle name="Percent 25" xfId="227"/>
    <cellStyle name="Percent 26" xfId="228"/>
    <cellStyle name="Percent 27" xfId="229"/>
    <cellStyle name="Percent 28" xfId="230"/>
    <cellStyle name="Percent 29" xfId="231"/>
    <cellStyle name="Percent 30" xfId="232"/>
    <cellStyle name="Percent 31" xfId="233"/>
    <cellStyle name="Percent 32" xfId="234"/>
    <cellStyle name="Percent 33" xfId="235"/>
    <cellStyle name="Percent 34" xfId="236"/>
    <cellStyle name="Percent 35" xfId="237"/>
    <cellStyle name="Percent 36" xfId="238"/>
    <cellStyle name="Percent 37" xfId="239"/>
    <cellStyle name="Percent 38" xfId="240"/>
    <cellStyle name="Percent 39" xfId="241"/>
    <cellStyle name="Percent 40" xfId="242"/>
    <cellStyle name="Percent 41" xfId="243"/>
    <cellStyle name="Percent 42" xfId="244"/>
    <cellStyle name="Percent 6" xfId="245"/>
    <cellStyle name="Percent 7" xfId="246"/>
    <cellStyle name="Percent 8" xfId="247"/>
    <cellStyle name="Percent 9" xfId="248"/>
  </cellStyles>
  <dxfs count="45">
    <dxf>
      <font>
        <b val="1"/>
        <color rgb="FFA12622"/>
      </font>
      <fill>
        <patternFill>
          <bgColor rgb="FFFCE8E6"/>
        </patternFill>
      </fill>
    </dxf>
    <dxf>
      <fill>
        <patternFill patternType="solid">
          <fgColor rgb="FF18364D"/>
          <bgColor rgb="FF000000"/>
        </patternFill>
      </fill>
    </dxf>
    <dxf>
      <fill>
        <patternFill patternType="solid">
          <fgColor rgb="FFF3F5F7"/>
          <bgColor rgb="FF000000"/>
        </patternFill>
      </fill>
    </dxf>
    <dxf>
      <fill>
        <patternFill patternType="solid">
          <fgColor rgb="FFFFFFFF"/>
          <bgColor rgb="FF000000"/>
        </patternFill>
      </fill>
    </dxf>
    <dxf>
      <fill>
        <patternFill patternType="solid">
          <fgColor rgb="FF20334A"/>
          <bgColor rgb="FF000000"/>
        </patternFill>
      </fill>
    </dxf>
    <dxf>
      <fill>
        <patternFill patternType="solid">
          <fgColor rgb="FFE2EFDA"/>
          <bgColor rgb="FF000000"/>
        </patternFill>
      </fill>
    </dxf>
    <dxf>
      <fill>
        <patternFill patternType="solid">
          <fgColor rgb="FFFFF2CC"/>
          <bgColor rgb="FF000000"/>
        </patternFill>
      </fill>
    </dxf>
    <dxf>
      <fill>
        <patternFill patternType="solid">
          <fgColor rgb="FF285E2B"/>
          <bgColor rgb="FF000000"/>
        </patternFill>
      </fill>
    </dxf>
    <dxf>
      <fill>
        <patternFill patternType="solid">
          <bgColor rgb="FF000000"/>
        </patternFill>
      </fill>
    </dxf>
    <dxf>
      <font>
        <color rgb="FF285E2B"/>
      </font>
      <fill>
        <patternFill>
          <bgColor rgb="FFE2EFDA"/>
        </patternFill>
      </fill>
    </dxf>
    <dxf>
      <font>
        <b val="1"/>
        <color rgb="FFA12622"/>
      </font>
      <fill>
        <patternFill>
          <bgColor rgb="FFFCE8E6"/>
        </patternFill>
      </fill>
    </dxf>
    <dxf>
      <font>
        <b val="1"/>
        <color rgb="FFA12622"/>
      </font>
      <fill>
        <patternFill>
          <bgColor rgb="FFFCE8E6"/>
        </patternFill>
      </fill>
    </dxf>
    <dxf>
      <font>
        <b val="1"/>
        <color rgb="FFA12622"/>
      </font>
      <fill>
        <patternFill>
          <bgColor rgb="FFFCE8E6"/>
        </patternFill>
      </fill>
    </dxf>
    <dxf>
      <font>
        <b val="1"/>
        <color rgb="FFA12622"/>
      </font>
      <fill>
        <patternFill>
          <bgColor rgb="FFFCE8E6"/>
        </patternFill>
      </fill>
    </dxf>
    <dxf>
      <font>
        <b val="1"/>
        <color rgb="FFA12622"/>
      </font>
      <fill>
        <patternFill>
          <bgColor rgb="FFFCE8E6"/>
        </patternFill>
      </fill>
    </dxf>
    <dxf>
      <font>
        <b val="1"/>
        <color rgb="FFA12622"/>
      </font>
      <fill>
        <patternFill>
          <bgColor rgb="FFFCE8E6"/>
        </patternFill>
      </fill>
    </dxf>
    <dxf>
      <font>
        <b val="1"/>
        <color rgb="FFA12622"/>
      </font>
      <fill>
        <patternFill>
          <bgColor rgb="FFFCE8E6"/>
        </patternFill>
      </fill>
    </dxf>
    <dxf>
      <font>
        <b val="1"/>
        <color rgb="FFA12622"/>
      </font>
      <fill>
        <patternFill>
          <bgColor rgb="FFFCE8E6"/>
        </patternFill>
      </fill>
    </dxf>
    <dxf>
      <fill>
        <patternFill patternType="solid">
          <fgColor rgb="FFE9F1F7"/>
          <bgColor rgb="FF000000"/>
        </patternFill>
      </fill>
    </dxf>
    <dxf>
      <font>
        <b val="1"/>
        <color rgb="FFA12622"/>
      </font>
      <fill>
        <patternFill>
          <bgColor rgb="FFFCE8E6"/>
        </patternFill>
      </fill>
    </dxf>
    <dxf>
      <fill>
        <patternFill patternType="solid">
          <fgColor rgb="FF0563C1"/>
          <bgColor rgb="FF000000"/>
        </patternFill>
      </fill>
    </dxf>
    <dxf>
      <font>
        <b val="1"/>
        <color rgb="FFA12622"/>
      </font>
      <fill>
        <patternFill>
          <bgColor rgb="FFFCE8E6"/>
        </patternFill>
      </fill>
    </dxf>
    <dxf>
      <font>
        <b val="1"/>
        <color rgb="FFA12622"/>
      </font>
      <fill>
        <patternFill>
          <bgColor rgb="FFFCE8E6"/>
        </patternFill>
      </fill>
    </dxf>
    <dxf>
      <font>
        <b val="1"/>
        <color rgb="FFA12622"/>
      </font>
      <fill>
        <patternFill>
          <bgColor rgb="FFFCE8E6"/>
        </patternFill>
      </fill>
    </dxf>
    <dxf>
      <fill>
        <patternFill patternType="solid">
          <fgColor rgb="FF193C53"/>
          <bgColor rgb="FF000000"/>
        </patternFill>
      </fill>
    </dxf>
    <dxf>
      <fill>
        <patternFill patternType="solid">
          <fgColor rgb="FF203B53"/>
          <bgColor rgb="FF000000"/>
        </patternFill>
      </fill>
    </dxf>
    <dxf>
      <fill>
        <patternFill patternType="solid">
          <fgColor rgb="FF8A4C00"/>
          <bgColor rgb="FF000000"/>
        </patternFill>
      </fill>
    </dxf>
    <dxf>
      <font>
        <b val="1"/>
        <color rgb="FF8A4C00"/>
      </font>
      <fill>
        <patternFill>
          <bgColor rgb="FFFFF2CC"/>
        </patternFill>
      </fill>
    </dxf>
    <dxf>
      <font>
        <b val="1"/>
        <color rgb="FF9C2222"/>
      </font>
      <fill>
        <patternFill>
          <bgColor rgb="FFFDE9E7"/>
        </patternFill>
      </fill>
    </dxf>
    <dxf>
      <font>
        <b val="1"/>
        <color rgb="FF9C0006"/>
      </font>
      <fill>
        <patternFill>
          <bgColor rgb="FFFCE4D6"/>
        </patternFill>
      </fill>
    </dxf>
    <dxf>
      <font>
        <b val="1"/>
        <color rgb="FF9C0006"/>
      </font>
      <fill>
        <patternFill>
          <bgColor rgb="FFFCE4D6"/>
        </patternFill>
      </fill>
    </dxf>
    <dxf>
      <font>
        <b val="1"/>
        <color rgb="FF9C0006"/>
      </font>
      <fill>
        <patternFill>
          <bgColor rgb="FFFCE4D6"/>
        </patternFill>
      </fill>
    </dxf>
    <dxf>
      <font>
        <b val="1"/>
        <color rgb="FF9C0006"/>
      </font>
      <fill>
        <patternFill>
          <bgColor rgb="FFFCE4D6"/>
        </patternFill>
      </fill>
    </dxf>
    <dxf>
      <font>
        <b val="1"/>
        <color rgb="FF9C0006"/>
      </font>
      <fill>
        <patternFill>
          <bgColor rgb="FFFCE4D6"/>
        </patternFill>
      </fill>
    </dxf>
    <dxf>
      <font>
        <b val="1"/>
        <color rgb="FF9C0006"/>
      </font>
      <fill>
        <patternFill>
          <bgColor rgb="FFFCE4D6"/>
        </patternFill>
      </fill>
    </dxf>
    <dxf>
      <font>
        <b val="1"/>
        <color rgb="FF9C0006"/>
      </font>
      <fill>
        <patternFill>
          <bgColor rgb="FFFCE4D6"/>
        </patternFill>
      </fill>
    </dxf>
    <dxf>
      <font>
        <b val="1"/>
        <color rgb="FF9C0006"/>
      </font>
      <fill>
        <patternFill>
          <bgColor rgb="FFFCE4D6"/>
        </patternFill>
      </fill>
    </dxf>
    <dxf>
      <font>
        <b val="1"/>
        <color rgb="FF9C0006"/>
      </font>
      <fill>
        <patternFill>
          <bgColor rgb="FFFCE4D6"/>
        </patternFill>
      </fill>
    </dxf>
    <dxf>
      <font>
        <color rgb="FF000000"/>
      </font>
      <border diagonalUp="false" diagonalDown="false">
        <left style="thin">
          <color theme="4" tint="0.4"/>
        </left>
        <right style="thin">
          <color theme="4" tint="0.4"/>
        </right>
        <top style="thin">
          <color theme="4" tint="0.4"/>
        </top>
        <bottom style="thin">
          <color theme="4" tint="0.4"/>
        </bottom>
        <diagonal/>
      </border>
    </dxf>
    <dxf>
      <fill>
        <patternFill>
          <bgColor theme="4" tint="0.8"/>
        </patternFill>
      </fill>
    </dxf>
    <dxf>
      <fill>
        <patternFill>
          <bgColor theme="4" tint="0.8"/>
        </patternFill>
      </fill>
    </dxf>
    <dxf>
      <font>
        <b val="1"/>
        <color rgb="FF000000"/>
      </font>
    </dxf>
    <dxf>
      <font>
        <b val="1"/>
        <color rgb="FF000000"/>
      </font>
    </dxf>
    <dxf>
      <font>
        <b val="1"/>
        <color rgb="FFFFFFFF"/>
      </font>
      <fill>
        <patternFill>
          <bgColor theme="4"/>
        </patternFill>
      </fill>
    </dxf>
    <dxf>
      <font>
        <b val="1"/>
        <color rgb="FF000000"/>
      </font>
      <border diagonalUp="false" diagonalDown="false">
        <left/>
        <right/>
        <top style="double">
          <color theme="4"/>
        </top>
        <bottom/>
        <diagonal/>
      </border>
    </dxf>
  </dxfs>
  <tableStyles count="1">
    <tableStyle count="7" name="TableStyleMedium2">
      <tableStyleElement dxfId="38" type="wholeTable"/>
      <tableStyleElement dxfId="39" type="firstColumnStripe"/>
      <tableStyleElement dxfId="40" type="firstRowStripe"/>
      <tableStyleElement dxfId="41" type="lastColumn"/>
      <tableStyleElement dxfId="42" type="firstColumn"/>
      <tableStyleElement dxfId="43" type="headerRow"/>
      <tableStyleElement dxfId="44" type="totalRow"/>
    </tableStyle>
  </tableStyle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156082"/>
      <rgbColor rgb="FFFCE8E6"/>
      <rgbColor rgb="FF808080"/>
      <rgbColor rgb="FF9999FF"/>
      <rgbColor rgb="FF9C2222"/>
      <rgbColor rgb="FFFFF2CC"/>
      <rgbColor rgb="FFE9F1F7"/>
      <rgbColor rgb="FF660066"/>
      <rgbColor rgb="FFFF8080"/>
      <rgbColor rgb="FF0563C1"/>
      <rgbColor rgb="FFCFD8E1"/>
      <rgbColor rgb="FF000080"/>
      <rgbColor rgb="FFFF00FF"/>
      <rgbColor rgb="FFFFFF00"/>
      <rgbColor rgb="FF00FFFF"/>
      <rgbColor rgb="FF800080"/>
      <rgbColor rgb="FF800000"/>
      <rgbColor rgb="FF008080"/>
      <rgbColor rgb="FF0000FF"/>
      <rgbColor rgb="FF00CCFF"/>
      <rgbColor rgb="FFF3F5F7"/>
      <rgbColor rgb="FFE2EFDA"/>
      <rgbColor rgb="FFFDE9E7"/>
      <rgbColor rgb="FF99CCFF"/>
      <rgbColor rgb="FFFF99CC"/>
      <rgbColor rgb="FFCC99FF"/>
      <rgbColor rgb="FFFCE4D6"/>
      <rgbColor rgb="FF3366FF"/>
      <rgbColor rgb="FF46B1E1"/>
      <rgbColor rgb="FF99CC00"/>
      <rgbColor rgb="FFFFCC00"/>
      <rgbColor rgb="FFFF9900"/>
      <rgbColor rgb="FFFF6600"/>
      <rgbColor rgb="FF666699"/>
      <rgbColor rgb="FF969696"/>
      <rgbColor rgb="FF18364D"/>
      <rgbColor rgb="FF339966"/>
      <rgbColor rgb="FF193C53"/>
      <rgbColor rgb="FF285E2B"/>
      <rgbColor rgb="FFA12622"/>
      <rgbColor rgb="FF8A4C00"/>
      <rgbColor rgb="FF203B53"/>
      <rgbColor rgb="FF2033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sharedStrings" Target="sharedStrings.xml"/>
</Relationships>
</file>

<file path=xl/tables/table1.xml><?xml version="1.0" encoding="utf-8"?>
<table xmlns="http://schemas.openxmlformats.org/spreadsheetml/2006/main" id="1" name="AcceptanceRules" displayName="AcceptanceRules" ref="A1:D9" headerRowCount="1" totalsRowCount="0" totalsRowShown="0">
  <autoFilter ref="A1:D9"/>
  <tableColumns count="4">
    <tableColumn id="1" name="项目"/>
    <tableColumn id="2" name="口径／动作"/>
    <tableColumn id="3" name="验收必备"/>
    <tableColumn id="4" name="计数边界"/>
  </tableColumns>
  <tableStyleInfo name="TableStyleMedium2" showFirstColumn="0" showLastColumn="0" showRowStripes="1" showColumnStripes="0"/>
</table>
</file>

<file path=xl/tables/table2.xml><?xml version="1.0" encoding="utf-8"?>
<table xmlns="http://schemas.openxmlformats.org/spreadsheetml/2006/main" id="2" name="B11ExplanatoryRelations" displayName="B11ExplanatoryRelations" ref="A48:J52" headerRowCount="1" totalsRowCount="0" totalsRowShown="0">
  <autoFilter ref="A48:J52"/>
  <tableColumns count="10">
    <tableColumn id="1" name="关系ID"/>
    <tableColumn id="2" name="支持件ID"/>
    <tableColumn id="3" name="对应主文ID"/>
    <tableColumn id="4" name="关系分类"/>
    <tableColumn id="5" name="支持件页码"/>
    <tableColumn id="6" name="历史关系已核"/>
    <tableColumn id="7" name="准确版次／合同并入"/>
    <tableColumn id="8" name="当前采用"/>
    <tableColumn id="9" name="附表／个体齐套"/>
    <tableColumn id="10" name="证据索引"/>
  </tableColumns>
  <tableStyleInfo name="TableStyleMedium2" showFirstColumn="0" showLastColumn="0" showRowStripes="1" showColumnStripes="0"/>
</table>
</file>

<file path=xl/tables/table3.xml><?xml version="1.0" encoding="utf-8"?>
<table xmlns="http://schemas.openxmlformats.org/spreadsheetml/2006/main" id="3" name="B19ContentCheckpoints" displayName="B19ContentCheckpoints" ref="A1:AM6" headerRowCount="1" totalsRowCount="0" totalsRowShown="0">
  <tableColumns count="39">
    <tableColumn id="1" name="任务ID"/>
    <tableColumn id="2" name="批次"/>
    <tableColumn id="3" name="地区"/>
    <tableColumn id="4" name="冻结来源保司"/>
    <tableColumn id="5" name="冻结来源产品标签"/>
    <tableColumn id="6" name="前次角色工单"/>
    <tableColumn id="7" name="原件ID"/>
    <tableColumn id="8" name="原件SHA-256"/>
    <tableColumn id="9" name="现存物理页"/>
    <tableColumn id="10" name="执行展示页"/>
    <tableColumn id="11" name="执行语义页"/>
    <tableColumn id="12" name="独立QA展示页"/>
    <tableColumn id="13" name="独立QA语义页"/>
    <tableColumn id="14" name="语言未解页"/>
    <tableColumn id="15" name="内容审读结果"/>
    <tableColumn id="16" name="文件严格状态"/>
    <tableColumn id="17" name="独立QA结论"/>
    <tableColumn id="18" name="独立QA时间UTC"/>
    <tableColumn id="19" name="已验收全文增量"/>
    <tableColumn id="20" name="已验收部分增量"/>
    <tableColumn id="21" name="已验收严格增量"/>
    <tableColumn id="22" name="主角色新增"/>
    <tableColumn id="23" name="全审计量页数"/>
    <tableColumn id="24" name="私有内容元数据包"/>
    <tableColumn id="25" name="原始来源入口"/>
    <tableColumn id="26" name="原始文档来源"/>
    <tableColumn id="27" name="严格理由与实质未解"/>
    <tableColumn id="28" name="身份与版次限制"/>
    <tableColumn id="29" name="语言边界"/>
    <tableColumn id="30" name="页序与缺件限制"/>
    <tableColumn id="31" name="独立QA纠正"/>
    <tableColumn id="32" name="执行逐页证明"/>
    <tableColumn id="33" name="独立QA逐页证明"/>
    <tableColumn id="34" name="批次冻结UTC"/>
    <tableColumn id="35" name="执行完成UTC"/>
    <tableColumn id="36" name="内容验收条件"/>
    <tableColumn id="37" name="任务唯一性"/>
    <tableColumn id="38" name="读取方法及权利"/>
    <tableColumn id="39" name="其他计数边界"/>
  </tableColumns>
  <tableStyleInfo name="TableStyleMedium2" showFirstColumn="0" showLastColumn="0" showRowStripes="1" showColumnStripes="0"/>
</table>
</file>

<file path=xl/tables/table4.xml><?xml version="1.0" encoding="utf-8"?>
<table xmlns="http://schemas.openxmlformats.org/spreadsheetml/2006/main" id="4" name="B2021MainWorkorders" displayName="B2021MainWorkorders" ref="A1:AG8" headerRowCount="1" totalsRowCount="0" totalsRowShown="0">
  <tableColumns count="33">
    <tableColumn id="1" name="任务ID"/>
    <tableColumn id="2" name="批次"/>
    <tableColumn id="3" name="地区"/>
    <tableColumn id="4" name="来源保司"/>
    <tableColumn id="5" name="来源产品标签"/>
    <tableColumn id="6" name="本批决定"/>
    <tableColumn id="7" name="既存原件SHA-256"/>
    <tableColumn id="8" name="既存归属ID"/>
    <tableColumn id="9" name="既存材料ID"/>
    <tableColumn id="10" name="原主文标记"/>
    <tableColumn id="11" name="接受后主文标记"/>
    <tableColumn id="12" name="历史全文完成"/>
    <tableColumn id="13" name="历史审读状态"/>
    <tableColumn id="14" name="新增全文"/>
    <tableColumn id="15" name="新增严格"/>
    <tableColumn id="16" name="新增原件"/>
    <tableColumn id="17" name="新增独立产品"/>
    <tableColumn id="18" name="新增当前采用"/>
    <tableColumn id="19" name="新增合同包"/>
    <tableColumn id="20" name="新增闭合"/>
    <tableColumn id="21" name="主角色增量"/>
    <tableColumn id="22" name="唯一工单计数"/>
    <tableColumn id="23" name="本行范围核对"/>
    <tableColumn id="24" name="既存物理页数"/>
    <tableColumn id="25" name="本批读取范围"/>
    <tableColumn id="26" name="未解与身份版次限制"/>
    <tableColumn id="27" name="方法与观察边界"/>
    <tableColumn id="28" name="原来源入口"/>
    <tableColumn id="29" name="私有元数据包"/>
    <tableColumn id="30" name="接受证据"/>
    <tableColumn id="31" name="历史审读时间UTC"/>
    <tableColumn id="32" name="原生标识状态"/>
    <tableColumn id="33" name="实际发布状态"/>
  </tableColumns>
  <tableStyleInfo name="TableStyleMedium2" showFirstColumn="0" showLastColumn="0" showRowStripes="1" showColumnStripes="0"/>
</table>
</file>

<file path=xl/tables/table5.xml><?xml version="1.0" encoding="utf-8"?>
<table xmlns="http://schemas.openxmlformats.org/spreadsheetml/2006/main" id="5" name="B22ContentReviews" displayName="B22ContentReviews" ref="A1:AQ9" headerRowCount="1" totalsRowCount="0" totalsRowShown="0">
  <tableColumns count="43">
    <tableColumn id="1" name="任务ID"/>
    <tableColumn id="2" name="地区"/>
    <tableColumn id="3" name="保司"/>
    <tableColumn id="4" name="现存文件标签"/>
    <tableColumn id="5" name="既存原件ID"/>
    <tableColumn id="6" name="既存原件SHA-256"/>
    <tableColumn id="7" name="历史角色工单"/>
    <tableColumn id="8" name="现存物理页数"/>
    <tableColumn id="9" name="执行逐页语义审读"/>
    <tableColumn id="10" name="QA逐页显示"/>
    <tableColumn id="11" name="QA逐页语义审读"/>
    <tableColumn id="12" name="未读页数"/>
    <tableColumn id="13" name="独立QA接受"/>
    <tableColumn id="14" name="严格状态"/>
    <tableColumn id="15" name="全文状态"/>
    <tableColumn id="16" name="既存主文标记"/>
    <tableColumn id="17" name="新增原件"/>
    <tableColumn id="18" name="新增独立产品"/>
    <tableColumn id="19" name="新增当前采用"/>
    <tableColumn id="20" name="新增合同包"/>
    <tableColumn id="21" name="新增缺口闭合"/>
    <tableColumn id="22" name="新增部分"/>
    <tableColumn id="23" name="新增严格"/>
    <tableColumn id="24" name="新增主角色"/>
    <tableColumn id="25" name="新增全文"/>
    <tableColumn id="26" name="新增全审页数"/>
    <tableColumn id="27" name="唯一工单计数"/>
    <tableColumn id="28" name="本行计量门槛"/>
    <tableColumn id="29" name="独立QA汇总完成UTC"/>
    <tableColumn id="30" name="私有元数据包"/>
    <tableColumn id="31" name="归档成员与JSON定位"/>
    <tableColumn id="32" name="原来源入口"/>
    <tableColumn id="33" name="未解事项摘要"/>
    <tableColumn id="34" name="身份及版次边界"/>
    <tableColumn id="35" name="分页及现存范围"/>
    <tableColumn id="36" name="审读方法与限制"/>
    <tableColumn id="37" name="源检查点定位"/>
    <tableColumn id="38" name="来源归档SHA-256"/>
    <tableColumn id="39" name="范围冻结UTC"/>
    <tableColumn id="40" name="执行完成UTC"/>
    <tableColumn id="41" name="现存归档原件成员"/>
    <tableColumn id="42" name="源检查点字节SHA"/>
    <tableColumn id="43" name="实际发布状态"/>
  </tableColumns>
  <tableStyleInfo name="TableStyleMedium2" showFirstColumn="0" showLastColumn="0" showRowStripes="1" showColumnStripes="0"/>
</table>
</file>

<file path=xl/tables/table6.xml><?xml version="1.0" encoding="utf-8"?>
<table xmlns="http://schemas.openxmlformats.org/spreadsheetml/2006/main" id="6" name="B23ContentReviews" displayName="B23ContentReviews" ref="A1:BH21" headerRowCount="1" totalsRowCount="0" totalsRowShown="0">
  <tableColumns count="60">
    <tableColumn id="1" name="任务ID"/>
    <tableColumn id="2" name="地区"/>
    <tableColumn id="3" name="来源保司标签"/>
    <tableColumn id="4" name="现存文件标签"/>
    <tableColumn id="5" name="既存原件ID"/>
    <tableColumn id="6" name="既存原件SHA-256"/>
    <tableColumn id="7" name="历史角色工单"/>
    <tableColumn id="8" name="现存物理页数"/>
    <tableColumn id="9" name="执行逐页语义审读"/>
    <tableColumn id="10" name="QA逐页显示"/>
    <tableColumn id="11" name="QA逐页语义审读"/>
    <tableColumn id="12" name="未读页数"/>
    <tableColumn id="13" name="独立QA接受"/>
    <tableColumn id="14" name="严格状态"/>
    <tableColumn id="15" name="全文状态"/>
    <tableColumn id="16" name="既存主文标记"/>
    <tableColumn id="17" name="新增原件"/>
    <tableColumn id="18" name="新增独立产品"/>
    <tableColumn id="19" name="新增当前采用"/>
    <tableColumn id="20" name="新增合同包"/>
    <tableColumn id="21" name="新增缺口闭合"/>
    <tableColumn id="22" name="新增部分"/>
    <tableColumn id="23" name="新增严格"/>
    <tableColumn id="24" name="新增主角色"/>
    <tableColumn id="25" name="新增全文"/>
    <tableColumn id="26" name="新增全审页数"/>
    <tableColumn id="27" name="唯一工单计数"/>
    <tableColumn id="28" name="本行计量门槛"/>
    <tableColumn id="29" name="独立QA完成UTC"/>
    <tableColumn id="30" name="私有元数据包"/>
    <tableColumn id="31" name="归档接受行定位"/>
    <tableColumn id="32" name="原来源入口"/>
    <tableColumn id="33" name="严格阻断问题及物理页"/>
    <tableColumn id="34" name="版次与适用边界"/>
    <tableColumn id="35" name="现存组成及物理页"/>
    <tableColumn id="36" name="审读方法与限制"/>
    <tableColumn id="37" name="源接受行检查点"/>
    <tableColumn id="38" name="来源归档SHA-256"/>
    <tableColumn id="39" name="范围冻结UTC"/>
    <tableColumn id="40" name="执行完成UTC"/>
    <tableColumn id="41" name="现存归档原件成员"/>
    <tableColumn id="42" name="源接受检查点字节SHA"/>
    <tableColumn id="43" name="实际发布状态"/>
    <tableColumn id="44" name="QA已接受严格状态"/>
    <tableColumn id="45" name="问题ID"/>
    <tableColumn id="46" name="非阻断范围／解释边界"/>
    <tableColumn id="47" name="已澄清或替代事项"/>
    <tableColumn id="48" name="严格判定依据"/>
    <tableColumn id="49" name="归档问题记录定位"/>
    <tableColumn id="50" name="归档执行结果定位"/>
    <tableColumn id="51" name="文件内参考码"/>
    <tableColumn id="52" name="文件内主合同持有人"/>
    <tableColumn id="53" name="基础版次日期"/>
    <tableColumn id="54" name="文件内保司身份"/>
    <tableColumn id="55" name="文件内产品身份"/>
    <tableColumn id="56" name="源问题检查点"/>
    <tableColumn id="57" name="归档接受行规范SHA"/>
    <tableColumn id="58" name="归档执行逐页证据"/>
    <tableColumn id="59" name="归档独立QA逐页证据"/>
    <tableColumn id="60" name="原权限与实际方法"/>
  </tableColumns>
  <tableStyleInfo name="TableStyleMedium2" showFirstColumn="0" showLastColumn="0" showRowStripes="1" showColumnStripes="0"/>
</table>
</file>

<file path=xl/tables/table7.xml><?xml version="1.0" encoding="utf-8"?>
<table xmlns="http://schemas.openxmlformats.org/spreadsheetml/2006/main" id="7" name="B24ContentReviews" displayName="B24ContentReviews" ref="A1:BH21" headerRowCount="1" totalsRowCount="0" totalsRowShown="0">
  <tableColumns count="60">
    <tableColumn id="1" name="任务ID"/>
    <tableColumn id="2" name="地区"/>
    <tableColumn id="3" name="来源保司标签"/>
    <tableColumn id="4" name="现存文件标签"/>
    <tableColumn id="5" name="既存原件ID"/>
    <tableColumn id="6" name="既存原件SHA-256"/>
    <tableColumn id="7" name="历史角色工单"/>
    <tableColumn id="8" name="现存物理页数"/>
    <tableColumn id="9" name="执行逐页语义审读"/>
    <tableColumn id="10" name="QA逐页显示"/>
    <tableColumn id="11" name="QA逐页语义审读"/>
    <tableColumn id="12" name="未读页数"/>
    <tableColumn id="13" name="独立QA接受"/>
    <tableColumn id="14" name="B24历史严格状态"/>
    <tableColumn id="15" name="全文状态"/>
    <tableColumn id="16" name="既存主文标记"/>
    <tableColumn id="17" name="新增原件"/>
    <tableColumn id="18" name="新增独立产品"/>
    <tableColumn id="19" name="新增当前采用"/>
    <tableColumn id="20" name="新增合同包"/>
    <tableColumn id="21" name="新增缺口闭合"/>
    <tableColumn id="22" name="新增部分"/>
    <tableColumn id="23" name="新增严格"/>
    <tableColumn id="24" name="新增主角色"/>
    <tableColumn id="25" name="新增全文"/>
    <tableColumn id="26" name="新增全审页数"/>
    <tableColumn id="27" name="唯一工单计数"/>
    <tableColumn id="28" name="本行计量门槛"/>
    <tableColumn id="29" name="独立QA完成UTC"/>
    <tableColumn id="30" name="私有元数据包"/>
    <tableColumn id="31" name="归档接受行定位"/>
    <tableColumn id="32" name="原来源入口"/>
    <tableColumn id="33" name="严格阻断问题及物理页"/>
    <tableColumn id="34" name="版次与适用边界"/>
    <tableColumn id="35" name="现存组成及物理页"/>
    <tableColumn id="36" name="审读方法与限制"/>
    <tableColumn id="37" name="源接受行检查点"/>
    <tableColumn id="38" name="来源归档SHA-256"/>
    <tableColumn id="39" name="范围冻结UTC"/>
    <tableColumn id="40" name="执行完成UTC"/>
    <tableColumn id="41" name="现存归档原件成员"/>
    <tableColumn id="42" name="源接受检查点字节SHA"/>
    <tableColumn id="43" name="B24发布快照"/>
    <tableColumn id="44" name="历史QA接受严格状态"/>
    <tableColumn id="45" name="问题ID"/>
    <tableColumn id="46" name="B24历史问题及范围边界"/>
    <tableColumn id="47" name="已澄清或替代事项"/>
    <tableColumn id="48" name="严格判定依据"/>
    <tableColumn id="49" name="归档问题记录定位"/>
    <tableColumn id="50" name="归档执行结果定位"/>
    <tableColumn id="51" name="文件内参考码"/>
    <tableColumn id="52" name="文件内主合同持有人"/>
    <tableColumn id="53" name="基础版次日期"/>
    <tableColumn id="54" name="文件内保司身份"/>
    <tableColumn id="55" name="文件内产品身份"/>
    <tableColumn id="56" name="源问题检查点"/>
    <tableColumn id="57" name="归档接受行规范SHA"/>
    <tableColumn id="58" name="归档执行逐页证据"/>
    <tableColumn id="59" name="归档独立QA逐页证据"/>
    <tableColumn id="60" name="原权限与实际方法"/>
  </tableColumns>
  <tableStyleInfo name="TableStyleMedium2" showFirstColumn="0" showLastColumn="0" showRowStripes="1" showColumnStripes="0"/>
</table>
</file>

<file path=xl/tables/table8.xml><?xml version="1.0" encoding="utf-8"?>
<table xmlns="http://schemas.openxmlformats.org/spreadsheetml/2006/main" id="8" name="B24ReviewIssues" displayName="B24ReviewIssues" ref="A1:I372" headerRowCount="1" totalsRowCount="0" totalsRowShown="0">
  <tableColumns count="9">
    <tableColumn id="1" name="任务ID"/>
    <tableColumn id="2" name="事实类别"/>
    <tableColumn id="3" name="问题ID"/>
    <tableColumn id="4" name="物理页"/>
    <tableColumn id="5" name="B24历史完整事项事实（规范JSON）"/>
    <tableColumn id="6" name="源检查点字段定位"/>
    <tableColumn id="7" name="归档成员字段定位"/>
    <tableColumn id="8" name="归档事项规范SHA-256"/>
    <tableColumn id="9" name="计量边界"/>
  </tableColumns>
  <tableStyleInfo name="TableStyleMedium2" showFirstColumn="0" showLastColumn="0" showRowStripes="1" showColumnStripes="0"/>
</table>
</file>

<file path=xl/tables/table9.xml><?xml version="1.0" encoding="utf-8"?>
<table xmlns="http://schemas.openxmlformats.org/spreadsheetml/2006/main" id="9" name="B252627ContentReviews" displayName="B252627ContentReviews" ref="A1:BW31" headerRowCount="1" totalsRowCount="0" totalsRowShown="0">
  <tableColumns count="75">
    <tableColumn id="1" name="任务ID"/>
    <tableColumn id="2" name="地区"/>
    <tableColumn id="3" name="来源保司标签"/>
    <tableColumn id="4" name="现存文件标签"/>
    <tableColumn id="5" name="既存原件ID"/>
    <tableColumn id="6" name="既存原件SHA-256"/>
    <tableColumn id="7" name="历史角色／内容工单"/>
    <tableColumn id="8" name="现存物理页数"/>
    <tableColumn id="9" name="执行逐页语义覆盖"/>
    <tableColumn id="10" name="QA逐页显示"/>
    <tableColumn id="11" name="QA逐页语义覆盖"/>
    <tableColumn id="12" name="未读页数"/>
    <tableColumn id="13" name="独立QA接受"/>
    <tableColumn id="14" name="严格状态"/>
    <tableColumn id="15" name="全文状态"/>
    <tableColumn id="16" name="此前主文标记"/>
    <tableColumn id="17" name="新增原件"/>
    <tableColumn id="18" name="新增独立产品"/>
    <tableColumn id="19" name="新增当前采用"/>
    <tableColumn id="20" name="新增合同包"/>
    <tableColumn id="21" name="新增缺口闭合"/>
    <tableColumn id="22" name="部分增量"/>
    <tableColumn id="23" name="新增严格"/>
    <tableColumn id="24" name="主角色增量"/>
    <tableColumn id="25" name="新增全文"/>
    <tableColumn id="26" name="新增全审页数"/>
    <tableColumn id="27" name="唯一工单计数"/>
    <tableColumn id="28" name="本行计量门槛"/>
    <tableColumn id="29" name="独立QA完成UTC"/>
    <tableColumn id="30" name="私有元数据包"/>
    <tableColumn id="31" name="归档接受行定位"/>
    <tableColumn id="32" name="原来源入口"/>
    <tableColumn id="33" name="严格问题及物理页"/>
    <tableColumn id="34" name="版次与适用边界"/>
    <tableColumn id="35" name="现存组成及物理页"/>
    <tableColumn id="36" name="审读方法与限制"/>
    <tableColumn id="37" name="源接受行检查点"/>
    <tableColumn id="38" name="来源归档SHA-256"/>
    <tableColumn id="39" name="范围冻结UTC"/>
    <tableColumn id="40" name="执行完成UTC"/>
    <tableColumn id="41" name="现存归档原件成员"/>
    <tableColumn id="42" name="源接受检查点字节SHA"/>
    <tableColumn id="43" name="本次实际发布"/>
    <tableColumn id="44" name="QA接受严格状态"/>
    <tableColumn id="45" name="问题ID"/>
    <tableColumn id="46" name="范围边界与其他正文问题"/>
    <tableColumn id="47" name="已澄清或替代事项"/>
    <tableColumn id="48" name="严格判定依据"/>
    <tableColumn id="49" name="归档问题定位"/>
    <tableColumn id="50" name="归档执行结果定位"/>
    <tableColumn id="51" name="文件内参考码"/>
    <tableColumn id="52" name="文件内主合同持有人"/>
    <tableColumn id="53" name="基础版次日期"/>
    <tableColumn id="54" name="文件内保司身份"/>
    <tableColumn id="55" name="文件内产品身份"/>
    <tableColumn id="56" name="源问题检查点"/>
    <tableColumn id="57" name="归档接受行规范SHA"/>
    <tableColumn id="58" name="归档执行逐页证据"/>
    <tableColumn id="59" name="归档QA逐页证据"/>
    <tableColumn id="60" name="原权限与实际方法"/>
    <tableColumn id="61" name="批次"/>
    <tableColumn id="62" name="此前已全审"/>
    <tableColumn id="63" name="此前部分审读"/>
    <tableColumn id="64" name="此前主角色"/>
    <tableColumn id="65" name="本次接受主角色"/>
    <tableColumn id="66" name="本次接受身份held"/>
    <tableColumn id="67" name="身份held增量"/>
    <tableColumn id="68" name="属于原角色90"/>
    <tableColumn id="69" name="属于原138"/>
    <tableColumn id="70" name="QA全文增量"/>
    <tableColumn id="71" name="QA严格增量"/>
    <tableColumn id="72" name="QA部分增量"/>
    <tableColumn id="73" name="QA主角色增量"/>
    <tableColumn id="74" name="此前身份held"/>
    <tableColumn id="75" name="身份held适用"/>
  </tableColumns>
  <tableStyleInfo name="TableStyleMedium2" showFirstColumn="0" showLastColumn="0" showRowStripes="1" showColumnStripes="0"/>
</table>
</file>

<file path=xl/tables/table10.xml><?xml version="1.0" encoding="utf-8"?>
<table xmlns="http://schemas.openxmlformats.org/spreadsheetml/2006/main" id="10" name="B252627ReviewIssues" displayName="B252627ReviewIssues" ref="A1:I1125" headerRowCount="1" totalsRowCount="0" totalsRowShown="0">
  <tableColumns count="9">
    <tableColumn id="1" name="任务ID"/>
    <tableColumn id="2" name="事实类别"/>
    <tableColumn id="3" name="问题ID"/>
    <tableColumn id="4" name="物理页"/>
    <tableColumn id="5" name="完整事项事实（规范JSON）"/>
    <tableColumn id="6" name="源检查点字段定位"/>
    <tableColumn id="7" name="归档成员字段定位"/>
    <tableColumn id="8" name="归档事项规范SHA-256"/>
    <tableColumn id="9" name="计量边界"/>
  </tableColumns>
  <tableStyleInfo name="TableStyleMedium2" showFirstColumn="0" showLastColumn="0" showRowStripes="1" showColumnStripes="0"/>
</table>
</file>

<file path=xl/tables/table11.xml><?xml version="1.0" encoding="utf-8"?>
<table xmlns="http://schemas.openxmlformats.org/spreadsheetml/2006/main" id="11" name="B28VerificationCorrection" displayName="B28VerificationCorrection" ref="A1:AI5" headerRowCount="1" totalsRowCount="0" totalsRowShown="0">
  <tableColumns count="35">
    <tableColumn id="1" name="记录ID"/>
    <tableColumn id="2" name="本行性质"/>
    <tableColumn id="3" name="既存工单"/>
    <tableColumn id="4" name="既存原件SHA-256"/>
    <tableColumn id="5" name="既存物理页数"/>
    <tableColumn id="6" name="本次窄核页数"/>
    <tableColumn id="7" name="窄核物理页"/>
    <tableColumn id="8" name="纠正前／比较前状态"/>
    <tableColumn id="9" name="当前状态"/>
    <tableColumn id="10" name="原全审事实"/>
    <tableColumn id="11" name="本次接受范围"/>
    <tableColumn id="12" name="严格纠正增量"/>
    <tableColumn id="13" name="新增全文"/>
    <tableColumn id="14" name="新增全审页数"/>
    <tableColumn id="15" name="新增主角色"/>
    <tableColumn id="16" name="新增原件"/>
    <tableColumn id="17" name="新增独立产品"/>
    <tableColumn id="18" name="新增当前采用"/>
    <tableColumn id="19" name="新增合同包"/>
    <tableColumn id="20" name="新增缺口闭合"/>
    <tableColumn id="21" name="本行计量条件"/>
    <tableColumn id="22" name="新增纠正工单"/>
    <tableColumn id="23" name="本行新增严格"/>
    <tableColumn id="24" name="本行新增全文"/>
    <tableColumn id="25" name="本行新增全审页数"/>
    <tableColumn id="26" name="源复核定位"/>
    <tableColumn id="27" name="归档复核定位"/>
    <tableColumn id="28" name="本次判断依据"/>
    <tableColumn id="29" name="保留边界"/>
    <tableColumn id="30" name="历史QA定位"/>
    <tableColumn id="31" name="私有纠正元数据包"/>
    <tableColumn id="32" name="窄复核完成UTC"/>
    <tableColumn id="33" name="实际发布状态"/>
    <tableColumn id="34" name="既存原件成员"/>
    <tableColumn id="35" name="原权限与方法"/>
  </tableColumns>
  <tableStyleInfo name="TableStyleMedium2" showFirstColumn="0" showLastColumn="0" showRowStripes="1" showColumnStripes="0"/>
</table>
</file>

<file path=xl/tables/table12.xml><?xml version="1.0" encoding="utf-8"?>
<table xmlns="http://schemas.openxmlformats.org/spreadsheetml/2006/main" id="12" name="BoundedMYIdentities" displayName="BoundedMYIdentities" ref="A4:J8" headerRowCount="1" totalsRowCount="0" totalsRowShown="0">
  <autoFilter ref="A4:J8"/>
  <tableColumns count="10">
    <tableColumn id="1" name="原始ID"/>
    <tableColumn id="2" name="法律主体"/>
    <tableColumn id="3" name="正文计划名"/>
    <tableColumn id="4" name="合同号"/>
    <tableColumn id="5" name="已审版本依据"/>
    <tableColumn id="6" name="版本登记ID"/>
    <tableColumn id="7" name="历史主文角色"/>
    <tableColumn id="8" name="当前精确采用"/>
    <tableColumn id="9" name="当前在售"/>
    <tableColumn id="10" name="当前公开合同包"/>
  </tableColumns>
  <tableStyleInfo name="TableStyleMedium2" showFirstColumn="0" showLastColumn="0" showRowStripes="1" showColumnStripes="0"/>
</table>
</file>

<file path=xl/tables/table13.xml><?xml version="1.0" encoding="utf-8"?>
<table xmlns="http://schemas.openxmlformats.org/spreadsheetml/2006/main" id="13" name="BoundedMYMaterials" displayName="BoundedMYMaterials" ref="A12:J43" headerRowCount="1" totalsRowCount="0" totalsRowShown="0">
  <autoFilter ref="A12:J43"/>
  <tableColumns count="10">
    <tableColumn id="1" name="原始ID"/>
    <tableColumn id="2" name="材料角色"/>
    <tableColumn id="3" name="材料标签"/>
    <tableColumn id="4" name="组件编号"/>
    <tableColumn id="5" name="物理页／范围"/>
    <tableColumn id="6" name="原件中存在"/>
    <tableColumn id="7" name="依赖分类"/>
    <tableColumn id="8" name="关联性质"/>
    <tableColumn id="9" name="当前采用／现售"/>
    <tableColumn id="10" name="证据索引"/>
  </tableColumns>
  <tableStyleInfo name="TableStyleMedium2" showFirstColumn="0" showLastColumn="0" showRowStripes="1" showColumnStripes="0"/>
</table>
</file>

<file path=xl/tables/table14.xml><?xml version="1.0" encoding="utf-8"?>
<table xmlns="http://schemas.openxmlformats.org/spreadsheetml/2006/main" id="14" name="ExecutionResults" displayName="ExecutionResults" ref="A1:AB109" headerRowCount="1" totalsRowCount="0" totalsRowShown="0">
  <autoFilter ref="A1:AB109"/>
  <tableColumns count="28">
    <tableColumn id="1" name="任务ID"/>
    <tableColumn id="2" name="地区"/>
    <tableColumn id="3" name="处理状态"/>
    <tableColumn id="4" name="本批结论"/>
    <tableColumn id="5" name="新支持材料"/>
    <tableColumn id="6" name="现存页全文核验"/>
    <tableColumn id="7" name="严格新增"/>
    <tableColumn id="8" name="缺口关闭"/>
    <tableColumn id="9" name="复核状态"/>
    <tableColumn id="10" name="复核证据"/>
    <tableColumn id="11" name="处理完成日"/>
    <tableColumn id="12" name="后续动作"/>
    <tableColumn id="13" name="验收判定"/>
    <tableColumn id="14" name="批次"/>
    <tableColumn id="15" name="保司"/>
    <tableColumn id="16" name="新增全文页数"/>
    <tableColumn id="17" name="新增主文角色"/>
    <tableColumn id="18" name="语言依赖未解"/>
    <tableColumn id="19" name="范围匹配"/>
    <tableColumn id="20" name="内容状态"/>
    <tableColumn id="21" name="新增原件"/>
    <tableColumn id="22" name="文件角色／审读范围"/>
    <tableColumn id="23" name="产品主文可得性"/>
    <tableColumn id="24" name="当前公开合同包"/>
    <tableColumn id="25" name="当前采用／现售"/>
    <tableColumn id="26" name="来源证据类型"/>
    <tableColumn id="27" name="重要边界"/>
    <tableColumn id="28" name="原始文件／族ID"/>
  </tableColumns>
  <tableStyleInfo name="TableStyleMedium2" showFirstColumn="0" showLastColumn="0" showRowStripes="1" showColumnStripes="0"/>
</table>
</file>

<file path=xl/tables/table15.xml><?xml version="1.0" encoding="utf-8"?>
<table xmlns="http://schemas.openxmlformats.org/spreadsheetml/2006/main" id="15" name="FrozenTasks" displayName="FrozenTasks" ref="A1:N109" headerRowCount="1" totalsRowCount="0" totalsRowShown="0">
  <autoFilter ref="A1:N109"/>
  <tableColumns count="14">
    <tableColumn id="1" name="任务ID"/>
    <tableColumn id="2" name="地区"/>
    <tableColumn id="3" name="保司"/>
    <tableColumn id="4" name="产品／组件"/>
    <tableColumn id="5" name="原始产品ID"/>
    <tableColumn id="6" name="任务单位"/>
    <tableColumn id="7" name="交付要求"/>
    <tableColumn id="8" name="期初状态"/>
    <tableColumn id="9" name="期初下一步"/>
    <tableColumn id="10" name="来源ID"/>
    <tableColumn id="11" name="期初验收证据"/>
    <tableColumn id="12" name="期初完成日"/>
    <tableColumn id="13" name="期初验收判定"/>
    <tableColumn id="14" name="批次"/>
  </tableColumns>
  <tableStyleInfo name="TableStyleMedium2" showFirstColumn="0" showLastColumn="0" showRowStripes="1" showColumnStripes="0"/>
</table>
</file>

<file path=xl/tables/table16.xml><?xml version="1.0" encoding="utf-8"?>
<table xmlns="http://schemas.openxmlformats.org/spreadsheetml/2006/main" id="16" name="RegionalBaseline" displayName="RegionalBaseline" ref="A1:N13" headerRowCount="1" totalsRowCount="0" totalsRowShown="0">
  <autoFilter ref="A1:N13"/>
  <tableColumns count="14">
    <tableColumn id="1" name="地区码"/>
    <tableColumn id="2" name="地区"/>
    <tableColumn id="3" name="基线状态"/>
    <tableColumn id="4" name="正式文件"/>
    <tableColumn id="5" name="已全文审阅"/>
    <tableColumn id="6" name="严格通过"/>
    <tableColumn id="7" name="隔离文件"/>
    <tableColumn id="8" name="范围家族数"/>
    <tableColumn id="9" name="已识别主合同"/>
    <tableColumn id="10" name="待补主合同"/>
    <tableColumn id="11" name="本批重点"/>
    <tableColumn id="12" name="最近检查"/>
    <tableColumn id="13" name="来源索引"/>
    <tableColumn id="14" name="统计说明"/>
  </tableColumns>
  <tableStyleInfo name="TableStyleMedium2" showFirstColumn="0" showLastColumn="0" showRowStripes="1" showColumnStripes="0"/>
</table>
</file>

<file path=xl/tables/table17.xml><?xml version="1.0" encoding="utf-8"?>
<table xmlns="http://schemas.openxmlformats.org/spreadsheetml/2006/main" id="17" name="RoleOnlyCheckpoints" displayName="RoleOnlyCheckpoints" ref="A1:AI91" headerRowCount="1" totalsRowCount="0" totalsRowShown="0">
  <tableColumns count="35">
    <tableColumn id="1" name="任务ID"/>
    <tableColumn id="2" name="批次"/>
    <tableColumn id="3" name="地区"/>
    <tableColumn id="4" name="冻结来源保司"/>
    <tableColumn id="5" name="冻结来源产品标签"/>
    <tableColumn id="6" name="角色层决定"/>
    <tableColumn id="7" name="锚点观察的文件角色"/>
    <tableColumn id="8" name="库存页数（非审读）"/>
    <tableColumn id="9" name="实际文件总页数"/>
    <tableColumn id="10" name="执行锚点物理页"/>
    <tableColumn id="11" name="执行锚点页数"/>
    <tableColumn id="12" name="独立QA锚点物理页"/>
    <tableColumn id="13" name="独立QA锚点页数"/>
    <tableColumn id="14" name="全文状态"/>
    <tableColumn id="15" name="全文增量"/>
    <tableColumn id="16" name="严格增量"/>
    <tableColumn id="17" name="主角色提议数"/>
    <tableColumn id="18" name="非合同CIS数"/>
    <tableColumn id="19" name="保留映射数"/>
    <tableColumn id="20" name="本轮已发布主角色增量"/>
    <tableColumn id="21" name="原件ID"/>
    <tableColumn id="22" name="原件SHA-256"/>
    <tableColumn id="23" name="正文身份观察（不改来源）"/>
    <tableColumn id="24" name="身份／版次／附表限制"/>
    <tableColumn id="25" name="独立QA纠正与补充"/>
    <tableColumn id="26" name="映射保留原因"/>
    <tableColumn id="27" name="私有元数据包下载"/>
    <tableColumn id="28" name="原始来源入口"/>
    <tableColumn id="29" name="原始文档来源"/>
    <tableColumn id="30" name="冻结时间UTC"/>
    <tableColumn id="31" name="执行完成UTC"/>
    <tableColumn id="32" name="独立QA时间UTC"/>
    <tableColumn id="33" name="角色检查点ID"/>
    <tableColumn id="34" name="角色证据验收"/>
    <tableColumn id="35" name="唯一任务检查"/>
  </tableColumns>
  <tableStyleInfo name="TableStyleMedium2" showFirstColumn="0" showLastColumn="0" showRowStripes="1" showColumnStripes="0"/>
</table>
</file>

<file path=xl/tables/table18.xml><?xml version="1.0" encoding="utf-8"?>
<table xmlns="http://schemas.openxmlformats.org/spreadsheetml/2006/main" id="18" name="SourceLedger" displayName="SourceLedger" ref="A1:L243" headerRowCount="1" totalsRowCount="0" totalsRowShown="0">
  <autoFilter ref="A1:L243"/>
  <tableColumns count="12">
    <tableColumn id="1" name="来源ID"/>
    <tableColumn id="2" name="地区"/>
    <tableColumn id="3" name="保司／机构"/>
    <tableColumn id="4" name="来源类型"/>
    <tableColumn id="5" name="来源名称"/>
    <tableColumn id="6" name="版本／范围"/>
    <tableColumn id="7" name="最近检查"/>
    <tableColumn id="8" name="核验状态"/>
    <tableColumn id="9" name="来源入口"/>
    <tableColumn id="10" name="文件链接"/>
    <tableColumn id="11" name="证据边界"/>
    <tableColumn id="12" name="批次"/>
  </tableColumns>
  <tableStyleInfo name="TableStyleMedium2" showFirstColumn="0" showLastColumn="0" showRowStripes="1" showColumnStripes="0"/>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14.xml"/>
</Relationships>
</file>

<file path=xl/worksheets/_rels/sheet3.xml.rels><?xml version="1.0" encoding="UTF-8"?>
<Relationships xmlns="http://schemas.openxmlformats.org/package/2006/relationships"><Relationship Id="rId1" Type="http://schemas.openxmlformats.org/officeDocument/2006/relationships/table" Target="../tables/table15.xml"/>
</Relationships>
</file>

<file path=xl/worksheets/_rels/sheet4.xml.rels><?xml version="1.0" encoding="UTF-8"?>
<Relationships xmlns="http://schemas.openxmlformats.org/package/2006/relationships"><Relationship Id="rId1" Type="http://schemas.openxmlformats.org/officeDocument/2006/relationships/table" Target="../tables/table16.xml"/>
</Relationships>
</file>

<file path=xl/worksheets/_rels/sheet5.xml.rels><?xml version="1.0" encoding="UTF-8"?>
<Relationships xmlns="http://schemas.openxmlformats.org/package/2006/relationships"><Relationship Id="rId1" Type="http://schemas.openxmlformats.org/officeDocument/2006/relationships/table" Target="../tables/table18.xml"/>
</Relationships>
</file>

<file path=xl/worksheets/_rels/sheet6.xml.rels><?xml version="1.0" encoding="UTF-8"?>
<Relationships xmlns="http://schemas.openxmlformats.org/package/2006/relationships"><Relationship Id="rId1" Type="http://schemas.openxmlformats.org/officeDocument/2006/relationships/table" Target="../tables/table1.xml"/>
</Relationships>
</file>

<file path=xl/worksheets/_rels/sheet7.xml.rels><?xml version="1.0" encoding="UTF-8"?>
<Relationships xmlns="http://schemas.openxmlformats.org/package/2006/relationships"><Relationship Id="rId1" Type="http://schemas.openxmlformats.org/officeDocument/2006/relationships/table" Target="../tables/table2.xml"/><Relationship Id="rId2" Type="http://schemas.openxmlformats.org/officeDocument/2006/relationships/table" Target="../tables/table12.xml"/><Relationship Id="rId3" Type="http://schemas.openxmlformats.org/officeDocument/2006/relationships/table" Target="../tables/table13.xml"/>
</Relationships>
</file>

<file path=xl/worksheets/_rels/sheet8.xml.rels><?xml version="1.0" encoding="UTF-8"?>
<Relationships xmlns="http://schemas.openxmlformats.org/package/2006/relationships"><Relationship Id="rId1" Type="http://schemas.openxmlformats.org/officeDocument/2006/relationships/table" Target="../tables/table17.xml"/>
</Relationships>
</file>

<file path=xl/worksheets/_rels/sheet9.xml.rels><?xml version="1.0" encoding="UTF-8"?>
<Relationships xmlns="http://schemas.openxmlformats.org/package/2006/relationships"><Relationship Id="rId1" Type="http://schemas.openxmlformats.org/officeDocument/2006/relationships/table" Target="../tables/table3.xml"/>
</Relationships>
</file>

<file path=xl/worksheets/_rels/sheet10.xml.rels><?xml version="1.0" encoding="UTF-8"?>
<Relationships xmlns="http://schemas.openxmlformats.org/package/2006/relationships"><Relationship Id="rId1" Type="http://schemas.openxmlformats.org/officeDocument/2006/relationships/table" Target="../tables/table4.xml"/>
</Relationships>
</file>

<file path=xl/worksheets/_rels/sheet11.xml.rels><?xml version="1.0" encoding="UTF-8"?>
<Relationships xmlns="http://schemas.openxmlformats.org/package/2006/relationships"><Relationship Id="rId1" Type="http://schemas.openxmlformats.org/officeDocument/2006/relationships/table" Target="../tables/table5.xml"/>
</Relationships>
</file>

<file path=xl/worksheets/_rels/sheet12.xml.rels><?xml version="1.0" encoding="UTF-8"?>
<Relationships xmlns="http://schemas.openxmlformats.org/package/2006/relationships"><Relationship Id="rId1" Type="http://schemas.openxmlformats.org/officeDocument/2006/relationships/table" Target="../tables/table6.xml"/>
</Relationships>
</file>

<file path=xl/worksheets/_rels/sheet13.xml.rels><?xml version="1.0" encoding="UTF-8"?>
<Relationships xmlns="http://schemas.openxmlformats.org/package/2006/relationships"><Relationship Id="rId1" Type="http://schemas.openxmlformats.org/officeDocument/2006/relationships/table" Target="../tables/table7.xml"/>
</Relationships>
</file>

<file path=xl/worksheets/_rels/sheet14.xml.rels><?xml version="1.0" encoding="UTF-8"?>
<Relationships xmlns="http://schemas.openxmlformats.org/package/2006/relationships"><Relationship Id="rId1" Type="http://schemas.openxmlformats.org/officeDocument/2006/relationships/table" Target="../tables/table8.xml"/>
</Relationships>
</file>

<file path=xl/worksheets/_rels/sheet15.xml.rels><?xml version="1.0" encoding="UTF-8"?>
<Relationships xmlns="http://schemas.openxmlformats.org/package/2006/relationships"><Relationship Id="rId1" Type="http://schemas.openxmlformats.org/officeDocument/2006/relationships/table" Target="../tables/table11.xml"/>
</Relationships>
</file>

<file path=xl/worksheets/_rels/sheet16.xml.rels><?xml version="1.0" encoding="UTF-8"?>
<Relationships xmlns="http://schemas.openxmlformats.org/package/2006/relationships"><Relationship Id="rId1" Type="http://schemas.openxmlformats.org/officeDocument/2006/relationships/table" Target="../tables/table9.xml"/>
</Relationships>
</file>

<file path=xl/worksheets/_rels/sheet17.xml.rels><?xml version="1.0" encoding="UTF-8"?>
<Relationships xmlns="http://schemas.openxmlformats.org/package/2006/relationships"><Relationship Id="rId1" Type="http://schemas.openxmlformats.org/officeDocument/2006/relationships/table" Target="../tables/table10.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8364D"/>
    <pageSetUpPr fitToPage="false"/>
  </sheetPr>
  <dimension ref="A1:G4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3"/>
    <col collapsed="false" customWidth="true" hidden="false" outlineLevel="0" max="2" min="2" style="0" width="15"/>
    <col collapsed="false" customWidth="true" hidden="false" outlineLevel="0" max="3" min="3" style="0" width="14"/>
    <col collapsed="false" customWidth="true" hidden="false" outlineLevel="0" max="4" min="4" style="0" width="76"/>
    <col collapsed="false" customWidth="true" hidden="false" outlineLevel="0" max="5" min="5" style="0" width="3"/>
    <col collapsed="false" customWidth="true" hidden="false" outlineLevel="0" max="6" min="6" style="0" width="19"/>
    <col collapsed="false" customWidth="true" hidden="false" outlineLevel="0" max="7" min="7" style="0" width="18"/>
  </cols>
  <sheetData>
    <row r="1" customFormat="false" ht="24" hidden="false" customHeight="true" outlineLevel="0" collapsed="false">
      <c r="A1" s="1"/>
      <c r="B1" s="1"/>
      <c r="C1" s="1"/>
      <c r="D1" s="1"/>
      <c r="E1" s="1"/>
      <c r="F1" s="1"/>
      <c r="G1" s="1"/>
    </row>
    <row r="2" customFormat="false" ht="34" hidden="false" customHeight="true" outlineLevel="0" collapsed="false">
      <c r="A2" s="2" t="s">
        <v>0</v>
      </c>
      <c r="B2" s="2"/>
      <c r="C2" s="2"/>
      <c r="D2" s="2"/>
      <c r="E2" s="1"/>
      <c r="F2" s="1"/>
      <c r="G2" s="1"/>
    </row>
    <row r="3" customFormat="false" ht="48" hidden="false" customHeight="true" outlineLevel="0" collapsed="false">
      <c r="A3" s="3" t="s">
        <v>1</v>
      </c>
      <c r="B3" s="4" t="n">
        <v>46321</v>
      </c>
      <c r="C3" s="1"/>
      <c r="D3" s="5" t="s">
        <v>2</v>
      </c>
      <c r="E3" s="1"/>
      <c r="F3" s="1"/>
      <c r="G3" s="1"/>
    </row>
    <row r="4" customFormat="false" ht="24" hidden="false" customHeight="true" outlineLevel="0" collapsed="false">
      <c r="A4" s="1"/>
      <c r="B4" s="1"/>
      <c r="C4" s="1"/>
      <c r="D4" s="1"/>
      <c r="E4" s="1"/>
      <c r="F4" s="1"/>
      <c r="G4" s="1"/>
    </row>
    <row r="5" customFormat="false" ht="32" hidden="false" customHeight="true" outlineLevel="0" collapsed="false">
      <c r="A5" s="6" t="s">
        <v>3</v>
      </c>
      <c r="B5" s="6" t="s">
        <v>4</v>
      </c>
      <c r="C5" s="6" t="s">
        <v>5</v>
      </c>
      <c r="D5" s="6" t="s">
        <v>6</v>
      </c>
      <c r="E5" s="1"/>
      <c r="F5" s="1"/>
      <c r="G5" s="1"/>
    </row>
    <row r="6" customFormat="false" ht="40" hidden="false" customHeight="true" outlineLevel="0" collapsed="false">
      <c r="A6" s="3" t="s">
        <v>7</v>
      </c>
      <c r="B6" s="7" t="n">
        <f aca="false">COUNTA('12地区基线'!A2:A13)</f>
        <v>12</v>
      </c>
      <c r="C6" s="8" t="s">
        <v>8</v>
      </c>
      <c r="D6" s="9" t="s">
        <v>9</v>
      </c>
      <c r="E6" s="1"/>
      <c r="F6" s="1"/>
      <c r="G6" s="1"/>
    </row>
    <row r="7" customFormat="false" ht="48" hidden="false" customHeight="true" outlineLevel="0" collapsed="false">
      <c r="A7" s="3" t="s">
        <v>10</v>
      </c>
      <c r="B7" s="7" t="n">
        <f aca="false">COUNTA(保司与来源!A2:A243)</f>
        <v>242</v>
      </c>
      <c r="C7" s="8" t="s">
        <v>11</v>
      </c>
      <c r="D7" s="9" t="s">
        <v>12</v>
      </c>
      <c r="E7" s="1"/>
      <c r="F7" s="1"/>
      <c r="G7" s="1"/>
    </row>
    <row r="8" customFormat="false" ht="48" hidden="false" customHeight="true" outlineLevel="0" collapsed="false">
      <c r="A8" s="3" t="s">
        <v>13</v>
      </c>
      <c r="B8" s="7" t="n">
        <f aca="false">SUM(B29:B30,B55:B58,B77:B84)</f>
        <v>108</v>
      </c>
      <c r="C8" s="8" t="s">
        <v>14</v>
      </c>
      <c r="D8" s="9" t="s">
        <v>15</v>
      </c>
      <c r="E8" s="1"/>
      <c r="F8" s="1"/>
      <c r="G8" s="1"/>
    </row>
    <row r="9" customFormat="false" ht="48" hidden="false" customHeight="true" outlineLevel="0" collapsed="false">
      <c r="A9" s="3" t="s">
        <v>16</v>
      </c>
      <c r="B9" s="7" t="n">
        <f aca="false">COUNTA(首批固定任务!A2:A109)</f>
        <v>108</v>
      </c>
      <c r="C9" s="8" t="s">
        <v>14</v>
      </c>
      <c r="D9" s="9" t="s">
        <v>17</v>
      </c>
      <c r="E9" s="1"/>
      <c r="F9" s="1"/>
      <c r="G9" s="1"/>
    </row>
    <row r="10" customFormat="false" ht="48" hidden="false" customHeight="true" outlineLevel="0" collapsed="false">
      <c r="A10" s="3" t="s">
        <v>18</v>
      </c>
      <c r="B10" s="7" t="n">
        <f aca="false">COUNTA(本批执行结果!A2:A109)</f>
        <v>108</v>
      </c>
      <c r="C10" s="8" t="s">
        <v>14</v>
      </c>
      <c r="D10" s="9" t="s">
        <v>19</v>
      </c>
      <c r="E10" s="1"/>
      <c r="F10" s="1"/>
      <c r="G10" s="1"/>
    </row>
    <row r="11" customFormat="false" ht="48" hidden="false" customHeight="true" outlineLevel="0" collapsed="false">
      <c r="A11" s="3" t="s">
        <v>20</v>
      </c>
      <c r="B11" s="7" t="n">
        <f aca="false">COUNTIFS(本批执行结果!M2:M109,"已验收")</f>
        <v>108</v>
      </c>
      <c r="C11" s="8" t="s">
        <v>14</v>
      </c>
      <c r="D11" s="9" t="s">
        <v>21</v>
      </c>
      <c r="E11" s="1"/>
      <c r="F11" s="1"/>
      <c r="G11" s="1"/>
    </row>
    <row r="12" customFormat="false" ht="48" hidden="false" customHeight="true" outlineLevel="0" collapsed="false">
      <c r="A12" s="3" t="s">
        <v>22</v>
      </c>
      <c r="B12" s="7" t="n">
        <f aca="false">SUMIFS(本批执行结果!F2:F109,本批执行结果!M2:M109,"已验收")</f>
        <v>45</v>
      </c>
      <c r="C12" s="8" t="s">
        <v>23</v>
      </c>
      <c r="D12" s="9" t="s">
        <v>24</v>
      </c>
      <c r="E12" s="1"/>
      <c r="F12" s="1"/>
      <c r="G12" s="1"/>
    </row>
    <row r="13" customFormat="false" ht="48" hidden="false" customHeight="true" outlineLevel="0" collapsed="false">
      <c r="A13" s="3" t="s">
        <v>25</v>
      </c>
      <c r="B13" s="7" t="n">
        <f aca="false">SUMIFS(本批执行结果!H2:H109,本批执行结果!M2:M109,"已验收")</f>
        <v>0</v>
      </c>
      <c r="C13" s="8" t="s">
        <v>26</v>
      </c>
      <c r="D13" s="9" t="s">
        <v>27</v>
      </c>
      <c r="E13" s="1"/>
      <c r="F13" s="1"/>
      <c r="G13" s="1"/>
    </row>
    <row r="14" customFormat="false" ht="32" hidden="false" customHeight="true" outlineLevel="0" collapsed="false">
      <c r="A14" s="6" t="s">
        <v>28</v>
      </c>
      <c r="B14" s="10" t="s">
        <v>29</v>
      </c>
      <c r="C14" s="10" t="s">
        <v>5</v>
      </c>
      <c r="D14" s="6" t="s">
        <v>30</v>
      </c>
      <c r="E14" s="1"/>
      <c r="F14" s="1"/>
      <c r="G14" s="1"/>
    </row>
    <row r="15" customFormat="false" ht="38" hidden="false" customHeight="true" outlineLevel="0" collapsed="false">
      <c r="A15" s="3" t="s">
        <v>31</v>
      </c>
      <c r="B15" s="7" t="n">
        <f aca="false">COUNTIFS(首批固定任务!F2:F13,A15)</f>
        <v>4</v>
      </c>
      <c r="C15" s="8" t="s">
        <v>14</v>
      </c>
      <c r="D15" s="9" t="s">
        <v>32</v>
      </c>
      <c r="E15" s="1"/>
      <c r="F15" s="1"/>
      <c r="G15" s="1"/>
    </row>
    <row r="16" customFormat="false" ht="38" hidden="false" customHeight="true" outlineLevel="0" collapsed="false">
      <c r="A16" s="3" t="s">
        <v>33</v>
      </c>
      <c r="B16" s="7" t="n">
        <f aca="false">COUNTIFS(首批固定任务!F2:F13,A16)</f>
        <v>1</v>
      </c>
      <c r="C16" s="8" t="s">
        <v>14</v>
      </c>
      <c r="D16" s="9" t="s">
        <v>34</v>
      </c>
      <c r="E16" s="1"/>
      <c r="F16" s="1"/>
      <c r="G16" s="1"/>
    </row>
    <row r="17" customFormat="false" ht="38" hidden="false" customHeight="true" outlineLevel="0" collapsed="false">
      <c r="A17" s="3" t="s">
        <v>35</v>
      </c>
      <c r="B17" s="7" t="n">
        <f aca="false">COUNTIFS(首批固定任务!F2:F13,A17)</f>
        <v>1</v>
      </c>
      <c r="C17" s="8" t="s">
        <v>14</v>
      </c>
      <c r="D17" s="9" t="s">
        <v>36</v>
      </c>
      <c r="E17" s="1"/>
      <c r="F17" s="1"/>
      <c r="G17" s="1"/>
    </row>
    <row r="18" customFormat="false" ht="38" hidden="false" customHeight="true" outlineLevel="0" collapsed="false">
      <c r="A18" s="3" t="s">
        <v>37</v>
      </c>
      <c r="B18" s="7" t="n">
        <f aca="false">COUNTIFS(首批固定任务!F2:F13,A18)</f>
        <v>6</v>
      </c>
      <c r="C18" s="8" t="s">
        <v>14</v>
      </c>
      <c r="D18" s="9" t="s">
        <v>38</v>
      </c>
      <c r="E18" s="1"/>
      <c r="F18" s="1"/>
      <c r="G18" s="1"/>
    </row>
    <row r="19" customFormat="false" ht="24" hidden="false" customHeight="true" outlineLevel="0" collapsed="false">
      <c r="A19" s="1"/>
      <c r="B19" s="7"/>
      <c r="C19" s="7"/>
      <c r="D19" s="1"/>
      <c r="E19" s="1"/>
      <c r="F19" s="1"/>
      <c r="G19" s="1"/>
    </row>
    <row r="20" customFormat="false" ht="24" hidden="false" customHeight="true" outlineLevel="0" collapsed="false">
      <c r="A20" s="11" t="s">
        <v>39</v>
      </c>
      <c r="B20" s="12"/>
      <c r="C20" s="12"/>
      <c r="D20" s="11"/>
      <c r="E20" s="1"/>
      <c r="F20" s="1"/>
      <c r="G20" s="1"/>
    </row>
    <row r="21" customFormat="false" ht="32" hidden="false" customHeight="true" outlineLevel="0" collapsed="false">
      <c r="A21" s="6" t="s">
        <v>40</v>
      </c>
      <c r="B21" s="10" t="s">
        <v>41</v>
      </c>
      <c r="C21" s="10" t="s">
        <v>5</v>
      </c>
      <c r="D21" s="6" t="s">
        <v>42</v>
      </c>
      <c r="E21" s="1"/>
      <c r="F21" s="1"/>
      <c r="G21" s="1"/>
    </row>
    <row r="22" customFormat="false" ht="41" hidden="false" customHeight="true" outlineLevel="0" collapsed="false">
      <c r="A22" s="3" t="s">
        <v>43</v>
      </c>
      <c r="B22" s="7" t="n">
        <f aca="false">SUM('12地区基线'!D2:D13)</f>
        <v>4710</v>
      </c>
      <c r="C22" s="8" t="s">
        <v>23</v>
      </c>
      <c r="D22" s="13" t="s">
        <v>44</v>
      </c>
      <c r="E22" s="1"/>
      <c r="F22" s="1"/>
      <c r="G22" s="1"/>
    </row>
    <row r="23" customFormat="false" ht="41" hidden="false" customHeight="true" outlineLevel="0" collapsed="false">
      <c r="A23" s="3" t="s">
        <v>45</v>
      </c>
      <c r="B23" s="7" t="n">
        <f aca="false">SUM('12地区基线'!E2:E13)</f>
        <v>2245</v>
      </c>
      <c r="C23" s="8" t="s">
        <v>23</v>
      </c>
      <c r="D23" s="13" t="s">
        <v>46</v>
      </c>
      <c r="E23" s="1"/>
      <c r="F23" s="1"/>
      <c r="G23" s="1"/>
    </row>
    <row r="24" customFormat="false" ht="41" hidden="false" customHeight="true" outlineLevel="0" collapsed="false">
      <c r="A24" s="3" t="s">
        <v>47</v>
      </c>
      <c r="B24" s="7" t="n">
        <f aca="false">SUM('12地区基线'!F2:F13)</f>
        <v>411</v>
      </c>
      <c r="C24" s="8" t="s">
        <v>23</v>
      </c>
      <c r="D24" s="13" t="s">
        <v>48</v>
      </c>
      <c r="E24" s="1"/>
      <c r="F24" s="1"/>
      <c r="G24" s="1"/>
    </row>
    <row r="25" customFormat="false" ht="41" hidden="false" customHeight="true" outlineLevel="0" collapsed="false">
      <c r="A25" s="3" t="s">
        <v>49</v>
      </c>
      <c r="B25" s="7" t="n">
        <f aca="false">SUM('12地区基线'!G2:G13)</f>
        <v>51</v>
      </c>
      <c r="C25" s="8" t="s">
        <v>23</v>
      </c>
      <c r="D25" s="13" t="s">
        <v>50</v>
      </c>
      <c r="E25" s="1"/>
      <c r="F25" s="1"/>
      <c r="G25" s="1"/>
    </row>
    <row r="26" customFormat="false" ht="24" hidden="false" customHeight="true" outlineLevel="0" collapsed="false">
      <c r="A26" s="1"/>
      <c r="B26" s="7"/>
      <c r="C26" s="7"/>
      <c r="D26" s="1"/>
      <c r="E26" s="1"/>
      <c r="F26" s="1"/>
      <c r="G26" s="1"/>
    </row>
    <row r="27" customFormat="false" ht="40" hidden="false" customHeight="true" outlineLevel="0" collapsed="false">
      <c r="A27" s="14" t="s">
        <v>51</v>
      </c>
      <c r="B27" s="15"/>
      <c r="C27" s="15"/>
      <c r="D27" s="16"/>
      <c r="E27" s="1"/>
      <c r="F27" s="1"/>
      <c r="G27" s="1"/>
    </row>
    <row r="28" customFormat="false" ht="32" hidden="false" customHeight="true" outlineLevel="0" collapsed="false">
      <c r="A28" s="17" t="s">
        <v>52</v>
      </c>
      <c r="B28" s="18" t="s">
        <v>53</v>
      </c>
      <c r="C28" s="18" t="s">
        <v>54</v>
      </c>
      <c r="D28" s="17" t="s">
        <v>55</v>
      </c>
      <c r="E28" s="1"/>
      <c r="F28" s="1"/>
      <c r="G28" s="1"/>
    </row>
    <row r="29" customFormat="false" ht="52" hidden="false" customHeight="true" outlineLevel="0" collapsed="false">
      <c r="A29" s="19" t="s">
        <v>56</v>
      </c>
      <c r="B29" s="15" t="n">
        <v>12</v>
      </c>
      <c r="C29" s="15" t="n">
        <f aca="false">COUNTIFS(本批执行结果!N2:N24,"D1",本批执行结果!M2:M24,"已验收")</f>
        <v>12</v>
      </c>
      <c r="D29" s="20" t="s">
        <v>57</v>
      </c>
      <c r="E29" s="1"/>
      <c r="F29" s="1"/>
      <c r="G29" s="1"/>
    </row>
    <row r="30" customFormat="false" ht="52" hidden="false" customHeight="true" outlineLevel="0" collapsed="false">
      <c r="A30" s="19" t="s">
        <v>58</v>
      </c>
      <c r="B30" s="15" t="n">
        <v>11</v>
      </c>
      <c r="C30" s="15" t="n">
        <f aca="false">COUNTIFS(本批执行结果!N2:N24,"B2",本批执行结果!M2:M24,"已验收")</f>
        <v>11</v>
      </c>
      <c r="D30" s="20" t="s">
        <v>59</v>
      </c>
      <c r="E30" s="1"/>
      <c r="F30" s="1"/>
      <c r="G30" s="1"/>
    </row>
    <row r="31" customFormat="false" ht="52" hidden="false" customHeight="true" outlineLevel="0" collapsed="false">
      <c r="A31" s="20" t="s">
        <v>60</v>
      </c>
      <c r="B31" s="15" t="n">
        <f aca="false">SUM(B29:B30)</f>
        <v>23</v>
      </c>
      <c r="C31" s="15" t="n">
        <f aca="false">SUM(C29:C30)</f>
        <v>23</v>
      </c>
      <c r="D31" s="20" t="s">
        <v>61</v>
      </c>
      <c r="E31" s="1"/>
      <c r="F31" s="1"/>
      <c r="G31" s="1"/>
    </row>
    <row r="32" customFormat="false" ht="40" hidden="false" customHeight="true" outlineLevel="0" collapsed="false">
      <c r="A32" s="16"/>
      <c r="B32" s="15"/>
      <c r="C32" s="15"/>
      <c r="D32" s="16"/>
      <c r="E32" s="1"/>
      <c r="F32" s="1"/>
      <c r="G32" s="1"/>
    </row>
    <row r="33" customFormat="false" ht="32" hidden="false" customHeight="true" outlineLevel="0" collapsed="false">
      <c r="A33" s="17" t="s">
        <v>62</v>
      </c>
      <c r="B33" s="18" t="s">
        <v>4</v>
      </c>
      <c r="C33" s="18" t="s">
        <v>5</v>
      </c>
      <c r="D33" s="17" t="s">
        <v>30</v>
      </c>
      <c r="E33" s="1"/>
      <c r="F33" s="1"/>
      <c r="G33" s="1"/>
    </row>
    <row r="34" customFormat="false" ht="50" hidden="false" customHeight="true" outlineLevel="0" collapsed="false">
      <c r="A34" s="20" t="s">
        <v>63</v>
      </c>
      <c r="B34" s="21" t="n">
        <f aca="false">SUMIFS(本批执行结果!P2:P109,本批执行结果!M2:M109,"已验收")</f>
        <v>1243</v>
      </c>
      <c r="C34" s="22" t="s">
        <v>64</v>
      </c>
      <c r="D34" s="20" t="s">
        <v>65</v>
      </c>
    </row>
    <row r="35" customFormat="false" ht="50" hidden="false" customHeight="true" outlineLevel="0" collapsed="false">
      <c r="A35" s="20" t="s">
        <v>66</v>
      </c>
      <c r="B35" s="21" t="n">
        <f aca="false">SUMIFS(本批执行结果!E2:E109,本批执行结果!M2:M109,"已验收")</f>
        <v>3</v>
      </c>
      <c r="C35" s="22" t="s">
        <v>67</v>
      </c>
      <c r="D35" s="20" t="s">
        <v>68</v>
      </c>
    </row>
    <row r="36" customFormat="false" ht="50" hidden="false" customHeight="true" outlineLevel="0" collapsed="false">
      <c r="A36" s="20" t="s">
        <v>69</v>
      </c>
      <c r="B36" s="21" t="n">
        <f aca="false">SUMIFS(本批执行结果!G2:G109,本批执行结果!M2:M109,"已验收")</f>
        <v>3</v>
      </c>
      <c r="C36" s="22" t="s">
        <v>67</v>
      </c>
      <c r="D36" s="20" t="s">
        <v>70</v>
      </c>
    </row>
    <row r="37" customFormat="false" ht="50" hidden="false" customHeight="true" outlineLevel="0" collapsed="false">
      <c r="A37" s="20" t="s">
        <v>71</v>
      </c>
      <c r="B37" s="21" t="n">
        <f aca="false">SUMIFS(本批执行结果!R2:R109,本批执行结果!M2:M109,"已验收")</f>
        <v>3</v>
      </c>
      <c r="C37" s="22" t="s">
        <v>67</v>
      </c>
      <c r="D37" s="19" t="s">
        <v>72</v>
      </c>
    </row>
    <row r="38" customFormat="false" ht="50" hidden="false" customHeight="true" outlineLevel="0" collapsed="false">
      <c r="A38" s="19" t="s">
        <v>73</v>
      </c>
      <c r="B38" s="21" t="n">
        <f aca="false">SUMIFS(本批执行结果!Q2:Q24,本批执行结果!M2:M24,"已验收")</f>
        <v>4</v>
      </c>
      <c r="C38" s="22" t="s">
        <v>67</v>
      </c>
      <c r="D38" s="19" t="s">
        <v>74</v>
      </c>
    </row>
    <row r="39" customFormat="false" ht="40" hidden="false" customHeight="true" outlineLevel="0" collapsed="false">
      <c r="A39" s="19"/>
      <c r="B39" s="21"/>
      <c r="C39" s="21"/>
      <c r="D39" s="19"/>
    </row>
    <row r="40" customFormat="false" ht="32" hidden="false" customHeight="true" outlineLevel="0" collapsed="false">
      <c r="A40" s="17" t="s">
        <v>75</v>
      </c>
      <c r="B40" s="18" t="s">
        <v>4</v>
      </c>
      <c r="C40" s="18" t="s">
        <v>5</v>
      </c>
      <c r="D40" s="17" t="s">
        <v>76</v>
      </c>
    </row>
    <row r="41" customFormat="false" ht="50" hidden="false" customHeight="true" outlineLevel="0" collapsed="false">
      <c r="A41" s="20" t="s">
        <v>77</v>
      </c>
      <c r="B41" s="21" t="n">
        <v>4713</v>
      </c>
      <c r="C41" s="22" t="s">
        <v>67</v>
      </c>
      <c r="D41" s="23" t="s">
        <v>78</v>
      </c>
    </row>
    <row r="42" customFormat="false" ht="50" hidden="false" customHeight="true" outlineLevel="0" collapsed="false">
      <c r="A42" s="20" t="s">
        <v>79</v>
      </c>
      <c r="B42" s="21" t="n">
        <v>4662</v>
      </c>
      <c r="C42" s="22" t="s">
        <v>67</v>
      </c>
      <c r="D42" s="20" t="s">
        <v>80</v>
      </c>
    </row>
    <row r="43" customFormat="false" ht="50" hidden="false" customHeight="true" outlineLevel="0" collapsed="false">
      <c r="A43" s="20" t="s">
        <v>81</v>
      </c>
      <c r="B43" s="24" t="n">
        <v>2342</v>
      </c>
      <c r="C43" s="22" t="s">
        <v>67</v>
      </c>
      <c r="D43" s="23" t="s">
        <v>82</v>
      </c>
    </row>
    <row r="44" customFormat="false" ht="50" hidden="false" customHeight="true" outlineLevel="0" collapsed="false">
      <c r="A44" s="19" t="s">
        <v>83</v>
      </c>
      <c r="B44" s="21" t="n">
        <f aca="false">SUMIFS(本批执行结果!F2:F24,本批执行结果!N2:N24,"B2",本批执行结果!M2:M24,"已验收")</f>
        <v>6</v>
      </c>
      <c r="C44" s="22" t="s">
        <v>67</v>
      </c>
      <c r="D44" s="20" t="s">
        <v>84</v>
      </c>
    </row>
    <row r="45" customFormat="false" ht="50" hidden="false" customHeight="true" outlineLevel="0" collapsed="false">
      <c r="A45" s="20" t="s">
        <v>85</v>
      </c>
      <c r="B45" s="21" t="n">
        <v>10</v>
      </c>
      <c r="C45" s="22" t="s">
        <v>26</v>
      </c>
      <c r="D45" s="19" t="s">
        <v>86</v>
      </c>
    </row>
    <row r="46" customFormat="false" ht="50" hidden="false" customHeight="true" outlineLevel="0" collapsed="false">
      <c r="A46" s="20" t="s">
        <v>87</v>
      </c>
      <c r="B46" s="21" t="n">
        <f aca="false">MAX(COUNTIFS(本批执行结果!S2:S109,"缺范围或重复"),B8-COUNTA(首批固定任务!A2:A109),B8-COUNTA(本批执行结果!A2:A109),0)</f>
        <v>0</v>
      </c>
      <c r="C46" s="22" t="s">
        <v>26</v>
      </c>
      <c r="D46" s="20" t="s">
        <v>88</v>
      </c>
    </row>
    <row r="47" customFormat="false" ht="50" hidden="false" customHeight="true" outlineLevel="0" collapsed="false">
      <c r="A47" s="20" t="s">
        <v>89</v>
      </c>
      <c r="B47" s="21" t="n">
        <v>17</v>
      </c>
      <c r="C47" s="22" t="s">
        <v>67</v>
      </c>
      <c r="D47" s="23" t="s">
        <v>90</v>
      </c>
    </row>
    <row r="48" customFormat="false" ht="40" hidden="false" customHeight="true" outlineLevel="0" collapsed="false">
      <c r="A48" s="20" t="s">
        <v>91</v>
      </c>
      <c r="B48" s="21"/>
      <c r="C48" s="21"/>
      <c r="D48" s="20" t="s">
        <v>92</v>
      </c>
    </row>
    <row r="49" customFormat="false" ht="40" hidden="false" customHeight="true" outlineLevel="0" collapsed="false">
      <c r="A49" s="20" t="s">
        <v>93</v>
      </c>
      <c r="B49" s="21"/>
      <c r="C49" s="21"/>
      <c r="D49" s="20" t="s">
        <v>94</v>
      </c>
    </row>
    <row r="50" customFormat="false" ht="40" hidden="false" customHeight="true" outlineLevel="0" collapsed="false">
      <c r="A50" s="20" t="s">
        <v>95</v>
      </c>
      <c r="B50" s="21"/>
      <c r="C50" s="21"/>
      <c r="D50" s="20" t="s">
        <v>96</v>
      </c>
    </row>
    <row r="51" customFormat="false" ht="40" hidden="false" customHeight="true" outlineLevel="0" collapsed="false">
      <c r="A51" s="19"/>
      <c r="B51" s="19"/>
      <c r="C51" s="19"/>
      <c r="D51" s="19"/>
    </row>
    <row r="53" customFormat="false" ht="36" hidden="false" customHeight="true" outlineLevel="0" collapsed="false">
      <c r="A53" s="25" t="s">
        <v>97</v>
      </c>
      <c r="B53" s="26" t="s">
        <v>4</v>
      </c>
      <c r="C53" s="26" t="s">
        <v>5</v>
      </c>
      <c r="D53" s="26" t="s">
        <v>98</v>
      </c>
    </row>
    <row r="54" customFormat="false" ht="36" hidden="false" customHeight="true" outlineLevel="0" collapsed="false">
      <c r="A54" s="26" t="s">
        <v>52</v>
      </c>
      <c r="B54" s="26" t="s">
        <v>53</v>
      </c>
      <c r="C54" s="26" t="s">
        <v>54</v>
      </c>
      <c r="D54" s="26" t="s">
        <v>99</v>
      </c>
    </row>
    <row r="55" customFormat="false" ht="58" hidden="false" customHeight="true" outlineLevel="0" collapsed="false">
      <c r="A55" s="27" t="s">
        <v>100</v>
      </c>
      <c r="B55" s="27" t="n">
        <v>10</v>
      </c>
      <c r="C55" s="27" t="n">
        <f aca="false">COUNTIFS(本批执行结果!N2:N68,"B3",本批执行结果!M2:M68,"已验收")</f>
        <v>10</v>
      </c>
      <c r="D55" s="27" t="s">
        <v>101</v>
      </c>
    </row>
    <row r="56" customFormat="false" ht="58" hidden="false" customHeight="true" outlineLevel="0" collapsed="false">
      <c r="A56" s="27" t="s">
        <v>102</v>
      </c>
      <c r="B56" s="27" t="n">
        <v>10</v>
      </c>
      <c r="C56" s="27" t="n">
        <f aca="false">COUNTIFS(本批执行结果!N2:N68,"B4",本批执行结果!M2:M68,"已验收")</f>
        <v>10</v>
      </c>
      <c r="D56" s="27" t="s">
        <v>103</v>
      </c>
    </row>
    <row r="57" customFormat="false" ht="58" hidden="false" customHeight="true" outlineLevel="0" collapsed="false">
      <c r="A57" s="27" t="s">
        <v>104</v>
      </c>
      <c r="B57" s="27" t="n">
        <v>12</v>
      </c>
      <c r="C57" s="27" t="n">
        <f aca="false">COUNTIFS(本批执行结果!N2:N68,"B5",本批执行结果!M2:M68,"已验收")</f>
        <v>12</v>
      </c>
      <c r="D57" s="27" t="s">
        <v>105</v>
      </c>
    </row>
    <row r="58" customFormat="false" ht="58" hidden="false" customHeight="true" outlineLevel="0" collapsed="false">
      <c r="A58" s="27" t="s">
        <v>106</v>
      </c>
      <c r="B58" s="27" t="n">
        <v>12</v>
      </c>
      <c r="C58" s="27" t="n">
        <f aca="false">COUNTIFS(本批执行结果!N2:N68,"B6",本批执行结果!M2:M68,"已验收")</f>
        <v>12</v>
      </c>
      <c r="D58" s="27" t="s">
        <v>107</v>
      </c>
    </row>
    <row r="59" customFormat="false" ht="58" hidden="false" customHeight="true" outlineLevel="0" collapsed="false">
      <c r="A59" s="28" t="s">
        <v>108</v>
      </c>
      <c r="B59" s="27" t="n">
        <f aca="false">SUM(B29:B30,B55:B58)</f>
        <v>67</v>
      </c>
      <c r="C59" s="27" t="n">
        <f aca="false">SUM(C29:C30,C55:C58)</f>
        <v>67</v>
      </c>
      <c r="D59" s="28" t="s">
        <v>109</v>
      </c>
    </row>
    <row r="60" customFormat="false" ht="58" hidden="false" customHeight="true" outlineLevel="0" collapsed="false">
      <c r="A60" s="28" t="s">
        <v>110</v>
      </c>
      <c r="B60" s="27" t="n">
        <f aca="false">SUMIFS(本批执行结果!U2:U109,本批执行结果!M2:M109,"已验收")</f>
        <v>3</v>
      </c>
      <c r="C60" s="28" t="s">
        <v>67</v>
      </c>
      <c r="D60" s="27" t="s">
        <v>111</v>
      </c>
    </row>
    <row r="61" customFormat="false" ht="58" hidden="false" customHeight="true" outlineLevel="0" collapsed="false">
      <c r="A61" s="28" t="s">
        <v>112</v>
      </c>
      <c r="B61" s="27" t="n">
        <f aca="false">SUMIFS(本批执行结果!Q2:Q109,本批执行结果!M2:M109,"已验收")</f>
        <v>26</v>
      </c>
      <c r="C61" s="28" t="s">
        <v>67</v>
      </c>
      <c r="D61" s="27" t="s">
        <v>113</v>
      </c>
    </row>
    <row r="62" customFormat="false" ht="58" hidden="false" customHeight="true" outlineLevel="0" collapsed="false">
      <c r="A62" s="28" t="s">
        <v>114</v>
      </c>
      <c r="B62" s="27" t="n">
        <v>0</v>
      </c>
      <c r="C62" s="28" t="s">
        <v>26</v>
      </c>
      <c r="D62" s="28" t="s">
        <v>115</v>
      </c>
    </row>
    <row r="63" customFormat="false" ht="58" hidden="false" customHeight="true" outlineLevel="0" collapsed="false">
      <c r="A63" s="28" t="s">
        <v>116</v>
      </c>
      <c r="B63" s="28" t="s">
        <v>117</v>
      </c>
      <c r="C63" s="28" t="s">
        <v>118</v>
      </c>
      <c r="D63" s="28" t="s">
        <v>119</v>
      </c>
    </row>
    <row r="64" customFormat="false" ht="58" hidden="false" customHeight="true" outlineLevel="0" collapsed="false">
      <c r="A64" s="27" t="s">
        <v>120</v>
      </c>
      <c r="B64" s="28" t="s">
        <v>121</v>
      </c>
      <c r="C64" s="28" t="s">
        <v>118</v>
      </c>
      <c r="D64" s="28" t="s">
        <v>122</v>
      </c>
    </row>
    <row r="65" customFormat="false" ht="58" hidden="false" customHeight="true" outlineLevel="0" collapsed="false">
      <c r="A65" s="27" t="s">
        <v>123</v>
      </c>
      <c r="B65" s="28" t="s">
        <v>124</v>
      </c>
      <c r="C65" s="28" t="s">
        <v>118</v>
      </c>
      <c r="D65" s="28" t="s">
        <v>125</v>
      </c>
    </row>
    <row r="66" customFormat="false" ht="58" hidden="false" customHeight="true" outlineLevel="0" collapsed="false">
      <c r="A66" s="28" t="s">
        <v>126</v>
      </c>
      <c r="B66" s="28" t="s">
        <v>127</v>
      </c>
      <c r="C66" s="28" t="s">
        <v>118</v>
      </c>
      <c r="D66" s="27" t="s">
        <v>128</v>
      </c>
    </row>
    <row r="67" customFormat="false" ht="58" hidden="false" customHeight="true" outlineLevel="0" collapsed="false">
      <c r="A67" s="28" t="s">
        <v>129</v>
      </c>
      <c r="B67" s="28" t="s">
        <v>130</v>
      </c>
      <c r="C67" s="28" t="s">
        <v>118</v>
      </c>
      <c r="D67" s="27" t="s">
        <v>131</v>
      </c>
    </row>
    <row r="68" customFormat="false" ht="58" hidden="false" customHeight="true" outlineLevel="0" collapsed="false">
      <c r="A68" s="28" t="s">
        <v>132</v>
      </c>
      <c r="B68" s="28" t="s">
        <v>133</v>
      </c>
      <c r="C68" s="28" t="s">
        <v>30</v>
      </c>
      <c r="D68" s="28" t="s">
        <v>134</v>
      </c>
    </row>
    <row r="69" customFormat="false" ht="48" hidden="false" customHeight="true" outlineLevel="0" collapsed="false">
      <c r="A69" s="27"/>
      <c r="B69" s="27"/>
      <c r="C69" s="27"/>
      <c r="D69" s="27"/>
    </row>
    <row r="70" customFormat="false" ht="52" hidden="false" customHeight="true" outlineLevel="0" collapsed="false">
      <c r="A70" s="28" t="s">
        <v>135</v>
      </c>
      <c r="B70" s="29" t="s">
        <v>136</v>
      </c>
      <c r="C70" s="28" t="s">
        <v>137</v>
      </c>
      <c r="D70" s="27" t="s">
        <v>138</v>
      </c>
    </row>
    <row r="71" customFormat="false" ht="52" hidden="false" customHeight="true" outlineLevel="0" collapsed="false">
      <c r="A71" s="28" t="s">
        <v>139</v>
      </c>
      <c r="B71" s="29" t="s">
        <v>140</v>
      </c>
      <c r="C71" s="30" t="s">
        <v>141</v>
      </c>
      <c r="D71" s="23" t="s">
        <v>142</v>
      </c>
    </row>
    <row r="72" customFormat="false" ht="48" hidden="false" customHeight="true" outlineLevel="0" collapsed="false">
      <c r="A72" s="27"/>
      <c r="B72" s="27"/>
      <c r="C72" s="27"/>
      <c r="D72" s="27"/>
    </row>
    <row r="73" customFormat="false" ht="48" hidden="false" customHeight="true" outlineLevel="0" collapsed="false">
      <c r="A73" s="27"/>
      <c r="B73" s="27"/>
      <c r="C73" s="27"/>
      <c r="D73" s="27"/>
    </row>
    <row r="74" customFormat="false" ht="48" hidden="false" customHeight="true" outlineLevel="0" collapsed="false">
      <c r="A74" s="27"/>
      <c r="B74" s="27"/>
      <c r="C74" s="27"/>
      <c r="D74" s="27"/>
    </row>
    <row r="75" customFormat="false" ht="36" hidden="false" customHeight="true" outlineLevel="0" collapsed="false">
      <c r="A75" s="31" t="s">
        <v>143</v>
      </c>
      <c r="B75" s="32" t="s">
        <v>4</v>
      </c>
      <c r="C75" s="32" t="s">
        <v>5</v>
      </c>
      <c r="D75" s="32" t="s">
        <v>144</v>
      </c>
    </row>
    <row r="76" customFormat="false" ht="36" hidden="false" customHeight="true" outlineLevel="0" collapsed="false">
      <c r="A76" s="32" t="s">
        <v>52</v>
      </c>
      <c r="B76" s="32" t="s">
        <v>53</v>
      </c>
      <c r="C76" s="32" t="s">
        <v>54</v>
      </c>
      <c r="D76" s="32" t="s">
        <v>99</v>
      </c>
    </row>
    <row r="77" customFormat="false" ht="66" hidden="false" customHeight="true" outlineLevel="0" collapsed="false">
      <c r="A77" s="33" t="s">
        <v>145</v>
      </c>
      <c r="B77" s="33" t="n">
        <v>8</v>
      </c>
      <c r="C77" s="33" t="n">
        <f aca="false">COUNTIFS(本批执行结果!N2:N109,"B7",本批执行结果!M2:M109,"已验收")</f>
        <v>8</v>
      </c>
      <c r="D77" s="33" t="s">
        <v>146</v>
      </c>
    </row>
    <row r="78" customFormat="false" ht="66" hidden="false" customHeight="true" outlineLevel="0" collapsed="false">
      <c r="A78" s="33" t="s">
        <v>147</v>
      </c>
      <c r="B78" s="33" t="n">
        <v>5</v>
      </c>
      <c r="C78" s="33" t="n">
        <f aca="false">COUNTIFS(本批执行结果!N2:N109,"B8",本批执行结果!M2:M109,"已验收")</f>
        <v>5</v>
      </c>
      <c r="D78" s="33" t="s">
        <v>148</v>
      </c>
    </row>
    <row r="79" customFormat="false" ht="66" hidden="false" customHeight="true" outlineLevel="0" collapsed="false">
      <c r="A79" s="33" t="s">
        <v>149</v>
      </c>
      <c r="B79" s="33" t="n">
        <v>12</v>
      </c>
      <c r="C79" s="33" t="n">
        <f aca="false">COUNTIFS(本批执行结果!N2:N109,"B9",本批执行结果!M2:M109,"已验收")</f>
        <v>12</v>
      </c>
      <c r="D79" s="33" t="s">
        <v>150</v>
      </c>
    </row>
    <row r="80" customFormat="false" ht="66" hidden="false" customHeight="true" outlineLevel="0" collapsed="false">
      <c r="A80" s="33" t="s">
        <v>151</v>
      </c>
      <c r="B80" s="33" t="n">
        <v>1</v>
      </c>
      <c r="C80" s="33" t="n">
        <f aca="false">COUNTIFS(本批执行结果!N2:N109,"B10",本批执行结果!M2:M109,"已验收")</f>
        <v>1</v>
      </c>
      <c r="D80" s="33" t="s">
        <v>152</v>
      </c>
    </row>
    <row r="81" customFormat="false" ht="66" hidden="false" customHeight="true" outlineLevel="0" collapsed="false">
      <c r="A81" s="33" t="s">
        <v>153</v>
      </c>
      <c r="B81" s="33" t="n">
        <v>4</v>
      </c>
      <c r="C81" s="33" t="n">
        <f aca="false">COUNTIFS(本批执行结果!N2:N109,"B11",本批执行结果!M2:M109,"已验收")</f>
        <v>4</v>
      </c>
      <c r="D81" s="33" t="s">
        <v>154</v>
      </c>
    </row>
    <row r="82" customFormat="false" ht="66" hidden="false" customHeight="true" outlineLevel="0" collapsed="false">
      <c r="A82" s="33" t="s">
        <v>155</v>
      </c>
      <c r="B82" s="33" t="n">
        <v>5</v>
      </c>
      <c r="C82" s="33" t="n">
        <f aca="false">COUNTIFS(本批执行结果!N2:N109,"B12",本批执行结果!M2:M109,"已验收")</f>
        <v>5</v>
      </c>
      <c r="D82" s="33" t="s">
        <v>156</v>
      </c>
    </row>
    <row r="83" customFormat="false" ht="66" hidden="false" customHeight="true" outlineLevel="0" collapsed="false">
      <c r="A83" s="33" t="s">
        <v>157</v>
      </c>
      <c r="B83" s="33" t="n">
        <v>4</v>
      </c>
      <c r="C83" s="33" t="n">
        <f aca="false">COUNTIFS(本批执行结果!N2:N109,"B13",本批执行结果!M2:M109,"已验收")</f>
        <v>4</v>
      </c>
      <c r="D83" s="33" t="s">
        <v>158</v>
      </c>
    </row>
    <row r="84" customFormat="false" ht="66" hidden="false" customHeight="true" outlineLevel="0" collapsed="false">
      <c r="A84" s="33" t="s">
        <v>159</v>
      </c>
      <c r="B84" s="33" t="n">
        <v>2</v>
      </c>
      <c r="C84" s="33" t="n">
        <f aca="false">COUNTIFS(本批执行结果!N2:N109,"B14",本批执行结果!M2:M109,"已验收")</f>
        <v>2</v>
      </c>
      <c r="D84" s="33" t="s">
        <v>160</v>
      </c>
    </row>
    <row r="85" customFormat="false" ht="66" hidden="false" customHeight="true" outlineLevel="0" collapsed="false">
      <c r="A85" s="33" t="s">
        <v>161</v>
      </c>
      <c r="B85" s="33" t="n">
        <f aca="false">B8</f>
        <v>108</v>
      </c>
      <c r="C85" s="33" t="n">
        <f aca="false">B11</f>
        <v>108</v>
      </c>
      <c r="D85" s="33" t="s">
        <v>162</v>
      </c>
    </row>
    <row r="86" customFormat="false" ht="66" hidden="false" customHeight="true" outlineLevel="0" collapsed="false">
      <c r="A86" s="33" t="s">
        <v>163</v>
      </c>
      <c r="B86" s="34" t="s">
        <v>124</v>
      </c>
      <c r="C86" s="34" t="s">
        <v>118</v>
      </c>
      <c r="D86" s="34" t="s">
        <v>164</v>
      </c>
    </row>
    <row r="87" customFormat="false" ht="66" hidden="false" customHeight="true" outlineLevel="0" collapsed="false">
      <c r="A87" s="33" t="s">
        <v>165</v>
      </c>
      <c r="B87" s="34" t="s">
        <v>166</v>
      </c>
      <c r="C87" s="34" t="s">
        <v>118</v>
      </c>
      <c r="D87" s="34" t="s">
        <v>167</v>
      </c>
    </row>
    <row r="88" customFormat="false" ht="66" hidden="false" customHeight="true" outlineLevel="0" collapsed="false">
      <c r="A88" s="33" t="s">
        <v>168</v>
      </c>
      <c r="B88" s="34" t="s">
        <v>124</v>
      </c>
      <c r="C88" s="34" t="s">
        <v>118</v>
      </c>
      <c r="D88" s="34" t="s">
        <v>169</v>
      </c>
    </row>
    <row r="89" customFormat="false" ht="66" hidden="false" customHeight="true" outlineLevel="0" collapsed="false">
      <c r="A89" s="34" t="s">
        <v>170</v>
      </c>
      <c r="B89" s="35" t="n">
        <v>2749</v>
      </c>
      <c r="C89" s="34" t="s">
        <v>23</v>
      </c>
      <c r="D89" s="23" t="s">
        <v>171</v>
      </c>
    </row>
    <row r="90" customFormat="false" ht="66" hidden="false" customHeight="true" outlineLevel="0" collapsed="false">
      <c r="A90" s="34" t="s">
        <v>172</v>
      </c>
      <c r="B90" s="29" t="n">
        <v>423</v>
      </c>
      <c r="C90" s="34" t="s">
        <v>23</v>
      </c>
      <c r="D90" s="23" t="s">
        <v>173</v>
      </c>
    </row>
    <row r="91" customFormat="false" ht="66" hidden="false" customHeight="true" outlineLevel="0" collapsed="false">
      <c r="A91" s="34" t="s">
        <v>174</v>
      </c>
      <c r="B91" s="33" t="n">
        <v>1</v>
      </c>
      <c r="C91" s="34" t="s">
        <v>26</v>
      </c>
      <c r="D91" s="33" t="s">
        <v>175</v>
      </c>
    </row>
    <row r="92" customFormat="false" ht="66" hidden="false" customHeight="true" outlineLevel="0" collapsed="false">
      <c r="A92" s="33" t="s">
        <v>176</v>
      </c>
      <c r="B92" s="34" t="s">
        <v>177</v>
      </c>
      <c r="C92" s="34" t="s">
        <v>118</v>
      </c>
      <c r="D92" s="34" t="s">
        <v>178</v>
      </c>
    </row>
    <row r="93" customFormat="false" ht="66" hidden="false" customHeight="true" outlineLevel="0" collapsed="false">
      <c r="A93" s="33" t="s">
        <v>179</v>
      </c>
      <c r="B93" s="34" t="s">
        <v>180</v>
      </c>
      <c r="C93" s="34" t="s">
        <v>118</v>
      </c>
      <c r="D93" s="34" t="s">
        <v>181</v>
      </c>
    </row>
    <row r="94" customFormat="false" ht="66" hidden="false" customHeight="true" outlineLevel="0" collapsed="false">
      <c r="A94" s="34" t="s">
        <v>182</v>
      </c>
      <c r="B94" s="33" t="n">
        <v>0</v>
      </c>
      <c r="C94" s="34" t="s">
        <v>26</v>
      </c>
      <c r="D94" s="34" t="s">
        <v>183</v>
      </c>
    </row>
    <row r="95" customFormat="false" ht="66" hidden="false" customHeight="true" outlineLevel="0" collapsed="false">
      <c r="A95" s="34" t="s">
        <v>184</v>
      </c>
      <c r="B95" s="33" t="n">
        <v>0</v>
      </c>
      <c r="C95" s="34" t="s">
        <v>26</v>
      </c>
      <c r="D95" s="34" t="s">
        <v>185</v>
      </c>
    </row>
    <row r="96" customFormat="false" ht="66" hidden="false" customHeight="true" outlineLevel="0" collapsed="false">
      <c r="A96" s="34" t="s">
        <v>186</v>
      </c>
      <c r="B96" s="34" t="s">
        <v>187</v>
      </c>
      <c r="C96" s="34" t="s">
        <v>30</v>
      </c>
      <c r="D96" s="23" t="s">
        <v>188</v>
      </c>
    </row>
    <row r="100" customFormat="false" ht="31" hidden="false" customHeight="true" outlineLevel="0" collapsed="false">
      <c r="A100" s="36" t="s">
        <v>189</v>
      </c>
      <c r="B100" s="37" t="s">
        <v>4</v>
      </c>
      <c r="C100" s="37" t="s">
        <v>5</v>
      </c>
      <c r="D100" s="37" t="s">
        <v>190</v>
      </c>
    </row>
    <row r="101" customFormat="false" ht="60" hidden="false" customHeight="true" outlineLevel="0" collapsed="false">
      <c r="A101" s="38" t="s">
        <v>191</v>
      </c>
      <c r="B101" s="39" t="n">
        <f aca="false">B8</f>
        <v>108</v>
      </c>
      <c r="C101" s="38" t="s">
        <v>192</v>
      </c>
      <c r="D101" s="38" t="s">
        <v>193</v>
      </c>
    </row>
    <row r="102" customFormat="false" ht="60" hidden="false" customHeight="true" outlineLevel="0" collapsed="false">
      <c r="A102" s="38" t="s">
        <v>194</v>
      </c>
      <c r="B102" s="39" t="n">
        <f aca="false">COUNTA('B15–B18角色验收'!A2:A91)</f>
        <v>90</v>
      </c>
      <c r="C102" s="38" t="s">
        <v>192</v>
      </c>
      <c r="D102" s="38" t="s">
        <v>195</v>
      </c>
    </row>
    <row r="103" customFormat="false" ht="60" hidden="false" customHeight="true" outlineLevel="0" collapsed="false">
      <c r="A103" s="38" t="s">
        <v>196</v>
      </c>
      <c r="B103" s="39" t="n">
        <f aca="false">SUM(B101:B102)</f>
        <v>198</v>
      </c>
      <c r="C103" s="38" t="s">
        <v>192</v>
      </c>
      <c r="D103" s="38" t="s">
        <v>197</v>
      </c>
    </row>
    <row r="104" customFormat="false" ht="60" hidden="false" customHeight="true" outlineLevel="0" collapsed="false">
      <c r="A104" s="38" t="s">
        <v>198</v>
      </c>
      <c r="B104" s="39" t="n">
        <f aca="false">COUNTIF('B15–B18角色验收'!AH2:AH91,"角色已验收")</f>
        <v>90</v>
      </c>
      <c r="C104" s="38" t="s">
        <v>192</v>
      </c>
      <c r="D104" s="38" t="s">
        <v>199</v>
      </c>
    </row>
    <row r="105" customFormat="false" ht="60" hidden="false" customHeight="true" outlineLevel="0" collapsed="false">
      <c r="A105" s="38" t="s">
        <v>200</v>
      </c>
      <c r="B105" s="39" t="n">
        <f aca="false">SUM('B15–B18角色验收'!Q2:Q91)</f>
        <v>77</v>
      </c>
      <c r="C105" s="38" t="s">
        <v>67</v>
      </c>
      <c r="D105" s="38" t="s">
        <v>201</v>
      </c>
    </row>
    <row r="106" customFormat="false" ht="60" hidden="false" customHeight="true" outlineLevel="0" collapsed="false">
      <c r="A106" s="38" t="s">
        <v>202</v>
      </c>
      <c r="B106" s="39" t="n">
        <f aca="false">SUM('B15–B18角色验收'!R2:R91)</f>
        <v>7</v>
      </c>
      <c r="C106" s="38" t="s">
        <v>67</v>
      </c>
      <c r="D106" s="38" t="s">
        <v>203</v>
      </c>
    </row>
    <row r="107" customFormat="false" ht="60" hidden="false" customHeight="true" outlineLevel="0" collapsed="false">
      <c r="A107" s="38" t="s">
        <v>204</v>
      </c>
      <c r="B107" s="39" t="n">
        <f aca="false">SUM('B15–B18角色验收'!S2:S91)</f>
        <v>6</v>
      </c>
      <c r="C107" s="38" t="s">
        <v>67</v>
      </c>
      <c r="D107" s="38" t="s">
        <v>205</v>
      </c>
    </row>
    <row r="108" customFormat="false" ht="60" hidden="false" customHeight="true" outlineLevel="0" collapsed="false">
      <c r="A108" s="38" t="s">
        <v>206</v>
      </c>
      <c r="B108" s="39" t="n">
        <f aca="false">SUM('B15–B18角色验收'!T2:T91)</f>
        <v>77</v>
      </c>
      <c r="C108" s="38" t="s">
        <v>67</v>
      </c>
      <c r="D108" s="38" t="s">
        <v>207</v>
      </c>
    </row>
    <row r="109" customFormat="false" ht="60" hidden="false" customHeight="true" outlineLevel="0" collapsed="false">
      <c r="A109" s="38" t="s">
        <v>208</v>
      </c>
      <c r="B109" s="39" t="n">
        <f aca="false">B89</f>
        <v>2749</v>
      </c>
      <c r="C109" s="38" t="s">
        <v>67</v>
      </c>
      <c r="D109" s="23" t="s">
        <v>209</v>
      </c>
    </row>
    <row r="110" customFormat="false" ht="60" hidden="false" customHeight="true" outlineLevel="0" collapsed="false">
      <c r="A110" s="38" t="s">
        <v>210</v>
      </c>
      <c r="B110" s="39" t="n">
        <f aca="false">SUM('B15–B18角色验收'!H2:H91)</f>
        <v>5186</v>
      </c>
      <c r="C110" s="38" t="s">
        <v>64</v>
      </c>
      <c r="D110" s="38" t="s">
        <v>211</v>
      </c>
    </row>
    <row r="111" customFormat="false" ht="60" hidden="false" customHeight="true" outlineLevel="0" collapsed="false">
      <c r="A111" s="38" t="s">
        <v>212</v>
      </c>
      <c r="B111" s="39" t="n">
        <f aca="false">SUM('B15–B18角色验收'!K2:K91)</f>
        <v>945</v>
      </c>
      <c r="C111" s="38" t="s">
        <v>213</v>
      </c>
      <c r="D111" s="38" t="s">
        <v>214</v>
      </c>
    </row>
    <row r="112" customFormat="false" ht="60" hidden="false" customHeight="true" outlineLevel="0" collapsed="false">
      <c r="A112" s="38" t="s">
        <v>215</v>
      </c>
      <c r="B112" s="39" t="n">
        <f aca="false">SUM('B15–B18角色验收'!M2:M91)</f>
        <v>627</v>
      </c>
      <c r="C112" s="38" t="s">
        <v>213</v>
      </c>
      <c r="D112" s="38" t="s">
        <v>216</v>
      </c>
    </row>
    <row r="113" customFormat="false" ht="60" hidden="false" customHeight="true" outlineLevel="0" collapsed="false">
      <c r="A113" s="38" t="s">
        <v>217</v>
      </c>
      <c r="B113" s="39" t="n">
        <f aca="false">COUNTIF('B15–B18角色验收'!N2:N91,"待全文")</f>
        <v>90</v>
      </c>
      <c r="C113" s="38" t="s">
        <v>67</v>
      </c>
      <c r="D113" s="38" t="s">
        <v>218</v>
      </c>
    </row>
    <row r="114" customFormat="false" ht="60" hidden="false" customHeight="true" outlineLevel="0" collapsed="false">
      <c r="A114" s="38" t="s">
        <v>219</v>
      </c>
      <c r="B114" s="39" t="n">
        <v>138</v>
      </c>
      <c r="C114" s="38" t="s">
        <v>192</v>
      </c>
      <c r="D114" s="38" t="s">
        <v>220</v>
      </c>
    </row>
    <row r="115" customFormat="false" ht="60" hidden="false" customHeight="true" outlineLevel="0" collapsed="false">
      <c r="A115" s="38" t="s">
        <v>221</v>
      </c>
      <c r="B115" s="39" t="n">
        <f aca="false">SUM('B15–B18角色验收'!O2:P91)</f>
        <v>0</v>
      </c>
      <c r="C115" s="38" t="s">
        <v>67</v>
      </c>
      <c r="D115" s="38" t="s">
        <v>222</v>
      </c>
    </row>
    <row r="116" customFormat="false" ht="60" hidden="false" customHeight="true" outlineLevel="0" collapsed="false">
      <c r="A116" s="38" t="s">
        <v>223</v>
      </c>
      <c r="B116" s="39" t="n">
        <f aca="false">B12</f>
        <v>45</v>
      </c>
      <c r="C116" s="38" t="s">
        <v>67</v>
      </c>
      <c r="D116" s="38" t="s">
        <v>224</v>
      </c>
    </row>
    <row r="117" customFormat="false" ht="60" hidden="false" customHeight="true" outlineLevel="0" collapsed="false">
      <c r="A117" s="38" t="s">
        <v>225</v>
      </c>
      <c r="B117" s="38" t="s">
        <v>124</v>
      </c>
      <c r="C117" s="38" t="s">
        <v>118</v>
      </c>
      <c r="D117" s="38" t="s">
        <v>226</v>
      </c>
    </row>
    <row r="118" customFormat="false" ht="31" hidden="false" customHeight="true" outlineLevel="0" collapsed="false">
      <c r="A118" s="37" t="s">
        <v>52</v>
      </c>
      <c r="B118" s="37" t="s">
        <v>227</v>
      </c>
      <c r="C118" s="37" t="s">
        <v>228</v>
      </c>
      <c r="D118" s="37" t="s">
        <v>229</v>
      </c>
    </row>
    <row r="119" customFormat="false" ht="60" hidden="false" customHeight="true" outlineLevel="0" collapsed="false">
      <c r="A119" s="38" t="s">
        <v>230</v>
      </c>
      <c r="B119" s="39" t="n">
        <v>10</v>
      </c>
      <c r="C119" s="38" t="n">
        <f aca="false">COUNTIFS('B15–B18角色验收'!B2:B91,"B15",'B15–B18角色验收'!AH2:AH91,"角色已验收")</f>
        <v>10</v>
      </c>
      <c r="D119" s="38" t="s">
        <v>231</v>
      </c>
    </row>
    <row r="120" customFormat="false" ht="60" hidden="false" customHeight="true" outlineLevel="0" collapsed="false">
      <c r="A120" s="38" t="s">
        <v>232</v>
      </c>
      <c r="B120" s="39" t="n">
        <v>30</v>
      </c>
      <c r="C120" s="38" t="n">
        <f aca="false">COUNTIFS('B15–B18角色验收'!B2:B91,"B16",'B15–B18角色验收'!AH2:AH91,"角色已验收")</f>
        <v>30</v>
      </c>
      <c r="D120" s="38" t="s">
        <v>233</v>
      </c>
    </row>
    <row r="121" customFormat="false" ht="60" hidden="false" customHeight="true" outlineLevel="0" collapsed="false">
      <c r="A121" s="38" t="s">
        <v>234</v>
      </c>
      <c r="B121" s="39" t="n">
        <v>30</v>
      </c>
      <c r="C121" s="38" t="n">
        <f aca="false">COUNTIFS('B15–B18角色验收'!B2:B91,"B17",'B15–B18角色验收'!AH2:AH91,"角色已验收")</f>
        <v>30</v>
      </c>
      <c r="D121" s="38" t="s">
        <v>235</v>
      </c>
    </row>
    <row r="122" customFormat="false" ht="60" hidden="false" customHeight="true" outlineLevel="0" collapsed="false">
      <c r="A122" s="38" t="s">
        <v>236</v>
      </c>
      <c r="B122" s="39" t="n">
        <v>20</v>
      </c>
      <c r="C122" s="38" t="n">
        <f aca="false">COUNTIFS('B15–B18角色验收'!B2:B91,"B18",'B15–B18角色验收'!AH2:AH91,"角色已验收")</f>
        <v>20</v>
      </c>
      <c r="D122" s="38" t="s">
        <v>237</v>
      </c>
    </row>
    <row r="123" customFormat="false" ht="31" hidden="false" customHeight="true" outlineLevel="0" collapsed="false">
      <c r="A123" s="37" t="s">
        <v>238</v>
      </c>
      <c r="B123" s="37" t="s">
        <v>239</v>
      </c>
      <c r="C123" s="37" t="s">
        <v>240</v>
      </c>
      <c r="D123" s="37" t="s">
        <v>241</v>
      </c>
    </row>
    <row r="124" customFormat="false" ht="60" hidden="false" customHeight="true" outlineLevel="0" collapsed="false">
      <c r="A124" s="38" t="s">
        <v>230</v>
      </c>
      <c r="B124" s="39" t="n">
        <v>0</v>
      </c>
      <c r="C124" s="38" t="s">
        <v>242</v>
      </c>
      <c r="D124" s="38" t="str">
        <f aca="false">HYPERLINK("https://chatgpt.com/api/library/files/libfile_b303d0e820e08191b7ca12b5c5e78338/download","下载B15私有角色元数据包")</f>
        <v>下载B15私有角色元数据包</v>
      </c>
    </row>
    <row r="125" customFormat="false" ht="60" hidden="false" customHeight="true" outlineLevel="0" collapsed="false">
      <c r="A125" s="38" t="s">
        <v>232</v>
      </c>
      <c r="B125" s="39" t="n">
        <v>0</v>
      </c>
      <c r="C125" s="38" t="s">
        <v>242</v>
      </c>
      <c r="D125" s="38" t="str">
        <f aca="false">HYPERLINK("https://chatgpt.com/api/library/files/libfile_f096861615788191b2089dd752505c74/download","下载B16私有角色元数据包")</f>
        <v>下载B16私有角色元数据包</v>
      </c>
    </row>
    <row r="126" customFormat="false" ht="60" hidden="false" customHeight="true" outlineLevel="0" collapsed="false">
      <c r="A126" s="38" t="s">
        <v>234</v>
      </c>
      <c r="B126" s="39" t="n">
        <v>0</v>
      </c>
      <c r="C126" s="38" t="s">
        <v>242</v>
      </c>
      <c r="D126" s="38" t="str">
        <f aca="false">HYPERLINK("https://chatgpt.com/api/library/files/libfile_0420a2f7564481919a54668a656a1c0f/download","下载B17私有角色元数据包")</f>
        <v>下载B17私有角色元数据包</v>
      </c>
    </row>
    <row r="127" customFormat="false" ht="60" hidden="false" customHeight="true" outlineLevel="0" collapsed="false">
      <c r="A127" s="38" t="s">
        <v>236</v>
      </c>
      <c r="B127" s="39" t="n">
        <v>0</v>
      </c>
      <c r="C127" s="38" t="s">
        <v>242</v>
      </c>
      <c r="D127" s="38" t="str">
        <f aca="false">HYPERLINK("https://chatgpt.com/api/library/files/libfile_06a6035d2e648191b8bcb2aa58876896/download","下载B18私有角色元数据包")</f>
        <v>下载B18私有角色元数据包</v>
      </c>
    </row>
    <row r="130" customFormat="false" ht="17.15" hidden="false" customHeight="false" outlineLevel="0" collapsed="false">
      <c r="A130" s="40" t="s">
        <v>243</v>
      </c>
      <c r="B130" s="41" t="s">
        <v>4</v>
      </c>
      <c r="C130" s="41" t="s">
        <v>5</v>
      </c>
      <c r="D130" s="41" t="s">
        <v>244</v>
      </c>
    </row>
    <row r="131" customFormat="false" ht="66" hidden="false" customHeight="true" outlineLevel="0" collapsed="false">
      <c r="A131" s="42" t="s">
        <v>245</v>
      </c>
      <c r="B131" s="43" t="n">
        <f aca="false">B103</f>
        <v>198</v>
      </c>
      <c r="C131" s="42" t="s">
        <v>192</v>
      </c>
      <c r="D131" s="42" t="s">
        <v>246</v>
      </c>
    </row>
    <row r="132" customFormat="false" ht="66" hidden="false" customHeight="true" outlineLevel="0" collapsed="false">
      <c r="A132" s="42" t="s">
        <v>247</v>
      </c>
      <c r="B132" s="43" t="n">
        <v>5</v>
      </c>
      <c r="C132" s="42" t="s">
        <v>192</v>
      </c>
      <c r="D132" s="30" t="s">
        <v>248</v>
      </c>
    </row>
    <row r="133" customFormat="false" ht="66" hidden="false" customHeight="true" outlineLevel="0" collapsed="false">
      <c r="A133" s="42" t="s">
        <v>249</v>
      </c>
      <c r="B133" s="43" t="n">
        <f aca="false">COUNTA(B19内容验收!A2:A6)</f>
        <v>5</v>
      </c>
      <c r="C133" s="42" t="s">
        <v>192</v>
      </c>
      <c r="D133" s="42" t="s">
        <v>250</v>
      </c>
    </row>
    <row r="134" customFormat="false" ht="66" hidden="false" customHeight="true" outlineLevel="0" collapsed="false">
      <c r="A134" s="42" t="s">
        <v>251</v>
      </c>
      <c r="B134" s="43" t="n">
        <f aca="false">COUNTIF(B19内容验收!AJ2:AJ6,"内容已验收")</f>
        <v>5</v>
      </c>
      <c r="C134" s="42" t="s">
        <v>192</v>
      </c>
      <c r="D134" s="42" t="s">
        <v>252</v>
      </c>
    </row>
    <row r="135" customFormat="false" ht="66" hidden="false" customHeight="true" outlineLevel="0" collapsed="false">
      <c r="A135" s="30" t="s">
        <v>253</v>
      </c>
      <c r="B135" s="43" t="n">
        <f aca="false">SUM(B131:B132)</f>
        <v>203</v>
      </c>
      <c r="C135" s="42" t="s">
        <v>192</v>
      </c>
      <c r="D135" s="42" t="s">
        <v>254</v>
      </c>
    </row>
    <row r="136" customFormat="false" ht="66" hidden="false" customHeight="true" outlineLevel="0" collapsed="false">
      <c r="A136" s="42" t="s">
        <v>255</v>
      </c>
      <c r="B136" s="43" t="n">
        <f aca="false">SUM(B19内容验收!S2:S6)</f>
        <v>4</v>
      </c>
      <c r="C136" s="42" t="s">
        <v>67</v>
      </c>
      <c r="D136" s="42" t="s">
        <v>256</v>
      </c>
    </row>
    <row r="137" customFormat="false" ht="66" hidden="false" customHeight="true" outlineLevel="0" collapsed="false">
      <c r="A137" s="42" t="s">
        <v>257</v>
      </c>
      <c r="B137" s="43" t="n">
        <f aca="false">SUM(B19内容验收!T2:T6)</f>
        <v>1</v>
      </c>
      <c r="C137" s="42" t="s">
        <v>67</v>
      </c>
      <c r="D137" s="42" t="s">
        <v>258</v>
      </c>
    </row>
    <row r="138" customFormat="false" ht="66" hidden="false" customHeight="true" outlineLevel="0" collapsed="false">
      <c r="A138" s="42" t="s">
        <v>259</v>
      </c>
      <c r="B138" s="43" t="n">
        <f aca="false">SUM(B19内容验收!U2:U6)</f>
        <v>1</v>
      </c>
      <c r="C138" s="42" t="s">
        <v>67</v>
      </c>
      <c r="D138" s="42" t="s">
        <v>260</v>
      </c>
    </row>
    <row r="139" customFormat="false" ht="66" hidden="false" customHeight="true" outlineLevel="0" collapsed="false">
      <c r="A139" s="42" t="s">
        <v>261</v>
      </c>
      <c r="B139" s="43" t="n">
        <f aca="false">SUM(B19内容验收!V2:V6)</f>
        <v>0</v>
      </c>
      <c r="C139" s="42" t="s">
        <v>67</v>
      </c>
      <c r="D139" s="42" t="s">
        <v>262</v>
      </c>
    </row>
    <row r="140" customFormat="false" ht="66" hidden="false" customHeight="true" outlineLevel="0" collapsed="false">
      <c r="A140" s="42" t="s">
        <v>263</v>
      </c>
      <c r="B140" s="43" t="n">
        <f aca="false">SUM(B19内容验收!W2:W6)</f>
        <v>106</v>
      </c>
      <c r="C140" s="42" t="s">
        <v>64</v>
      </c>
      <c r="D140" s="42" t="s">
        <v>264</v>
      </c>
    </row>
    <row r="141" customFormat="false" ht="66" hidden="false" customHeight="true" outlineLevel="0" collapsed="false">
      <c r="A141" s="42" t="s">
        <v>265</v>
      </c>
      <c r="B141" s="43" t="n">
        <f aca="false">B12+B136</f>
        <v>49</v>
      </c>
      <c r="C141" s="42" t="s">
        <v>67</v>
      </c>
      <c r="D141" s="42" t="s">
        <v>266</v>
      </c>
    </row>
    <row r="142" customFormat="false" ht="66" hidden="false" customHeight="true" outlineLevel="0" collapsed="false">
      <c r="A142" s="42" t="s">
        <v>267</v>
      </c>
      <c r="B142" s="43" t="n">
        <f aca="false">B34+B140</f>
        <v>1349</v>
      </c>
      <c r="C142" s="42" t="s">
        <v>64</v>
      </c>
      <c r="D142" s="42" t="s">
        <v>268</v>
      </c>
    </row>
    <row r="143" customFormat="false" ht="66" hidden="false" customHeight="true" outlineLevel="0" collapsed="false">
      <c r="A143" s="42" t="s">
        <v>269</v>
      </c>
      <c r="B143" s="43" t="n">
        <f aca="false">SUM(B19内容验收!J2:J6)</f>
        <v>146</v>
      </c>
      <c r="C143" s="42" t="s">
        <v>64</v>
      </c>
      <c r="D143" s="42" t="s">
        <v>270</v>
      </c>
    </row>
    <row r="144" customFormat="false" ht="66" hidden="false" customHeight="true" outlineLevel="0" collapsed="false">
      <c r="A144" s="42" t="s">
        <v>271</v>
      </c>
      <c r="B144" s="43" t="n">
        <f aca="false">SUM(B19内容验收!K2:K6)</f>
        <v>126</v>
      </c>
      <c r="C144" s="42" t="s">
        <v>64</v>
      </c>
      <c r="D144" s="42" t="s">
        <v>272</v>
      </c>
    </row>
    <row r="145" customFormat="false" ht="66" hidden="false" customHeight="true" outlineLevel="0" collapsed="false">
      <c r="A145" s="42" t="s">
        <v>273</v>
      </c>
      <c r="B145" s="43" t="n">
        <f aca="false">SUM(B19内容验收!L2:L6)</f>
        <v>146</v>
      </c>
      <c r="C145" s="42" t="s">
        <v>64</v>
      </c>
      <c r="D145" s="42" t="s">
        <v>274</v>
      </c>
    </row>
    <row r="146" customFormat="false" ht="66" hidden="false" customHeight="true" outlineLevel="0" collapsed="false">
      <c r="A146" s="42" t="s">
        <v>275</v>
      </c>
      <c r="B146" s="43" t="n">
        <f aca="false">SUM(B19内容验收!M2:M6)</f>
        <v>126</v>
      </c>
      <c r="C146" s="42" t="s">
        <v>64</v>
      </c>
      <c r="D146" s="42" t="s">
        <v>276</v>
      </c>
    </row>
    <row r="147" customFormat="false" ht="66" hidden="false" customHeight="true" outlineLevel="0" collapsed="false">
      <c r="A147" s="42" t="s">
        <v>277</v>
      </c>
      <c r="B147" s="43" t="n">
        <f aca="false">SUM(B19内容验收!N2:N6)</f>
        <v>20</v>
      </c>
      <c r="C147" s="42" t="s">
        <v>64</v>
      </c>
      <c r="D147" s="42" t="s">
        <v>278</v>
      </c>
    </row>
    <row r="148" customFormat="false" ht="66" hidden="false" customHeight="true" outlineLevel="0" collapsed="false">
      <c r="A148" s="42" t="s">
        <v>279</v>
      </c>
      <c r="B148" s="43" t="n">
        <f aca="false">B114</f>
        <v>138</v>
      </c>
      <c r="C148" s="42" t="s">
        <v>192</v>
      </c>
      <c r="D148" s="42" t="s">
        <v>280</v>
      </c>
    </row>
    <row r="149" customFormat="false" ht="66" hidden="false" customHeight="true" outlineLevel="0" collapsed="false">
      <c r="A149" s="42" t="s">
        <v>281</v>
      </c>
      <c r="B149" s="43" t="n">
        <f aca="false">B141</f>
        <v>49</v>
      </c>
      <c r="C149" s="42" t="s">
        <v>67</v>
      </c>
      <c r="D149" s="42" t="s">
        <v>282</v>
      </c>
    </row>
    <row r="150" customFormat="false" ht="66" hidden="false" customHeight="true" outlineLevel="0" collapsed="false">
      <c r="A150" s="42" t="s">
        <v>283</v>
      </c>
      <c r="B150" s="43" t="n">
        <v>3</v>
      </c>
      <c r="C150" s="42" t="s">
        <v>67</v>
      </c>
      <c r="D150" s="42" t="s">
        <v>284</v>
      </c>
    </row>
    <row r="151" customFormat="false" ht="66" hidden="false" customHeight="true" outlineLevel="0" collapsed="false">
      <c r="A151" s="42" t="s">
        <v>285</v>
      </c>
      <c r="B151" s="43" t="n">
        <f aca="false">B150+B137</f>
        <v>4</v>
      </c>
      <c r="C151" s="42" t="s">
        <v>67</v>
      </c>
      <c r="D151" s="42" t="s">
        <v>286</v>
      </c>
    </row>
    <row r="152" customFormat="false" ht="66" hidden="false" customHeight="true" outlineLevel="0" collapsed="false">
      <c r="A152" s="42" t="s">
        <v>287</v>
      </c>
      <c r="B152" s="43" t="n">
        <f aca="false">B113-B132</f>
        <v>85</v>
      </c>
      <c r="C152" s="42" t="s">
        <v>67</v>
      </c>
      <c r="D152" s="42" t="s">
        <v>288</v>
      </c>
    </row>
    <row r="153" customFormat="false" ht="66" hidden="false" customHeight="true" outlineLevel="0" collapsed="false">
      <c r="A153" s="42" t="s">
        <v>289</v>
      </c>
      <c r="B153" s="43" t="n">
        <f aca="false">B148-B149</f>
        <v>89</v>
      </c>
      <c r="C153" s="42" t="s">
        <v>67</v>
      </c>
      <c r="D153" s="42" t="s">
        <v>290</v>
      </c>
    </row>
    <row r="154" customFormat="false" ht="66" hidden="false" customHeight="true" outlineLevel="0" collapsed="false">
      <c r="A154" s="42" t="s">
        <v>291</v>
      </c>
      <c r="B154" s="43" t="n">
        <f aca="false">B136</f>
        <v>4</v>
      </c>
      <c r="C154" s="42" t="s">
        <v>67</v>
      </c>
      <c r="D154" s="42" t="s">
        <v>292</v>
      </c>
    </row>
    <row r="155" customFormat="false" ht="66" hidden="false" customHeight="true" outlineLevel="0" collapsed="false">
      <c r="A155" s="42" t="s">
        <v>293</v>
      </c>
      <c r="B155" s="43" t="n">
        <f aca="false">B137</f>
        <v>1</v>
      </c>
      <c r="C155" s="42" t="s">
        <v>67</v>
      </c>
      <c r="D155" s="42" t="s">
        <v>294</v>
      </c>
    </row>
    <row r="156" customFormat="false" ht="66" hidden="false" customHeight="true" outlineLevel="0" collapsed="false">
      <c r="A156" s="42" t="s">
        <v>295</v>
      </c>
      <c r="B156" s="43" t="n">
        <f aca="false">B113-B154</f>
        <v>86</v>
      </c>
      <c r="C156" s="42" t="s">
        <v>67</v>
      </c>
      <c r="D156" s="42" t="s">
        <v>296</v>
      </c>
    </row>
    <row r="157" customFormat="false" ht="66" hidden="false" customHeight="true" outlineLevel="0" collapsed="false">
      <c r="A157" s="42" t="s">
        <v>297</v>
      </c>
      <c r="B157" s="42" t="s">
        <v>124</v>
      </c>
      <c r="C157" s="42" t="s">
        <v>118</v>
      </c>
      <c r="D157" s="42" t="s">
        <v>298</v>
      </c>
    </row>
    <row r="158" customFormat="false" ht="66" hidden="false" customHeight="true" outlineLevel="0" collapsed="false">
      <c r="A158" s="42" t="s">
        <v>299</v>
      </c>
      <c r="B158" s="43" t="n">
        <v>2290</v>
      </c>
      <c r="C158" s="42" t="s">
        <v>67</v>
      </c>
      <c r="D158" s="42" t="s">
        <v>300</v>
      </c>
    </row>
    <row r="159" customFormat="false" ht="66" hidden="false" customHeight="true" outlineLevel="0" collapsed="false">
      <c r="A159" s="42" t="s">
        <v>301</v>
      </c>
      <c r="B159" s="43" t="n">
        <v>16</v>
      </c>
      <c r="C159" s="42" t="s">
        <v>67</v>
      </c>
      <c r="D159" s="42" t="s">
        <v>302</v>
      </c>
    </row>
    <row r="160" customFormat="false" ht="66" hidden="false" customHeight="true" outlineLevel="0" collapsed="false">
      <c r="A160" s="42" t="s">
        <v>303</v>
      </c>
      <c r="B160" s="43" t="n">
        <v>414</v>
      </c>
      <c r="C160" s="42" t="s">
        <v>67</v>
      </c>
      <c r="D160" s="42" t="s">
        <v>304</v>
      </c>
    </row>
    <row r="161" customFormat="false" ht="66" hidden="false" customHeight="true" outlineLevel="0" collapsed="false">
      <c r="A161" s="42" t="s">
        <v>305</v>
      </c>
      <c r="B161" s="43" t="n">
        <v>2747</v>
      </c>
      <c r="C161" s="42" t="s">
        <v>67</v>
      </c>
      <c r="D161" s="42" t="s">
        <v>306</v>
      </c>
    </row>
    <row r="162" customFormat="false" ht="66" hidden="false" customHeight="true" outlineLevel="0" collapsed="false">
      <c r="A162" s="42" t="s">
        <v>307</v>
      </c>
      <c r="B162" s="43" t="n">
        <f aca="false">B158+B136</f>
        <v>2294</v>
      </c>
      <c r="C162" s="42" t="s">
        <v>67</v>
      </c>
      <c r="D162" s="42" t="s">
        <v>308</v>
      </c>
    </row>
    <row r="163" customFormat="false" ht="66" hidden="false" customHeight="true" outlineLevel="0" collapsed="false">
      <c r="A163" s="42" t="s">
        <v>309</v>
      </c>
      <c r="B163" s="43" t="n">
        <f aca="false">B159+B137</f>
        <v>17</v>
      </c>
      <c r="C163" s="42" t="s">
        <v>67</v>
      </c>
      <c r="D163" s="42" t="s">
        <v>310</v>
      </c>
    </row>
    <row r="164" customFormat="false" ht="66" hidden="false" customHeight="true" outlineLevel="0" collapsed="false">
      <c r="A164" s="42" t="s">
        <v>311</v>
      </c>
      <c r="B164" s="43" t="n">
        <f aca="false">B160+B138</f>
        <v>415</v>
      </c>
      <c r="C164" s="42" t="s">
        <v>67</v>
      </c>
      <c r="D164" s="42" t="s">
        <v>312</v>
      </c>
    </row>
    <row r="165" customFormat="false" ht="66" hidden="false" customHeight="true" outlineLevel="0" collapsed="false">
      <c r="A165" s="42" t="s">
        <v>313</v>
      </c>
      <c r="B165" s="43" t="n">
        <f aca="false">B161+B139</f>
        <v>2747</v>
      </c>
      <c r="C165" s="42" t="s">
        <v>67</v>
      </c>
      <c r="D165" s="42" t="s">
        <v>314</v>
      </c>
    </row>
    <row r="166" customFormat="false" ht="66" hidden="false" customHeight="true" outlineLevel="0" collapsed="false">
      <c r="A166" s="30" t="s">
        <v>315</v>
      </c>
      <c r="B166" s="43" t="s">
        <v>316</v>
      </c>
      <c r="C166" s="42" t="s">
        <v>118</v>
      </c>
      <c r="D166" s="30" t="s">
        <v>317</v>
      </c>
    </row>
    <row r="167" customFormat="false" ht="66" hidden="false" customHeight="true" outlineLevel="0" collapsed="false">
      <c r="A167" s="42" t="s">
        <v>318</v>
      </c>
      <c r="B167" s="43" t="n">
        <v>0</v>
      </c>
      <c r="C167" s="42" t="s">
        <v>319</v>
      </c>
      <c r="D167" s="42" t="str">
        <f aca="false">HYPERLINK("https://chatgpt.com/api/library/files/libfile_f5852bc3c2ec8191adeaa0cb46e749c3/download","下载B19私有内容元数据包")</f>
        <v>下载B19私有内容元数据包</v>
      </c>
    </row>
    <row r="168" customFormat="false" ht="66" hidden="false" customHeight="true" outlineLevel="0" collapsed="false">
      <c r="A168" s="42" t="s">
        <v>320</v>
      </c>
      <c r="B168" s="42" t="s">
        <v>321</v>
      </c>
      <c r="C168" s="42" t="s">
        <v>118</v>
      </c>
      <c r="D168" s="42" t="s">
        <v>322</v>
      </c>
    </row>
    <row r="169" customFormat="false" ht="66" hidden="false" customHeight="true" outlineLevel="0" collapsed="false">
      <c r="A169" s="42" t="s">
        <v>323</v>
      </c>
      <c r="B169" s="42" t="s">
        <v>324</v>
      </c>
      <c r="C169" s="42" t="s">
        <v>30</v>
      </c>
      <c r="D169" s="42" t="s">
        <v>325</v>
      </c>
    </row>
    <row r="171" customFormat="false" ht="17.15" hidden="false" customHeight="false" outlineLevel="0" collapsed="false">
      <c r="A171" s="44" t="s">
        <v>326</v>
      </c>
      <c r="B171" s="45" t="s">
        <v>4</v>
      </c>
      <c r="C171" s="45" t="s">
        <v>5</v>
      </c>
      <c r="D171" s="45" t="s">
        <v>327</v>
      </c>
    </row>
    <row r="172" customFormat="false" ht="54" hidden="false" customHeight="true" outlineLevel="0" collapsed="false">
      <c r="A172" s="46" t="s">
        <v>328</v>
      </c>
      <c r="B172" s="47" t="n">
        <f aca="false">B135</f>
        <v>203</v>
      </c>
      <c r="C172" s="46" t="s">
        <v>192</v>
      </c>
      <c r="D172" s="46" t="s">
        <v>329</v>
      </c>
    </row>
    <row r="173" customFormat="false" ht="54" hidden="false" customHeight="true" outlineLevel="0" collapsed="false">
      <c r="A173" s="46" t="s">
        <v>330</v>
      </c>
      <c r="B173" s="47" t="n">
        <f aca="false">COUNTIF('B20-B21主文工单'!B2:B8,"B20")</f>
        <v>6</v>
      </c>
      <c r="C173" s="46" t="s">
        <v>192</v>
      </c>
      <c r="D173" s="46" t="s">
        <v>331</v>
      </c>
    </row>
    <row r="174" customFormat="false" ht="54" hidden="false" customHeight="true" outlineLevel="0" collapsed="false">
      <c r="A174" s="46" t="s">
        <v>332</v>
      </c>
      <c r="B174" s="47" t="n">
        <f aca="false">COUNTIF('B20-B21主文工单'!B2:B8,"B21")</f>
        <v>1</v>
      </c>
      <c r="C174" s="46" t="s">
        <v>192</v>
      </c>
      <c r="D174" s="46" t="s">
        <v>333</v>
      </c>
    </row>
    <row r="175" customFormat="false" ht="54" hidden="false" customHeight="true" outlineLevel="0" collapsed="false">
      <c r="A175" s="46" t="s">
        <v>334</v>
      </c>
      <c r="B175" s="47" t="n">
        <f aca="false">SUM('B20-B21主文工单'!V2:V8)</f>
        <v>7</v>
      </c>
      <c r="C175" s="46" t="s">
        <v>192</v>
      </c>
      <c r="D175" s="46" t="s">
        <v>335</v>
      </c>
    </row>
    <row r="176" customFormat="false" ht="54" hidden="false" customHeight="true" outlineLevel="0" collapsed="false">
      <c r="A176" s="46" t="s">
        <v>336</v>
      </c>
      <c r="B176" s="47" t="n">
        <f aca="false">B172+B175</f>
        <v>210</v>
      </c>
      <c r="C176" s="46" t="s">
        <v>192</v>
      </c>
      <c r="D176" s="46" t="s">
        <v>337</v>
      </c>
    </row>
    <row r="177" customFormat="false" ht="54" hidden="false" customHeight="true" outlineLevel="0" collapsed="false">
      <c r="A177" s="46" t="s">
        <v>338</v>
      </c>
      <c r="B177" s="47" t="n">
        <f aca="false">COUNTIF('B20-B21主文工单'!W2:W8,"范围已验收")</f>
        <v>7</v>
      </c>
      <c r="C177" s="46" t="s">
        <v>192</v>
      </c>
      <c r="D177" s="46" t="s">
        <v>339</v>
      </c>
    </row>
    <row r="178" customFormat="false" ht="54" hidden="false" customHeight="true" outlineLevel="0" collapsed="false">
      <c r="A178" s="46" t="s">
        <v>340</v>
      </c>
      <c r="B178" s="47" t="n">
        <f aca="false">IF(AND(COUNTIF('B20-B21主文工单'!W2:W8,"范围已验收")=7,SUM('B20-B21主文工单'!U2:U8)=COUNTIF('B20-B21主文工单'!F2:F8,"既存主文标记纠正")),SUM('B20-B21主文工单'!U2:U8),"范围冲突")</f>
        <v>2</v>
      </c>
      <c r="C178" s="46" t="s">
        <v>67</v>
      </c>
      <c r="D178" s="46" t="s">
        <v>341</v>
      </c>
    </row>
    <row r="179" customFormat="false" ht="54" hidden="false" customHeight="true" outlineLevel="0" collapsed="false">
      <c r="A179" s="46" t="s">
        <v>342</v>
      </c>
      <c r="B179" s="47" t="n">
        <f aca="false">IF(COUNTIF('B20-B21主文工单'!W2:W8,"范围已验收")=7,SUM('B20-B21主文工单'!N2:N8),"范围冲突")</f>
        <v>0</v>
      </c>
      <c r="C179" s="46" t="s">
        <v>67</v>
      </c>
      <c r="D179" s="46" t="s">
        <v>343</v>
      </c>
    </row>
    <row r="180" customFormat="false" ht="54" hidden="false" customHeight="true" outlineLevel="0" collapsed="false">
      <c r="A180" s="46" t="s">
        <v>344</v>
      </c>
      <c r="B180" s="47" t="n">
        <f aca="false">IF(COUNTIF('B20-B21主文工单'!W2:W8,"范围已验收")=7,SUM('B20-B21主文工单'!O2:O8),"范围冲突")</f>
        <v>0</v>
      </c>
      <c r="C180" s="46" t="s">
        <v>67</v>
      </c>
      <c r="D180" s="46" t="s">
        <v>345</v>
      </c>
    </row>
    <row r="181" customFormat="false" ht="54" hidden="false" customHeight="true" outlineLevel="0" collapsed="false">
      <c r="A181" s="46" t="s">
        <v>346</v>
      </c>
      <c r="B181" s="47" t="n">
        <f aca="false">IF(COUNTIF('B20-B21主文工单'!W2:W8,"范围已验收")=7,SUM('B20-B21主文工单'!P2:P8),"范围冲突")</f>
        <v>0</v>
      </c>
      <c r="C181" s="46" t="s">
        <v>67</v>
      </c>
      <c r="D181" s="46" t="s">
        <v>347</v>
      </c>
    </row>
    <row r="182" customFormat="false" ht="54" hidden="false" customHeight="true" outlineLevel="0" collapsed="false">
      <c r="A182" s="46" t="s">
        <v>348</v>
      </c>
      <c r="B182" s="47" t="n">
        <f aca="false">IF(COUNTIF('B20-B21主文工单'!W2:W8,"范围已验收")=7,SUM('B20-B21主文工单'!Q2:Q8),"范围冲突")</f>
        <v>0</v>
      </c>
      <c r="C182" s="46" t="s">
        <v>349</v>
      </c>
      <c r="D182" s="46" t="s">
        <v>350</v>
      </c>
    </row>
    <row r="183" customFormat="false" ht="54" hidden="false" customHeight="true" outlineLevel="0" collapsed="false">
      <c r="A183" s="46" t="s">
        <v>351</v>
      </c>
      <c r="B183" s="47" t="n">
        <f aca="false">IF(COUNTIF('B20-B21主文工单'!W2:W8,"范围已验收")=7,SUM('B20-B21主文工单'!R2:R8),"范围冲突")</f>
        <v>0</v>
      </c>
      <c r="C183" s="46" t="s">
        <v>26</v>
      </c>
      <c r="D183" s="46" t="s">
        <v>352</v>
      </c>
    </row>
    <row r="184" customFormat="false" ht="54" hidden="false" customHeight="true" outlineLevel="0" collapsed="false">
      <c r="A184" s="46" t="s">
        <v>353</v>
      </c>
      <c r="B184" s="47" t="n">
        <f aca="false">IF(COUNTIF('B20-B21主文工单'!W2:W8,"范围已验收")=7,SUM('B20-B21主文工单'!S2:S8),"范围冲突")</f>
        <v>0</v>
      </c>
      <c r="C184" s="46" t="s">
        <v>354</v>
      </c>
      <c r="D184" s="46" t="s">
        <v>355</v>
      </c>
    </row>
    <row r="185" customFormat="false" ht="54" hidden="false" customHeight="true" outlineLevel="0" collapsed="false">
      <c r="A185" s="46" t="s">
        <v>356</v>
      </c>
      <c r="B185" s="47" t="n">
        <f aca="false">IF(COUNTIF('B20-B21主文工单'!W2:W8,"范围已验收")=7,SUM('B20-B21主文工单'!T2:T8),"范围冲突")</f>
        <v>0</v>
      </c>
      <c r="C185" s="46" t="s">
        <v>26</v>
      </c>
      <c r="D185" s="46" t="s">
        <v>357</v>
      </c>
    </row>
    <row r="186" customFormat="false" ht="54" hidden="false" customHeight="true" outlineLevel="0" collapsed="false">
      <c r="A186" s="46" t="s">
        <v>358</v>
      </c>
      <c r="B186" s="47" t="n">
        <v>0</v>
      </c>
      <c r="C186" s="46" t="s">
        <v>67</v>
      </c>
      <c r="D186" s="46" t="s">
        <v>359</v>
      </c>
    </row>
    <row r="187" customFormat="false" ht="54" hidden="false" customHeight="true" outlineLevel="0" collapsed="false">
      <c r="A187" s="46" t="s">
        <v>360</v>
      </c>
      <c r="B187" s="47" t="n">
        <v>0</v>
      </c>
      <c r="C187" s="46" t="s">
        <v>67</v>
      </c>
      <c r="D187" s="46" t="s">
        <v>361</v>
      </c>
    </row>
    <row r="188" customFormat="false" ht="54" hidden="false" customHeight="true" outlineLevel="0" collapsed="false">
      <c r="A188" s="46" t="s">
        <v>362</v>
      </c>
      <c r="B188" s="47" t="n">
        <f aca="false">B141+B179</f>
        <v>49</v>
      </c>
      <c r="C188" s="46" t="s">
        <v>67</v>
      </c>
      <c r="D188" s="46" t="s">
        <v>363</v>
      </c>
    </row>
    <row r="189" customFormat="false" ht="54" hidden="false" customHeight="true" outlineLevel="0" collapsed="false">
      <c r="A189" s="46" t="s">
        <v>364</v>
      </c>
      <c r="B189" s="47" t="n">
        <f aca="false">B142</f>
        <v>1349</v>
      </c>
      <c r="C189" s="46" t="s">
        <v>64</v>
      </c>
      <c r="D189" s="46" t="s">
        <v>365</v>
      </c>
    </row>
    <row r="190" customFormat="false" ht="54" hidden="false" customHeight="true" outlineLevel="0" collapsed="false">
      <c r="A190" s="46" t="s">
        <v>366</v>
      </c>
      <c r="B190" s="47" t="n">
        <f aca="false">COUNTIF('B20-B21主文工单'!F2:F8,"未取得主文")</f>
        <v>5</v>
      </c>
      <c r="C190" s="46" t="s">
        <v>26</v>
      </c>
      <c r="D190" s="46" t="s">
        <v>367</v>
      </c>
    </row>
    <row r="191" customFormat="false" ht="54" hidden="false" customHeight="true" outlineLevel="0" collapsed="false">
      <c r="A191" s="46" t="s">
        <v>368</v>
      </c>
      <c r="B191" s="47" t="s">
        <v>369</v>
      </c>
      <c r="C191" s="46" t="s">
        <v>370</v>
      </c>
      <c r="D191" s="46" t="s">
        <v>371</v>
      </c>
    </row>
    <row r="192" customFormat="false" ht="54" hidden="false" customHeight="true" outlineLevel="0" collapsed="false">
      <c r="A192" s="46" t="s">
        <v>372</v>
      </c>
      <c r="B192" s="47" t="s">
        <v>373</v>
      </c>
      <c r="C192" s="46" t="s">
        <v>370</v>
      </c>
      <c r="D192" s="46" t="s">
        <v>374</v>
      </c>
    </row>
    <row r="193" customFormat="false" ht="54" hidden="false" customHeight="true" outlineLevel="0" collapsed="false">
      <c r="A193" s="46" t="s">
        <v>375</v>
      </c>
      <c r="B193" s="47" t="n">
        <v>2749</v>
      </c>
      <c r="C193" s="46" t="s">
        <v>67</v>
      </c>
      <c r="D193" s="46" t="s">
        <v>376</v>
      </c>
    </row>
    <row r="194" customFormat="false" ht="54" hidden="false" customHeight="true" outlineLevel="0" collapsed="false">
      <c r="A194" s="46" t="s">
        <v>377</v>
      </c>
      <c r="B194" s="47" t="n">
        <v>2749</v>
      </c>
      <c r="C194" s="46" t="s">
        <v>67</v>
      </c>
      <c r="D194" s="46" t="s">
        <v>378</v>
      </c>
    </row>
    <row r="195" customFormat="false" ht="54" hidden="false" customHeight="true" outlineLevel="0" collapsed="false">
      <c r="A195" s="46" t="s">
        <v>379</v>
      </c>
      <c r="B195" s="47" t="n">
        <v>2294</v>
      </c>
      <c r="C195" s="46" t="s">
        <v>67</v>
      </c>
      <c r="D195" s="46" t="s">
        <v>380</v>
      </c>
    </row>
    <row r="196" customFormat="false" ht="54" hidden="false" customHeight="true" outlineLevel="0" collapsed="false">
      <c r="A196" s="46" t="s">
        <v>381</v>
      </c>
      <c r="B196" s="47" t="n">
        <v>17</v>
      </c>
      <c r="C196" s="46" t="s">
        <v>67</v>
      </c>
      <c r="D196" s="46" t="s">
        <v>380</v>
      </c>
    </row>
    <row r="197" customFormat="false" ht="54" hidden="false" customHeight="true" outlineLevel="0" collapsed="false">
      <c r="A197" s="46" t="s">
        <v>382</v>
      </c>
      <c r="B197" s="47" t="n">
        <v>415</v>
      </c>
      <c r="C197" s="46" t="s">
        <v>67</v>
      </c>
      <c r="D197" s="46" t="s">
        <v>380</v>
      </c>
    </row>
    <row r="198" customFormat="false" ht="54" hidden="false" customHeight="true" outlineLevel="0" collapsed="false">
      <c r="A198" s="46" t="s">
        <v>383</v>
      </c>
      <c r="B198" s="47" t="n">
        <v>1</v>
      </c>
      <c r="C198" s="46" t="s">
        <v>384</v>
      </c>
      <c r="D198" s="46" t="str">
        <f aca="false">HYPERLINK("https://chatgpt.com/api/library/files/libfile_8e1c01162e948191882edfe0b896b03b/download","下载B20–B21私有元数据包")</f>
        <v>下载B20–B21私有元数据包</v>
      </c>
    </row>
    <row r="199" customFormat="false" ht="54" hidden="false" customHeight="true" outlineLevel="0" collapsed="false">
      <c r="A199" s="46" t="s">
        <v>385</v>
      </c>
      <c r="B199" s="47" t="n">
        <f aca="false">'B20-B21主文工单'!K13</f>
        <v>1273</v>
      </c>
      <c r="C199" s="46" t="s">
        <v>67</v>
      </c>
      <c r="D199" s="46" t="s">
        <v>386</v>
      </c>
    </row>
    <row r="200" customFormat="false" ht="54" hidden="false" customHeight="true" outlineLevel="0" collapsed="false">
      <c r="A200" s="46" t="s">
        <v>387</v>
      </c>
      <c r="B200" s="47" t="n">
        <f aca="false">'B20-B21主文工单'!L13</f>
        <v>1376</v>
      </c>
      <c r="C200" s="46" t="s">
        <v>67</v>
      </c>
      <c r="D200" s="46" t="s">
        <v>388</v>
      </c>
    </row>
    <row r="201" customFormat="false" ht="54" hidden="false" customHeight="true" outlineLevel="0" collapsed="false">
      <c r="A201" s="46" t="s">
        <v>389</v>
      </c>
      <c r="B201" s="47" t="n">
        <f aca="false">'B20-B21主文工单'!M13</f>
        <v>1378</v>
      </c>
      <c r="C201" s="46" t="s">
        <v>67</v>
      </c>
      <c r="D201" s="46" t="s">
        <v>390</v>
      </c>
    </row>
    <row r="202" customFormat="false" ht="54" hidden="false" customHeight="true" outlineLevel="0" collapsed="false">
      <c r="A202" s="46" t="s">
        <v>391</v>
      </c>
      <c r="B202" s="47" t="n">
        <f aca="false">'B20-B21主文工单'!N13</f>
        <v>103</v>
      </c>
      <c r="C202" s="46" t="s">
        <v>67</v>
      </c>
      <c r="D202" s="46" t="s">
        <v>392</v>
      </c>
    </row>
    <row r="203" customFormat="false" ht="54" hidden="false" customHeight="true" outlineLevel="0" collapsed="false">
      <c r="A203" s="46" t="s">
        <v>393</v>
      </c>
      <c r="B203" s="47" t="n">
        <f aca="false">IF('B20-B21主文工单'!O13='B20-B21主文工单'!P13,'B20-B21主文工单'!O13,"范围冲突")</f>
        <v>2</v>
      </c>
      <c r="C203" s="46" t="s">
        <v>67</v>
      </c>
      <c r="D203" s="46" t="s">
        <v>394</v>
      </c>
    </row>
    <row r="204" customFormat="false" ht="54" hidden="false" customHeight="true" outlineLevel="0" collapsed="false">
      <c r="A204" s="46" t="s">
        <v>395</v>
      </c>
      <c r="B204" s="47" t="s">
        <v>396</v>
      </c>
      <c r="C204" s="46" t="s">
        <v>397</v>
      </c>
      <c r="D204" s="46" t="s">
        <v>398</v>
      </c>
    </row>
    <row r="205" customFormat="false" ht="54" hidden="false" customHeight="true" outlineLevel="0" collapsed="false">
      <c r="A205" s="46" t="s">
        <v>399</v>
      </c>
      <c r="B205" s="47" t="s">
        <v>400</v>
      </c>
      <c r="C205" s="46" t="s">
        <v>397</v>
      </c>
      <c r="D205" s="46" t="s">
        <v>401</v>
      </c>
    </row>
    <row r="206" customFormat="false" ht="54" hidden="false" customHeight="true" outlineLevel="0" collapsed="false">
      <c r="A206" s="46" t="s">
        <v>402</v>
      </c>
      <c r="B206" s="46" t="s">
        <v>403</v>
      </c>
      <c r="C206" s="46" t="s">
        <v>404</v>
      </c>
      <c r="D206" s="46" t="s">
        <v>405</v>
      </c>
    </row>
    <row r="207" customFormat="false" ht="54" hidden="false" customHeight="true" outlineLevel="0" collapsed="false">
      <c r="A207" s="46" t="s">
        <v>406</v>
      </c>
      <c r="B207" s="46" t="s">
        <v>407</v>
      </c>
      <c r="C207" s="46" t="s">
        <v>408</v>
      </c>
      <c r="D207" s="46" t="s">
        <v>409</v>
      </c>
    </row>
    <row r="208" customFormat="false" ht="54" hidden="false" customHeight="true" outlineLevel="0" collapsed="false">
      <c r="A208" s="46" t="s">
        <v>410</v>
      </c>
      <c r="B208" s="46" t="s">
        <v>411</v>
      </c>
      <c r="C208" s="46" t="s">
        <v>118</v>
      </c>
      <c r="D208" s="46" t="s">
        <v>412</v>
      </c>
    </row>
    <row r="209" customFormat="false" ht="54" hidden="false" customHeight="true" outlineLevel="0" collapsed="false">
      <c r="A209" s="46" t="s">
        <v>413</v>
      </c>
      <c r="B209" s="46" t="s">
        <v>414</v>
      </c>
      <c r="C209" s="46" t="s">
        <v>30</v>
      </c>
      <c r="D209" s="46" t="s">
        <v>415</v>
      </c>
    </row>
    <row r="210" customFormat="false" ht="54" hidden="false" customHeight="true" outlineLevel="0" collapsed="false">
      <c r="A210" s="46" t="s">
        <v>416</v>
      </c>
      <c r="B210" s="46" t="s">
        <v>124</v>
      </c>
      <c r="C210" s="46" t="s">
        <v>118</v>
      </c>
      <c r="D210" s="46" t="s">
        <v>417</v>
      </c>
    </row>
    <row r="212" customFormat="false" ht="17.15" hidden="false" customHeight="false" outlineLevel="0" collapsed="false">
      <c r="A212" s="48" t="s">
        <v>418</v>
      </c>
      <c r="B212" s="49" t="s">
        <v>4</v>
      </c>
      <c r="C212" s="49" t="s">
        <v>5</v>
      </c>
      <c r="D212" s="49" t="s">
        <v>419</v>
      </c>
    </row>
    <row r="213" customFormat="false" ht="54" hidden="false" customHeight="true" outlineLevel="0" collapsed="false">
      <c r="A213" s="50" t="s">
        <v>420</v>
      </c>
      <c r="B213" s="51" t="n">
        <f aca="false">B176</f>
        <v>210</v>
      </c>
      <c r="C213" s="50" t="s">
        <v>192</v>
      </c>
      <c r="D213" s="50" t="s">
        <v>421</v>
      </c>
    </row>
    <row r="214" customFormat="false" ht="54" hidden="false" customHeight="true" outlineLevel="0" collapsed="false">
      <c r="A214" s="50" t="s">
        <v>422</v>
      </c>
      <c r="B214" s="51" t="n">
        <f aca="false">SUM(B22内容验收!AA2:AA9)</f>
        <v>8</v>
      </c>
      <c r="C214" s="50" t="s">
        <v>192</v>
      </c>
      <c r="D214" s="50" t="s">
        <v>423</v>
      </c>
    </row>
    <row r="215" customFormat="false" ht="54" hidden="false" customHeight="true" outlineLevel="0" collapsed="false">
      <c r="A215" s="23" t="s">
        <v>424</v>
      </c>
      <c r="B215" s="51" t="n">
        <f aca="false">B213+B214</f>
        <v>218</v>
      </c>
      <c r="C215" s="50" t="s">
        <v>192</v>
      </c>
      <c r="D215" s="50" t="s">
        <v>425</v>
      </c>
    </row>
    <row r="216" customFormat="false" ht="54" hidden="false" customHeight="true" outlineLevel="0" collapsed="false">
      <c r="A216" s="50" t="s">
        <v>426</v>
      </c>
      <c r="B216" s="51" t="n">
        <f aca="false">IF(COUNTIF(B22内容验收!AB2:AB9,"范围已验收")=8,SUM(B22内容验收!Y2:Y9),"范围冲突")</f>
        <v>8</v>
      </c>
      <c r="C216" s="50" t="s">
        <v>67</v>
      </c>
      <c r="D216" s="50" t="s">
        <v>427</v>
      </c>
    </row>
    <row r="217" customFormat="false" ht="54" hidden="false" customHeight="true" outlineLevel="0" collapsed="false">
      <c r="A217" s="50" t="s">
        <v>428</v>
      </c>
      <c r="B217" s="51" t="n">
        <f aca="false">IF(COUNTIF(B22内容验收!AB2:AB9,"范围已验收")=8,SUM(B22内容验收!V2:V9),"范围冲突")</f>
        <v>0</v>
      </c>
      <c r="C217" s="50" t="s">
        <v>67</v>
      </c>
      <c r="D217" s="50" t="s">
        <v>429</v>
      </c>
    </row>
    <row r="218" customFormat="false" ht="54" hidden="false" customHeight="true" outlineLevel="0" collapsed="false">
      <c r="A218" s="50" t="s">
        <v>430</v>
      </c>
      <c r="B218" s="51" t="n">
        <f aca="false">IF(COUNTIF(B22内容验收!AB2:AB9,"范围已验收")=8,SUM(B22内容验收!W2:W9),"范围冲突")</f>
        <v>0</v>
      </c>
      <c r="C218" s="50" t="s">
        <v>67</v>
      </c>
      <c r="D218" s="50" t="s">
        <v>431</v>
      </c>
    </row>
    <row r="219" customFormat="false" ht="54" hidden="false" customHeight="true" outlineLevel="0" collapsed="false">
      <c r="A219" s="50" t="s">
        <v>432</v>
      </c>
      <c r="B219" s="51" t="n">
        <f aca="false">IF(COUNTIF(B22内容验收!AB2:AB9,"范围已验收")=8,SUM(B22内容验收!X2:X9),"范围冲突")</f>
        <v>0</v>
      </c>
      <c r="C219" s="50" t="s">
        <v>67</v>
      </c>
      <c r="D219" s="50" t="s">
        <v>433</v>
      </c>
    </row>
    <row r="220" customFormat="false" ht="54" hidden="false" customHeight="true" outlineLevel="0" collapsed="false">
      <c r="A220" s="50" t="s">
        <v>434</v>
      </c>
      <c r="B220" s="51" t="n">
        <f aca="false">IF(COUNTIF(B22内容验收!AB2:AB9,"范围已验收")=8,SUM(B22内容验收!Q2:Q9),"范围冲突")</f>
        <v>0</v>
      </c>
      <c r="C220" s="50" t="s">
        <v>67</v>
      </c>
      <c r="D220" s="50" t="s">
        <v>435</v>
      </c>
    </row>
    <row r="221" customFormat="false" ht="54" hidden="false" customHeight="true" outlineLevel="0" collapsed="false">
      <c r="A221" s="50" t="s">
        <v>348</v>
      </c>
      <c r="B221" s="51" t="n">
        <f aca="false">IF(COUNTIF(B22内容验收!AB2:AB9,"范围已验收")=8,SUM(B22内容验收!R2:R9),"范围冲突")</f>
        <v>0</v>
      </c>
      <c r="C221" s="50" t="s">
        <v>349</v>
      </c>
      <c r="D221" s="50" t="s">
        <v>436</v>
      </c>
    </row>
    <row r="222" customFormat="false" ht="54" hidden="false" customHeight="true" outlineLevel="0" collapsed="false">
      <c r="A222" s="50" t="s">
        <v>351</v>
      </c>
      <c r="B222" s="51" t="n">
        <f aca="false">IF(COUNTIF(B22内容验收!AB2:AB9,"范围已验收")=8,SUM(B22内容验收!S2:S9),"范围冲突")</f>
        <v>0</v>
      </c>
      <c r="C222" s="50" t="s">
        <v>26</v>
      </c>
      <c r="D222" s="50" t="s">
        <v>437</v>
      </c>
    </row>
    <row r="223" customFormat="false" ht="54" hidden="false" customHeight="true" outlineLevel="0" collapsed="false">
      <c r="A223" s="50" t="s">
        <v>353</v>
      </c>
      <c r="B223" s="51" t="n">
        <f aca="false">IF(COUNTIF(B22内容验收!AB2:AB9,"范围已验收")=8,SUM(B22内容验收!T2:T9),"范围冲突")</f>
        <v>0</v>
      </c>
      <c r="C223" s="50" t="s">
        <v>354</v>
      </c>
      <c r="D223" s="50" t="s">
        <v>438</v>
      </c>
    </row>
    <row r="224" customFormat="false" ht="54" hidden="false" customHeight="true" outlineLevel="0" collapsed="false">
      <c r="A224" s="50" t="s">
        <v>356</v>
      </c>
      <c r="B224" s="51" t="n">
        <f aca="false">IF(COUNTIF(B22内容验收!AB2:AB9,"范围已验收")=8,SUM(B22内容验收!U2:U9),"范围冲突")</f>
        <v>0</v>
      </c>
      <c r="C224" s="50" t="s">
        <v>26</v>
      </c>
      <c r="D224" s="50" t="s">
        <v>439</v>
      </c>
    </row>
    <row r="225" customFormat="false" ht="54" hidden="false" customHeight="true" outlineLevel="0" collapsed="false">
      <c r="A225" s="50" t="s">
        <v>440</v>
      </c>
      <c r="B225" s="51" t="n">
        <f aca="false">IF(COUNTIF(B22内容验收!AB2:AB9,"范围已验收")=8,SUM(B22内容验收!Z2:Z9),"范围冲突")</f>
        <v>636</v>
      </c>
      <c r="C225" s="50" t="s">
        <v>64</v>
      </c>
      <c r="D225" s="50" t="s">
        <v>441</v>
      </c>
    </row>
    <row r="226" customFormat="false" ht="54" hidden="false" customHeight="true" outlineLevel="0" collapsed="false">
      <c r="A226" s="23" t="s">
        <v>442</v>
      </c>
      <c r="B226" s="51" t="n">
        <f aca="false">B188+B216</f>
        <v>57</v>
      </c>
      <c r="C226" s="50" t="s">
        <v>67</v>
      </c>
      <c r="D226" s="50" t="s">
        <v>443</v>
      </c>
    </row>
    <row r="227" customFormat="false" ht="54" hidden="false" customHeight="true" outlineLevel="0" collapsed="false">
      <c r="A227" s="23" t="s">
        <v>444</v>
      </c>
      <c r="B227" s="51" t="n">
        <f aca="false">B189+B225</f>
        <v>1985</v>
      </c>
      <c r="C227" s="50" t="s">
        <v>64</v>
      </c>
      <c r="D227" s="50" t="s">
        <v>445</v>
      </c>
    </row>
    <row r="228" customFormat="false" ht="54" hidden="false" customHeight="true" outlineLevel="0" collapsed="false">
      <c r="A228" s="23" t="s">
        <v>446</v>
      </c>
      <c r="B228" s="51" t="n">
        <f aca="false">B149+B216</f>
        <v>57</v>
      </c>
      <c r="C228" s="50" t="s">
        <v>67</v>
      </c>
      <c r="D228" s="50" t="s">
        <v>447</v>
      </c>
    </row>
    <row r="229" customFormat="false" ht="54" hidden="false" customHeight="true" outlineLevel="0" collapsed="false">
      <c r="A229" s="23" t="s">
        <v>448</v>
      </c>
      <c r="B229" s="51" t="n">
        <f aca="false">B151</f>
        <v>4</v>
      </c>
      <c r="C229" s="50" t="s">
        <v>67</v>
      </c>
      <c r="D229" s="50" t="s">
        <v>449</v>
      </c>
    </row>
    <row r="230" customFormat="false" ht="54" hidden="false" customHeight="true" outlineLevel="0" collapsed="false">
      <c r="A230" s="23" t="s">
        <v>450</v>
      </c>
      <c r="B230" s="51" t="n">
        <f aca="false">B152-B216</f>
        <v>77</v>
      </c>
      <c r="C230" s="50" t="s">
        <v>67</v>
      </c>
      <c r="D230" s="50" t="s">
        <v>451</v>
      </c>
    </row>
    <row r="231" customFormat="false" ht="54" hidden="false" customHeight="true" outlineLevel="0" collapsed="false">
      <c r="A231" s="23" t="s">
        <v>452</v>
      </c>
      <c r="B231" s="51" t="n">
        <f aca="false">B229+B230</f>
        <v>81</v>
      </c>
      <c r="C231" s="50" t="s">
        <v>67</v>
      </c>
      <c r="D231" s="50" t="s">
        <v>453</v>
      </c>
    </row>
    <row r="232" customFormat="false" ht="54" hidden="false" customHeight="true" outlineLevel="0" collapsed="false">
      <c r="A232" s="23" t="s">
        <v>454</v>
      </c>
      <c r="B232" s="51" t="n">
        <f aca="false">B154+B216</f>
        <v>12</v>
      </c>
      <c r="C232" s="50" t="s">
        <v>67</v>
      </c>
      <c r="D232" s="50" t="s">
        <v>455</v>
      </c>
    </row>
    <row r="233" customFormat="false" ht="54" hidden="false" customHeight="true" outlineLevel="0" collapsed="false">
      <c r="A233" s="23" t="s">
        <v>456</v>
      </c>
      <c r="B233" s="51" t="n">
        <f aca="false">B155</f>
        <v>1</v>
      </c>
      <c r="C233" s="50" t="s">
        <v>67</v>
      </c>
      <c r="D233" s="50" t="s">
        <v>457</v>
      </c>
    </row>
    <row r="234" customFormat="false" ht="54" hidden="false" customHeight="true" outlineLevel="0" collapsed="false">
      <c r="A234" s="23" t="s">
        <v>458</v>
      </c>
      <c r="B234" s="51" t="n">
        <f aca="false">B152-B216</f>
        <v>77</v>
      </c>
      <c r="C234" s="50" t="s">
        <v>67</v>
      </c>
      <c r="D234" s="50" t="s">
        <v>451</v>
      </c>
    </row>
    <row r="235" customFormat="false" ht="54" hidden="false" customHeight="true" outlineLevel="0" collapsed="false">
      <c r="A235" s="23" t="s">
        <v>459</v>
      </c>
      <c r="B235" s="51" t="n">
        <f aca="false">B233+B234</f>
        <v>78</v>
      </c>
      <c r="C235" s="50" t="s">
        <v>67</v>
      </c>
      <c r="D235" s="50" t="s">
        <v>460</v>
      </c>
    </row>
    <row r="236" customFormat="false" ht="54" hidden="false" customHeight="true" outlineLevel="0" collapsed="false">
      <c r="A236" s="50" t="s">
        <v>461</v>
      </c>
      <c r="B236" s="51" t="n">
        <f aca="false">COUNTIF(B22内容验收!N2:N9,"needs_review")</f>
        <v>8</v>
      </c>
      <c r="C236" s="50" t="s">
        <v>67</v>
      </c>
      <c r="D236" s="50" t="s">
        <v>462</v>
      </c>
    </row>
    <row r="237" customFormat="false" ht="54" hidden="false" customHeight="true" outlineLevel="0" collapsed="false">
      <c r="A237" s="50" t="s">
        <v>463</v>
      </c>
      <c r="B237" s="51" t="n">
        <f aca="false">SUM(B22内容验收!I2:I9)</f>
        <v>636</v>
      </c>
      <c r="C237" s="50" t="s">
        <v>64</v>
      </c>
      <c r="D237" s="50" t="s">
        <v>464</v>
      </c>
    </row>
    <row r="238" customFormat="false" ht="54" hidden="false" customHeight="true" outlineLevel="0" collapsed="false">
      <c r="A238" s="50" t="s">
        <v>465</v>
      </c>
      <c r="B238" s="51" t="n">
        <f aca="false">SUM(B22内容验收!K2:K9)</f>
        <v>636</v>
      </c>
      <c r="C238" s="50" t="s">
        <v>64</v>
      </c>
      <c r="D238" s="50" t="s">
        <v>466</v>
      </c>
    </row>
    <row r="239" customFormat="false" ht="54" hidden="false" customHeight="true" outlineLevel="0" collapsed="false">
      <c r="A239" s="23" t="s">
        <v>467</v>
      </c>
      <c r="B239" s="51" t="s">
        <v>468</v>
      </c>
      <c r="C239" s="50" t="s">
        <v>370</v>
      </c>
      <c r="D239" s="50" t="s">
        <v>371</v>
      </c>
    </row>
    <row r="240" customFormat="false" ht="54" hidden="false" customHeight="true" outlineLevel="0" collapsed="false">
      <c r="A240" s="23" t="s">
        <v>469</v>
      </c>
      <c r="B240" s="51" t="s">
        <v>470</v>
      </c>
      <c r="C240" s="50" t="s">
        <v>370</v>
      </c>
      <c r="D240" s="50" t="s">
        <v>471</v>
      </c>
    </row>
    <row r="241" customFormat="false" ht="54" hidden="false" customHeight="true" outlineLevel="0" collapsed="false">
      <c r="A241" s="23" t="s">
        <v>472</v>
      </c>
      <c r="B241" s="51" t="n">
        <v>2302</v>
      </c>
      <c r="C241" s="50" t="s">
        <v>67</v>
      </c>
      <c r="D241" s="50" t="s">
        <v>473</v>
      </c>
    </row>
    <row r="242" customFormat="false" ht="54" hidden="false" customHeight="true" outlineLevel="0" collapsed="false">
      <c r="A242" s="23" t="s">
        <v>474</v>
      </c>
      <c r="B242" s="51" t="n">
        <v>17</v>
      </c>
      <c r="C242" s="50" t="s">
        <v>67</v>
      </c>
      <c r="D242" s="50" t="s">
        <v>475</v>
      </c>
    </row>
    <row r="243" customFormat="false" ht="54" hidden="false" customHeight="true" outlineLevel="0" collapsed="false">
      <c r="A243" s="23" t="s">
        <v>476</v>
      </c>
      <c r="B243" s="51" t="n">
        <v>2749</v>
      </c>
      <c r="C243" s="50" t="s">
        <v>67</v>
      </c>
      <c r="D243" s="50" t="s">
        <v>477</v>
      </c>
    </row>
    <row r="244" customFormat="false" ht="54" hidden="false" customHeight="true" outlineLevel="0" collapsed="false">
      <c r="A244" s="23" t="s">
        <v>478</v>
      </c>
      <c r="B244" s="51" t="n">
        <v>415</v>
      </c>
      <c r="C244" s="50" t="s">
        <v>67</v>
      </c>
      <c r="D244" s="50" t="s">
        <v>479</v>
      </c>
    </row>
    <row r="245" customFormat="false" ht="54" hidden="false" customHeight="true" outlineLevel="0" collapsed="false">
      <c r="A245" s="50" t="s">
        <v>480</v>
      </c>
      <c r="B245" s="51" t="s">
        <v>481</v>
      </c>
      <c r="C245" s="50" t="s">
        <v>67</v>
      </c>
      <c r="D245" s="50" t="s">
        <v>482</v>
      </c>
    </row>
    <row r="246" customFormat="false" ht="54" hidden="false" customHeight="true" outlineLevel="0" collapsed="false">
      <c r="A246" s="50" t="s">
        <v>483</v>
      </c>
      <c r="B246" s="51" t="n">
        <v>0</v>
      </c>
      <c r="C246" s="50" t="s">
        <v>384</v>
      </c>
      <c r="D246" s="50" t="str">
        <f aca="false">HYPERLINK("https://chatgpt.com/api/library/files/libfile_c73df2b707e48191921be9794e06632c/download","下载B22私有元数据包")</f>
        <v>下载B22私有元数据包</v>
      </c>
    </row>
    <row r="247" customFormat="false" ht="54" hidden="false" customHeight="true" outlineLevel="0" collapsed="false">
      <c r="A247" s="23" t="s">
        <v>484</v>
      </c>
      <c r="B247" s="50" t="s">
        <v>124</v>
      </c>
      <c r="C247" s="50" t="s">
        <v>118</v>
      </c>
      <c r="D247" s="50" t="s">
        <v>485</v>
      </c>
    </row>
    <row r="248" customFormat="false" ht="54" hidden="false" customHeight="true" outlineLevel="0" collapsed="false">
      <c r="A248" s="23" t="s">
        <v>486</v>
      </c>
      <c r="B248" s="50" t="s">
        <v>487</v>
      </c>
      <c r="C248" s="50" t="s">
        <v>118</v>
      </c>
      <c r="D248" s="50" t="s">
        <v>488</v>
      </c>
    </row>
    <row r="249" customFormat="false" ht="54" hidden="false" customHeight="true" outlineLevel="0" collapsed="false">
      <c r="A249" s="23" t="s">
        <v>489</v>
      </c>
      <c r="B249" s="51" t="s">
        <v>490</v>
      </c>
      <c r="C249" s="50" t="s">
        <v>30</v>
      </c>
      <c r="D249" s="23" t="s">
        <v>491</v>
      </c>
    </row>
    <row r="250" customFormat="false" ht="54" hidden="false" customHeight="true" outlineLevel="0" collapsed="false">
      <c r="A250" s="50" t="s">
        <v>492</v>
      </c>
      <c r="B250" s="50" t="s">
        <v>493</v>
      </c>
      <c r="C250" s="50" t="s">
        <v>30</v>
      </c>
      <c r="D250" s="50" t="s">
        <v>494</v>
      </c>
    </row>
    <row r="252" customFormat="false" ht="17.15" hidden="false" customHeight="false" outlineLevel="0" collapsed="false">
      <c r="A252" s="52" t="s">
        <v>495</v>
      </c>
      <c r="B252" s="53" t="s">
        <v>4</v>
      </c>
      <c r="C252" s="53" t="s">
        <v>5</v>
      </c>
      <c r="D252" s="53" t="s">
        <v>496</v>
      </c>
    </row>
    <row r="253" customFormat="false" ht="62" hidden="false" customHeight="true" outlineLevel="0" collapsed="false">
      <c r="A253" s="54" t="s">
        <v>497</v>
      </c>
      <c r="B253" s="55" t="n">
        <f aca="false">B215</f>
        <v>218</v>
      </c>
      <c r="C253" s="54" t="s">
        <v>192</v>
      </c>
      <c r="D253" s="54" t="s">
        <v>498</v>
      </c>
    </row>
    <row r="254" customFormat="false" ht="62" hidden="false" customHeight="true" outlineLevel="0" collapsed="false">
      <c r="A254" s="54" t="s">
        <v>499</v>
      </c>
      <c r="B254" s="55" t="n">
        <f aca="false">SUM(B23内容验收!AA2:AA21)</f>
        <v>20</v>
      </c>
      <c r="C254" s="54" t="s">
        <v>192</v>
      </c>
      <c r="D254" s="54" t="s">
        <v>500</v>
      </c>
    </row>
    <row r="255" customFormat="false" ht="62" hidden="false" customHeight="true" outlineLevel="0" collapsed="false">
      <c r="A255" s="54" t="s">
        <v>501</v>
      </c>
      <c r="B255" s="55" t="n">
        <f aca="false">B253+B254</f>
        <v>238</v>
      </c>
      <c r="C255" s="54" t="s">
        <v>192</v>
      </c>
      <c r="D255" s="54" t="s">
        <v>502</v>
      </c>
    </row>
    <row r="256" customFormat="false" ht="62" hidden="false" customHeight="true" outlineLevel="0" collapsed="false">
      <c r="A256" s="54" t="s">
        <v>426</v>
      </c>
      <c r="B256" s="55" t="n">
        <f aca="false">IF(COUNTIF(B23内容验收!AB2:AB21,"范围已验收")=20,SUM(B23内容验收!Y2:Y21),"范围冲突")</f>
        <v>20</v>
      </c>
      <c r="C256" s="54" t="s">
        <v>67</v>
      </c>
      <c r="D256" s="54" t="s">
        <v>503</v>
      </c>
    </row>
    <row r="257" customFormat="false" ht="62" hidden="false" customHeight="true" outlineLevel="0" collapsed="false">
      <c r="A257" s="54" t="s">
        <v>428</v>
      </c>
      <c r="B257" s="55" t="n">
        <f aca="false">IF(COUNTIF(B23内容验收!AB2:AB21,"范围已验收")=20,SUM(B23内容验收!V2:V21),"范围冲突")</f>
        <v>0</v>
      </c>
      <c r="C257" s="54" t="s">
        <v>67</v>
      </c>
      <c r="D257" s="54" t="s">
        <v>504</v>
      </c>
    </row>
    <row r="258" customFormat="false" ht="62" hidden="false" customHeight="true" outlineLevel="0" collapsed="false">
      <c r="A258" s="54" t="s">
        <v>430</v>
      </c>
      <c r="B258" s="55" t="n">
        <f aca="false">IF(COUNTIF(B23内容验收!AB2:AB21,"范围已验收")=20,SUM(B23内容验收!W2:W21),"范围冲突")</f>
        <v>5</v>
      </c>
      <c r="C258" s="54" t="s">
        <v>67</v>
      </c>
      <c r="D258" s="54" t="s">
        <v>505</v>
      </c>
    </row>
    <row r="259" customFormat="false" ht="62" hidden="false" customHeight="true" outlineLevel="0" collapsed="false">
      <c r="A259" s="54" t="s">
        <v>432</v>
      </c>
      <c r="B259" s="55" t="n">
        <f aca="false">IF(COUNTIF(B23内容验收!AB2:AB21,"范围已验收")=20,SUM(B23内容验收!X2:X21),"范围冲突")</f>
        <v>0</v>
      </c>
      <c r="C259" s="54" t="s">
        <v>67</v>
      </c>
      <c r="D259" s="54" t="s">
        <v>506</v>
      </c>
    </row>
    <row r="260" customFormat="false" ht="62" hidden="false" customHeight="true" outlineLevel="0" collapsed="false">
      <c r="A260" s="54" t="s">
        <v>434</v>
      </c>
      <c r="B260" s="55" t="n">
        <f aca="false">IF(COUNTIF(B23内容验收!AB2:AB21,"范围已验收")=20,SUM(B23内容验收!Q2:Q21),"范围冲突")</f>
        <v>0</v>
      </c>
      <c r="C260" s="54" t="s">
        <v>67</v>
      </c>
      <c r="D260" s="54" t="s">
        <v>507</v>
      </c>
    </row>
    <row r="261" customFormat="false" ht="62" hidden="false" customHeight="true" outlineLevel="0" collapsed="false">
      <c r="A261" s="54" t="s">
        <v>348</v>
      </c>
      <c r="B261" s="55" t="n">
        <f aca="false">IF(COUNTIF(B23内容验收!AB2:AB21,"范围已验收")=20,SUM(B23内容验收!R2:R21),"范围冲突")</f>
        <v>0</v>
      </c>
      <c r="C261" s="54" t="s">
        <v>349</v>
      </c>
      <c r="D261" s="54" t="s">
        <v>508</v>
      </c>
    </row>
    <row r="262" customFormat="false" ht="62" hidden="false" customHeight="true" outlineLevel="0" collapsed="false">
      <c r="A262" s="54" t="s">
        <v>351</v>
      </c>
      <c r="B262" s="55" t="n">
        <f aca="false">IF(COUNTIF(B23内容验收!AB2:AB21,"范围已验收")=20,SUM(B23内容验收!S2:S21),"范围冲突")</f>
        <v>0</v>
      </c>
      <c r="C262" s="54" t="s">
        <v>26</v>
      </c>
      <c r="D262" s="54" t="s">
        <v>509</v>
      </c>
    </row>
    <row r="263" customFormat="false" ht="62" hidden="false" customHeight="true" outlineLevel="0" collapsed="false">
      <c r="A263" s="54" t="s">
        <v>353</v>
      </c>
      <c r="B263" s="55" t="n">
        <f aca="false">IF(COUNTIF(B23内容验收!AB2:AB21,"范围已验收")=20,SUM(B23内容验收!T2:T21),"范围冲突")</f>
        <v>0</v>
      </c>
      <c r="C263" s="54" t="s">
        <v>354</v>
      </c>
      <c r="D263" s="54" t="s">
        <v>510</v>
      </c>
    </row>
    <row r="264" customFormat="false" ht="62" hidden="false" customHeight="true" outlineLevel="0" collapsed="false">
      <c r="A264" s="54" t="s">
        <v>356</v>
      </c>
      <c r="B264" s="55" t="n">
        <f aca="false">IF(COUNTIF(B23内容验收!AB2:AB21,"范围已验收")=20,SUM(B23内容验收!U2:U21),"范围冲突")</f>
        <v>0</v>
      </c>
      <c r="C264" s="54" t="s">
        <v>26</v>
      </c>
      <c r="D264" s="54" t="s">
        <v>511</v>
      </c>
    </row>
    <row r="265" customFormat="false" ht="62" hidden="false" customHeight="true" outlineLevel="0" collapsed="false">
      <c r="A265" s="54" t="s">
        <v>440</v>
      </c>
      <c r="B265" s="55" t="n">
        <f aca="false">IF(COUNTIF(B23内容验收!AB2:AB21,"范围已验收")=20,SUM(B23内容验收!Z2:Z21),"范围冲突")</f>
        <v>992</v>
      </c>
      <c r="C265" s="54" t="s">
        <v>64</v>
      </c>
      <c r="D265" s="54" t="s">
        <v>512</v>
      </c>
    </row>
    <row r="266" customFormat="false" ht="62" hidden="false" customHeight="true" outlineLevel="0" collapsed="false">
      <c r="A266" s="54" t="s">
        <v>513</v>
      </c>
      <c r="B266" s="55" t="n">
        <f aca="false">B226+B256</f>
        <v>77</v>
      </c>
      <c r="C266" s="54" t="s">
        <v>67</v>
      </c>
      <c r="D266" s="54" t="s">
        <v>514</v>
      </c>
    </row>
    <row r="267" customFormat="false" ht="62" hidden="false" customHeight="true" outlineLevel="0" collapsed="false">
      <c r="A267" s="54" t="s">
        <v>515</v>
      </c>
      <c r="B267" s="55" t="n">
        <f aca="false">B227+B265</f>
        <v>2977</v>
      </c>
      <c r="C267" s="54" t="s">
        <v>64</v>
      </c>
      <c r="D267" s="54" t="s">
        <v>516</v>
      </c>
    </row>
    <row r="268" customFormat="false" ht="62" hidden="false" customHeight="true" outlineLevel="0" collapsed="false">
      <c r="A268" s="54" t="s">
        <v>517</v>
      </c>
      <c r="B268" s="55" t="n">
        <f aca="false">B228+B256</f>
        <v>77</v>
      </c>
      <c r="C268" s="54" t="s">
        <v>67</v>
      </c>
      <c r="D268" s="54" t="s">
        <v>514</v>
      </c>
    </row>
    <row r="269" customFormat="false" ht="62" hidden="false" customHeight="true" outlineLevel="0" collapsed="false">
      <c r="A269" s="54" t="s">
        <v>518</v>
      </c>
      <c r="B269" s="55" t="n">
        <f aca="false">B229</f>
        <v>4</v>
      </c>
      <c r="C269" s="54" t="s">
        <v>67</v>
      </c>
      <c r="D269" s="54" t="s">
        <v>449</v>
      </c>
    </row>
    <row r="270" customFormat="false" ht="62" hidden="false" customHeight="true" outlineLevel="0" collapsed="false">
      <c r="A270" s="54" t="s">
        <v>519</v>
      </c>
      <c r="B270" s="55" t="n">
        <f aca="false">B230-B256</f>
        <v>57</v>
      </c>
      <c r="C270" s="54" t="s">
        <v>67</v>
      </c>
      <c r="D270" s="54" t="s">
        <v>520</v>
      </c>
    </row>
    <row r="271" customFormat="false" ht="62" hidden="false" customHeight="true" outlineLevel="0" collapsed="false">
      <c r="A271" s="54" t="s">
        <v>521</v>
      </c>
      <c r="B271" s="55" t="n">
        <f aca="false">B269+B270</f>
        <v>61</v>
      </c>
      <c r="C271" s="54" t="s">
        <v>67</v>
      </c>
      <c r="D271" s="54" t="s">
        <v>522</v>
      </c>
    </row>
    <row r="272" customFormat="false" ht="62" hidden="false" customHeight="true" outlineLevel="0" collapsed="false">
      <c r="A272" s="54" t="s">
        <v>523</v>
      </c>
      <c r="B272" s="55" t="n">
        <f aca="false">B232+B256</f>
        <v>32</v>
      </c>
      <c r="C272" s="54" t="s">
        <v>67</v>
      </c>
      <c r="D272" s="54" t="s">
        <v>524</v>
      </c>
    </row>
    <row r="273" customFormat="false" ht="62" hidden="false" customHeight="true" outlineLevel="0" collapsed="false">
      <c r="A273" s="54" t="s">
        <v>525</v>
      </c>
      <c r="B273" s="55" t="n">
        <f aca="false">B233</f>
        <v>1</v>
      </c>
      <c r="C273" s="54" t="s">
        <v>67</v>
      </c>
      <c r="D273" s="54" t="s">
        <v>457</v>
      </c>
    </row>
    <row r="274" customFormat="false" ht="62" hidden="false" customHeight="true" outlineLevel="0" collapsed="false">
      <c r="A274" s="54" t="s">
        <v>526</v>
      </c>
      <c r="B274" s="55" t="n">
        <f aca="false">B234-B256</f>
        <v>57</v>
      </c>
      <c r="C274" s="54" t="s">
        <v>67</v>
      </c>
      <c r="D274" s="54" t="s">
        <v>520</v>
      </c>
    </row>
    <row r="275" customFormat="false" ht="62" hidden="false" customHeight="true" outlineLevel="0" collapsed="false">
      <c r="A275" s="54" t="s">
        <v>527</v>
      </c>
      <c r="B275" s="55" t="n">
        <f aca="false">B273+B274</f>
        <v>58</v>
      </c>
      <c r="C275" s="54" t="s">
        <v>67</v>
      </c>
      <c r="D275" s="54" t="s">
        <v>528</v>
      </c>
    </row>
    <row r="276" customFormat="false" ht="62" hidden="false" customHeight="true" outlineLevel="0" collapsed="false">
      <c r="A276" s="54" t="s">
        <v>461</v>
      </c>
      <c r="B276" s="55" t="n">
        <f aca="false">COUNTIF(B23内容验收!N2:N21,"needs_review")</f>
        <v>15</v>
      </c>
      <c r="C276" s="54" t="s">
        <v>67</v>
      </c>
      <c r="D276" s="54" t="s">
        <v>529</v>
      </c>
    </row>
    <row r="277" customFormat="false" ht="62" hidden="false" customHeight="true" outlineLevel="0" collapsed="false">
      <c r="A277" s="54" t="s">
        <v>530</v>
      </c>
      <c r="B277" s="55" t="n">
        <f aca="false">COUNTIF(B23内容验收!N2:N21,"verified")</f>
        <v>5</v>
      </c>
      <c r="C277" s="54" t="s">
        <v>67</v>
      </c>
      <c r="D277" s="54" t="s">
        <v>531</v>
      </c>
    </row>
    <row r="278" customFormat="false" ht="62" hidden="false" customHeight="true" outlineLevel="0" collapsed="false">
      <c r="A278" s="54" t="s">
        <v>463</v>
      </c>
      <c r="B278" s="55" t="n">
        <f aca="false">SUM(B23内容验收!I2:I21)</f>
        <v>992</v>
      </c>
      <c r="C278" s="54" t="s">
        <v>64</v>
      </c>
      <c r="D278" s="54" t="s">
        <v>532</v>
      </c>
    </row>
    <row r="279" customFormat="false" ht="62" hidden="false" customHeight="true" outlineLevel="0" collapsed="false">
      <c r="A279" s="54" t="s">
        <v>465</v>
      </c>
      <c r="B279" s="55" t="n">
        <f aca="false">SUM(B23内容验收!K2:K21)</f>
        <v>992</v>
      </c>
      <c r="C279" s="54" t="s">
        <v>64</v>
      </c>
      <c r="D279" s="54" t="s">
        <v>533</v>
      </c>
    </row>
    <row r="280" customFormat="false" ht="62" hidden="false" customHeight="true" outlineLevel="0" collapsed="false">
      <c r="A280" s="54" t="s">
        <v>534</v>
      </c>
      <c r="B280" s="55" t="s">
        <v>535</v>
      </c>
      <c r="C280" s="54" t="s">
        <v>370</v>
      </c>
      <c r="D280" s="54" t="s">
        <v>536</v>
      </c>
    </row>
    <row r="281" customFormat="false" ht="62" hidden="false" customHeight="true" outlineLevel="0" collapsed="false">
      <c r="A281" s="54" t="s">
        <v>537</v>
      </c>
      <c r="B281" s="55" t="s">
        <v>538</v>
      </c>
      <c r="C281" s="54" t="s">
        <v>370</v>
      </c>
      <c r="D281" s="54" t="s">
        <v>539</v>
      </c>
    </row>
    <row r="282" customFormat="false" ht="62" hidden="false" customHeight="true" outlineLevel="0" collapsed="false">
      <c r="A282" s="54" t="s">
        <v>540</v>
      </c>
      <c r="B282" s="55" t="n">
        <v>2322</v>
      </c>
      <c r="C282" s="54" t="s">
        <v>67</v>
      </c>
      <c r="D282" s="54" t="s">
        <v>541</v>
      </c>
    </row>
    <row r="283" customFormat="false" ht="62" hidden="false" customHeight="true" outlineLevel="0" collapsed="false">
      <c r="A283" s="54" t="s">
        <v>542</v>
      </c>
      <c r="B283" s="55" t="n">
        <v>17</v>
      </c>
      <c r="C283" s="54" t="s">
        <v>67</v>
      </c>
      <c r="D283" s="54" t="s">
        <v>475</v>
      </c>
    </row>
    <row r="284" customFormat="false" ht="62" hidden="false" customHeight="true" outlineLevel="0" collapsed="false">
      <c r="A284" s="54" t="s">
        <v>543</v>
      </c>
      <c r="B284" s="55" t="n">
        <v>2749</v>
      </c>
      <c r="C284" s="54" t="s">
        <v>67</v>
      </c>
      <c r="D284" s="54" t="s">
        <v>544</v>
      </c>
    </row>
    <row r="285" customFormat="false" ht="62" hidden="false" customHeight="true" outlineLevel="0" collapsed="false">
      <c r="A285" s="54" t="s">
        <v>545</v>
      </c>
      <c r="B285" s="55" t="n">
        <v>420</v>
      </c>
      <c r="C285" s="54" t="s">
        <v>67</v>
      </c>
      <c r="D285" s="54" t="s">
        <v>546</v>
      </c>
    </row>
    <row r="286" customFormat="false" ht="62" hidden="false" customHeight="true" outlineLevel="0" collapsed="false">
      <c r="A286" s="54" t="s">
        <v>480</v>
      </c>
      <c r="B286" s="55" t="s">
        <v>481</v>
      </c>
      <c r="C286" s="54" t="s">
        <v>67</v>
      </c>
      <c r="D286" s="54" t="s">
        <v>547</v>
      </c>
    </row>
    <row r="287" customFormat="false" ht="62" hidden="false" customHeight="true" outlineLevel="0" collapsed="false">
      <c r="A287" s="54" t="s">
        <v>548</v>
      </c>
      <c r="B287" s="55" t="n">
        <v>1</v>
      </c>
      <c r="C287" s="54" t="s">
        <v>384</v>
      </c>
      <c r="D287" s="54" t="str">
        <f aca="false">HYPERLINK("https://chatgpt.com/api/library/files/libfile_82152ed46a9c8191a5fa91df691ec379/download","下载B23修订1私有元数据包")</f>
        <v>下载B23修订1私有元数据包</v>
      </c>
    </row>
    <row r="288" customFormat="false" ht="62" hidden="false" customHeight="true" outlineLevel="0" collapsed="false">
      <c r="A288" s="54" t="s">
        <v>549</v>
      </c>
      <c r="B288" s="54" t="s">
        <v>124</v>
      </c>
      <c r="C288" s="54" t="s">
        <v>118</v>
      </c>
      <c r="D288" s="54" t="s">
        <v>550</v>
      </c>
    </row>
    <row r="289" customFormat="false" ht="62" hidden="false" customHeight="true" outlineLevel="0" collapsed="false">
      <c r="A289" s="54" t="s">
        <v>551</v>
      </c>
      <c r="B289" s="55" t="s">
        <v>552</v>
      </c>
      <c r="C289" s="54" t="s">
        <v>118</v>
      </c>
      <c r="D289" s="54" t="s">
        <v>553</v>
      </c>
    </row>
    <row r="290" customFormat="false" ht="62" hidden="false" customHeight="true" outlineLevel="0" collapsed="false">
      <c r="A290" s="54" t="s">
        <v>554</v>
      </c>
      <c r="B290" s="55" t="s">
        <v>555</v>
      </c>
      <c r="C290" s="54" t="s">
        <v>30</v>
      </c>
      <c r="D290" s="54" t="s">
        <v>556</v>
      </c>
    </row>
    <row r="291" customFormat="false" ht="62" hidden="false" customHeight="true" outlineLevel="0" collapsed="false">
      <c r="A291" s="54" t="s">
        <v>557</v>
      </c>
      <c r="B291" s="55" t="s">
        <v>558</v>
      </c>
      <c r="C291" s="54" t="s">
        <v>30</v>
      </c>
      <c r="D291" s="54" t="s">
        <v>559</v>
      </c>
    </row>
    <row r="292" customFormat="false" ht="62" hidden="false" customHeight="true" outlineLevel="0" collapsed="false">
      <c r="A292" s="54" t="s">
        <v>560</v>
      </c>
      <c r="B292" s="54" t="s">
        <v>561</v>
      </c>
      <c r="C292" s="54" t="s">
        <v>30</v>
      </c>
      <c r="D292" s="54" t="s">
        <v>562</v>
      </c>
    </row>
    <row r="293" customFormat="false" ht="62" hidden="false" customHeight="true" outlineLevel="0" collapsed="false">
      <c r="A293" s="54" t="s">
        <v>563</v>
      </c>
      <c r="B293" s="55" t="s">
        <v>564</v>
      </c>
      <c r="C293" s="54" t="s">
        <v>30</v>
      </c>
      <c r="D293" s="54" t="s">
        <v>565</v>
      </c>
    </row>
    <row r="294" customFormat="false" ht="62" hidden="false" customHeight="true" outlineLevel="0" collapsed="false">
      <c r="A294" s="54" t="s">
        <v>566</v>
      </c>
      <c r="B294" s="55" t="n">
        <v>5545</v>
      </c>
      <c r="C294" s="54" t="s">
        <v>567</v>
      </c>
      <c r="D294" s="54" t="s">
        <v>568</v>
      </c>
    </row>
    <row r="296" customFormat="false" ht="17.15" hidden="false" customHeight="false" outlineLevel="0" collapsed="false">
      <c r="A296" s="56" t="s">
        <v>569</v>
      </c>
      <c r="B296" s="57" t="s">
        <v>4</v>
      </c>
      <c r="C296" s="57" t="s">
        <v>5</v>
      </c>
      <c r="D296" s="57" t="s">
        <v>570</v>
      </c>
    </row>
    <row r="297" customFormat="false" ht="62" hidden="false" customHeight="true" outlineLevel="0" collapsed="false">
      <c r="A297" s="58" t="s">
        <v>571</v>
      </c>
      <c r="B297" s="59" t="n">
        <f aca="false">B255</f>
        <v>238</v>
      </c>
      <c r="C297" s="58" t="s">
        <v>192</v>
      </c>
      <c r="D297" s="58" t="s">
        <v>572</v>
      </c>
    </row>
    <row r="298" customFormat="false" ht="62" hidden="false" customHeight="true" outlineLevel="0" collapsed="false">
      <c r="A298" s="58" t="s">
        <v>573</v>
      </c>
      <c r="B298" s="59" t="n">
        <f aca="false">SUM(B24内容验收!AA2:AA21)</f>
        <v>20</v>
      </c>
      <c r="C298" s="58" t="s">
        <v>192</v>
      </c>
      <c r="D298" s="58" t="s">
        <v>500</v>
      </c>
    </row>
    <row r="299" customFormat="false" ht="62" hidden="false" customHeight="true" outlineLevel="0" collapsed="false">
      <c r="A299" s="58" t="s">
        <v>574</v>
      </c>
      <c r="B299" s="59" t="n">
        <f aca="false">B297+B298</f>
        <v>258</v>
      </c>
      <c r="C299" s="58" t="s">
        <v>192</v>
      </c>
      <c r="D299" s="58" t="s">
        <v>575</v>
      </c>
    </row>
    <row r="300" customFormat="false" ht="62" hidden="false" customHeight="true" outlineLevel="0" collapsed="false">
      <c r="A300" s="58" t="s">
        <v>426</v>
      </c>
      <c r="B300" s="59" t="n">
        <f aca="false">IF(COUNTIF(B24内容验收!AB2:AB21,"范围已验收")=20,SUM(B24内容验收!Y2:Y21),"范围冲突")</f>
        <v>20</v>
      </c>
      <c r="C300" s="58" t="s">
        <v>67</v>
      </c>
      <c r="D300" s="58" t="s">
        <v>503</v>
      </c>
    </row>
    <row r="301" customFormat="false" ht="62" hidden="false" customHeight="true" outlineLevel="0" collapsed="false">
      <c r="A301" s="58" t="s">
        <v>428</v>
      </c>
      <c r="B301" s="59" t="n">
        <f aca="false">IF(COUNTIF(B24内容验收!AB2:AB21,"范围已验收")=20,SUM(B24内容验收!V2:V21),"范围冲突")</f>
        <v>0</v>
      </c>
      <c r="C301" s="58" t="s">
        <v>67</v>
      </c>
      <c r="D301" s="58" t="s">
        <v>504</v>
      </c>
    </row>
    <row r="302" customFormat="false" ht="62" hidden="false" customHeight="true" outlineLevel="0" collapsed="false">
      <c r="A302" s="58" t="s">
        <v>430</v>
      </c>
      <c r="B302" s="59" t="n">
        <f aca="false">IF(COUNTIF(B24内容验收!AB2:AB21,"范围已验收")=20,SUM(B24内容验收!W2:W21),"范围冲突")</f>
        <v>2</v>
      </c>
      <c r="C302" s="58" t="s">
        <v>67</v>
      </c>
      <c r="D302" s="58" t="s">
        <v>576</v>
      </c>
    </row>
    <row r="303" customFormat="false" ht="62" hidden="false" customHeight="true" outlineLevel="0" collapsed="false">
      <c r="A303" s="58" t="s">
        <v>432</v>
      </c>
      <c r="B303" s="59" t="n">
        <f aca="false">IF(COUNTIF(B24内容验收!AB2:AB21,"范围已验收")=20,SUM(B24内容验收!X2:X21),"范围冲突")</f>
        <v>0</v>
      </c>
      <c r="C303" s="58" t="s">
        <v>67</v>
      </c>
      <c r="D303" s="58" t="s">
        <v>506</v>
      </c>
    </row>
    <row r="304" customFormat="false" ht="62" hidden="false" customHeight="true" outlineLevel="0" collapsed="false">
      <c r="A304" s="58" t="s">
        <v>434</v>
      </c>
      <c r="B304" s="59" t="n">
        <f aca="false">IF(COUNTIF(B24内容验收!AB2:AB21,"范围已验收")=20,SUM(B24内容验收!Q2:Q21),"范围冲突")</f>
        <v>0</v>
      </c>
      <c r="C304" s="58" t="s">
        <v>67</v>
      </c>
      <c r="D304" s="58" t="s">
        <v>507</v>
      </c>
    </row>
    <row r="305" customFormat="false" ht="62" hidden="false" customHeight="true" outlineLevel="0" collapsed="false">
      <c r="A305" s="58" t="s">
        <v>348</v>
      </c>
      <c r="B305" s="59" t="n">
        <f aca="false">IF(COUNTIF(B24内容验收!AB2:AB21,"范围已验收")=20,SUM(B24内容验收!R2:R21),"范围冲突")</f>
        <v>0</v>
      </c>
      <c r="C305" s="58" t="s">
        <v>349</v>
      </c>
      <c r="D305" s="58" t="s">
        <v>577</v>
      </c>
    </row>
    <row r="306" customFormat="false" ht="62" hidden="false" customHeight="true" outlineLevel="0" collapsed="false">
      <c r="A306" s="58" t="s">
        <v>351</v>
      </c>
      <c r="B306" s="59" t="n">
        <f aca="false">IF(COUNTIF(B24内容验收!AB2:AB21,"范围已验收")=20,SUM(B24内容验收!S2:S21),"范围冲突")</f>
        <v>0</v>
      </c>
      <c r="C306" s="58" t="s">
        <v>26</v>
      </c>
      <c r="D306" s="58" t="s">
        <v>509</v>
      </c>
    </row>
    <row r="307" customFormat="false" ht="62" hidden="false" customHeight="true" outlineLevel="0" collapsed="false">
      <c r="A307" s="58" t="s">
        <v>353</v>
      </c>
      <c r="B307" s="59" t="n">
        <f aca="false">IF(COUNTIF(B24内容验收!AB2:AB21,"范围已验收")=20,SUM(B24内容验收!T2:T21),"范围冲突")</f>
        <v>0</v>
      </c>
      <c r="C307" s="58" t="s">
        <v>354</v>
      </c>
      <c r="D307" s="58" t="s">
        <v>510</v>
      </c>
    </row>
    <row r="308" customFormat="false" ht="62" hidden="false" customHeight="true" outlineLevel="0" collapsed="false">
      <c r="A308" s="58" t="s">
        <v>356</v>
      </c>
      <c r="B308" s="59" t="n">
        <f aca="false">IF(COUNTIF(B24内容验收!AB2:AB21,"范围已验收")=20,SUM(B24内容验收!U2:U21),"范围冲突")</f>
        <v>0</v>
      </c>
      <c r="C308" s="58" t="s">
        <v>26</v>
      </c>
      <c r="D308" s="58" t="s">
        <v>511</v>
      </c>
    </row>
    <row r="309" customFormat="false" ht="62" hidden="false" customHeight="true" outlineLevel="0" collapsed="false">
      <c r="A309" s="58" t="s">
        <v>440</v>
      </c>
      <c r="B309" s="59" t="n">
        <f aca="false">IF(COUNTIF(B24内容验收!AB2:AB21,"范围已验收")=20,SUM(B24内容验收!Z2:Z21),"范围冲突")</f>
        <v>1273</v>
      </c>
      <c r="C309" s="58" t="s">
        <v>64</v>
      </c>
      <c r="D309" s="58" t="s">
        <v>578</v>
      </c>
    </row>
    <row r="310" customFormat="false" ht="62" hidden="false" customHeight="true" outlineLevel="0" collapsed="false">
      <c r="A310" s="58" t="s">
        <v>579</v>
      </c>
      <c r="B310" s="59" t="n">
        <f aca="false">B266+B300</f>
        <v>97</v>
      </c>
      <c r="C310" s="58" t="s">
        <v>67</v>
      </c>
      <c r="D310" s="58" t="s">
        <v>580</v>
      </c>
    </row>
    <row r="311" customFormat="false" ht="62" hidden="false" customHeight="true" outlineLevel="0" collapsed="false">
      <c r="A311" s="58" t="s">
        <v>581</v>
      </c>
      <c r="B311" s="59" t="n">
        <f aca="false">B267+B309</f>
        <v>4250</v>
      </c>
      <c r="C311" s="58" t="s">
        <v>64</v>
      </c>
      <c r="D311" s="58" t="s">
        <v>582</v>
      </c>
    </row>
    <row r="312" customFormat="false" ht="62" hidden="false" customHeight="true" outlineLevel="0" collapsed="false">
      <c r="A312" s="58" t="s">
        <v>583</v>
      </c>
      <c r="B312" s="59" t="n">
        <f aca="false">B268+B300</f>
        <v>97</v>
      </c>
      <c r="C312" s="58" t="s">
        <v>67</v>
      </c>
      <c r="D312" s="58" t="s">
        <v>580</v>
      </c>
    </row>
    <row r="313" customFormat="false" ht="62" hidden="false" customHeight="true" outlineLevel="0" collapsed="false">
      <c r="A313" s="58" t="s">
        <v>584</v>
      </c>
      <c r="B313" s="59" t="n">
        <f aca="false">B269</f>
        <v>4</v>
      </c>
      <c r="C313" s="58" t="s">
        <v>67</v>
      </c>
      <c r="D313" s="58" t="s">
        <v>449</v>
      </c>
    </row>
    <row r="314" customFormat="false" ht="62" hidden="false" customHeight="true" outlineLevel="0" collapsed="false">
      <c r="A314" s="58" t="s">
        <v>585</v>
      </c>
      <c r="B314" s="59" t="n">
        <f aca="false">B270-B300</f>
        <v>37</v>
      </c>
      <c r="C314" s="58" t="s">
        <v>67</v>
      </c>
      <c r="D314" s="58" t="s">
        <v>586</v>
      </c>
    </row>
    <row r="315" customFormat="false" ht="62" hidden="false" customHeight="true" outlineLevel="0" collapsed="false">
      <c r="A315" s="58" t="s">
        <v>587</v>
      </c>
      <c r="B315" s="59" t="n">
        <f aca="false">B313+B314</f>
        <v>41</v>
      </c>
      <c r="C315" s="58" t="s">
        <v>67</v>
      </c>
      <c r="D315" s="58" t="s">
        <v>588</v>
      </c>
    </row>
    <row r="316" customFormat="false" ht="62" hidden="false" customHeight="true" outlineLevel="0" collapsed="false">
      <c r="A316" s="58" t="s">
        <v>589</v>
      </c>
      <c r="B316" s="59" t="n">
        <f aca="false">B272+B300</f>
        <v>52</v>
      </c>
      <c r="C316" s="58" t="s">
        <v>67</v>
      </c>
      <c r="D316" s="58" t="s">
        <v>590</v>
      </c>
    </row>
    <row r="317" customFormat="false" ht="62" hidden="false" customHeight="true" outlineLevel="0" collapsed="false">
      <c r="A317" s="58" t="s">
        <v>591</v>
      </c>
      <c r="B317" s="59" t="n">
        <f aca="false">B273</f>
        <v>1</v>
      </c>
      <c r="C317" s="58" t="s">
        <v>67</v>
      </c>
      <c r="D317" s="58" t="s">
        <v>457</v>
      </c>
    </row>
    <row r="318" customFormat="false" ht="62" hidden="false" customHeight="true" outlineLevel="0" collapsed="false">
      <c r="A318" s="58" t="s">
        <v>592</v>
      </c>
      <c r="B318" s="59" t="n">
        <f aca="false">B274-B300</f>
        <v>37</v>
      </c>
      <c r="C318" s="58" t="s">
        <v>67</v>
      </c>
      <c r="D318" s="58" t="s">
        <v>586</v>
      </c>
    </row>
    <row r="319" customFormat="false" ht="62" hidden="false" customHeight="true" outlineLevel="0" collapsed="false">
      <c r="A319" s="58" t="s">
        <v>593</v>
      </c>
      <c r="B319" s="59" t="n">
        <f aca="false">B317+B318</f>
        <v>38</v>
      </c>
      <c r="C319" s="58" t="s">
        <v>67</v>
      </c>
      <c r="D319" s="58" t="s">
        <v>594</v>
      </c>
    </row>
    <row r="320" customFormat="false" ht="62" hidden="false" customHeight="true" outlineLevel="0" collapsed="false">
      <c r="A320" s="58" t="s">
        <v>461</v>
      </c>
      <c r="B320" s="59" t="n">
        <f aca="false">COUNTIF(B24内容验收!N2:N21,"needs_review")</f>
        <v>18</v>
      </c>
      <c r="C320" s="58" t="s">
        <v>67</v>
      </c>
      <c r="D320" s="58" t="s">
        <v>595</v>
      </c>
    </row>
    <row r="321" customFormat="false" ht="62" hidden="false" customHeight="true" outlineLevel="0" collapsed="false">
      <c r="A321" s="58" t="s">
        <v>530</v>
      </c>
      <c r="B321" s="59" t="n">
        <f aca="false">COUNTIF(B24内容验收!N2:N21,"verified")</f>
        <v>2</v>
      </c>
      <c r="C321" s="58" t="s">
        <v>67</v>
      </c>
      <c r="D321" s="58" t="s">
        <v>596</v>
      </c>
    </row>
    <row r="322" customFormat="false" ht="62" hidden="false" customHeight="true" outlineLevel="0" collapsed="false">
      <c r="A322" s="58" t="s">
        <v>463</v>
      </c>
      <c r="B322" s="59" t="n">
        <f aca="false">SUM(B24内容验收!I2:I21)</f>
        <v>1273</v>
      </c>
      <c r="C322" s="58" t="s">
        <v>64</v>
      </c>
      <c r="D322" s="58" t="s">
        <v>597</v>
      </c>
    </row>
    <row r="323" customFormat="false" ht="62" hidden="false" customHeight="true" outlineLevel="0" collapsed="false">
      <c r="A323" s="58" t="s">
        <v>465</v>
      </c>
      <c r="B323" s="59" t="n">
        <f aca="false">SUM(B24内容验收!K2:K21)</f>
        <v>1273</v>
      </c>
      <c r="C323" s="58" t="s">
        <v>64</v>
      </c>
      <c r="D323" s="58" t="s">
        <v>598</v>
      </c>
    </row>
    <row r="324" customFormat="false" ht="62" hidden="false" customHeight="true" outlineLevel="0" collapsed="false">
      <c r="A324" s="58" t="s">
        <v>599</v>
      </c>
      <c r="B324" s="59" t="s">
        <v>600</v>
      </c>
      <c r="C324" s="58" t="s">
        <v>370</v>
      </c>
      <c r="D324" s="58" t="s">
        <v>371</v>
      </c>
    </row>
    <row r="325" customFormat="false" ht="62" hidden="false" customHeight="true" outlineLevel="0" collapsed="false">
      <c r="A325" s="58" t="s">
        <v>601</v>
      </c>
      <c r="B325" s="59" t="s">
        <v>602</v>
      </c>
      <c r="C325" s="58" t="s">
        <v>370</v>
      </c>
      <c r="D325" s="58" t="s">
        <v>539</v>
      </c>
    </row>
    <row r="326" customFormat="false" ht="62" hidden="false" customHeight="true" outlineLevel="0" collapsed="false">
      <c r="A326" s="58" t="s">
        <v>603</v>
      </c>
      <c r="B326" s="59" t="n">
        <v>2342</v>
      </c>
      <c r="C326" s="58" t="s">
        <v>67</v>
      </c>
      <c r="D326" s="58" t="s">
        <v>604</v>
      </c>
    </row>
    <row r="327" customFormat="false" ht="62" hidden="false" customHeight="true" outlineLevel="0" collapsed="false">
      <c r="A327" s="58" t="s">
        <v>605</v>
      </c>
      <c r="B327" s="59" t="n">
        <v>17</v>
      </c>
      <c r="C327" s="58" t="s">
        <v>67</v>
      </c>
      <c r="D327" s="58" t="s">
        <v>475</v>
      </c>
    </row>
    <row r="328" customFormat="false" ht="62" hidden="false" customHeight="true" outlineLevel="0" collapsed="false">
      <c r="A328" s="58" t="s">
        <v>606</v>
      </c>
      <c r="B328" s="59" t="n">
        <v>2749</v>
      </c>
      <c r="C328" s="58" t="s">
        <v>67</v>
      </c>
      <c r="D328" s="58" t="s">
        <v>544</v>
      </c>
    </row>
    <row r="329" customFormat="false" ht="62" hidden="false" customHeight="true" outlineLevel="0" collapsed="false">
      <c r="A329" s="58" t="s">
        <v>607</v>
      </c>
      <c r="B329" s="59" t="n">
        <v>422</v>
      </c>
      <c r="C329" s="58" t="s">
        <v>67</v>
      </c>
      <c r="D329" s="58" t="s">
        <v>608</v>
      </c>
    </row>
    <row r="330" customFormat="false" ht="62" hidden="false" customHeight="true" outlineLevel="0" collapsed="false">
      <c r="A330" s="58" t="s">
        <v>480</v>
      </c>
      <c r="B330" s="59" t="s">
        <v>481</v>
      </c>
      <c r="C330" s="58" t="s">
        <v>67</v>
      </c>
      <c r="D330" s="58" t="s">
        <v>547</v>
      </c>
    </row>
    <row r="331" customFormat="false" ht="62" hidden="false" customHeight="true" outlineLevel="0" collapsed="false">
      <c r="A331" s="58" t="s">
        <v>609</v>
      </c>
      <c r="B331" s="59" t="n">
        <v>0</v>
      </c>
      <c r="C331" s="58" t="s">
        <v>384</v>
      </c>
      <c r="D331" s="58" t="str">
        <f aca="false">HYPERLINK("https://chatgpt.com/api/library/files/libfile_5a0fb263dc488191a6c43165bdb887e6/download","下载B24私有接受元数据包")</f>
        <v>下载B24私有接受元数据包</v>
      </c>
    </row>
    <row r="332" customFormat="false" ht="62" hidden="false" customHeight="true" outlineLevel="0" collapsed="false">
      <c r="A332" s="58" t="s">
        <v>610</v>
      </c>
      <c r="B332" s="58" t="s">
        <v>124</v>
      </c>
      <c r="C332" s="58" t="s">
        <v>118</v>
      </c>
      <c r="D332" s="58" t="s">
        <v>611</v>
      </c>
    </row>
    <row r="333" customFormat="false" ht="62" hidden="false" customHeight="true" outlineLevel="0" collapsed="false">
      <c r="A333" s="58" t="s">
        <v>612</v>
      </c>
      <c r="B333" s="59" t="s">
        <v>613</v>
      </c>
      <c r="C333" s="58" t="s">
        <v>118</v>
      </c>
      <c r="D333" s="58" t="s">
        <v>553</v>
      </c>
    </row>
    <row r="334" customFormat="false" ht="62" hidden="false" customHeight="true" outlineLevel="0" collapsed="false">
      <c r="A334" s="58" t="s">
        <v>614</v>
      </c>
      <c r="B334" s="59" t="s">
        <v>615</v>
      </c>
      <c r="C334" s="58" t="s">
        <v>30</v>
      </c>
      <c r="D334" s="58" t="s">
        <v>616</v>
      </c>
    </row>
    <row r="335" customFormat="false" ht="62" hidden="false" customHeight="true" outlineLevel="0" collapsed="false">
      <c r="A335" s="58" t="s">
        <v>617</v>
      </c>
      <c r="B335" s="59" t="s">
        <v>618</v>
      </c>
      <c r="C335" s="58" t="s">
        <v>30</v>
      </c>
      <c r="D335" s="58" t="s">
        <v>619</v>
      </c>
    </row>
    <row r="336" customFormat="false" ht="62" hidden="false" customHeight="true" outlineLevel="0" collapsed="false">
      <c r="A336" s="58" t="s">
        <v>620</v>
      </c>
      <c r="B336" s="58" t="s">
        <v>621</v>
      </c>
      <c r="C336" s="58" t="s">
        <v>30</v>
      </c>
      <c r="D336" s="58" t="s">
        <v>622</v>
      </c>
    </row>
    <row r="337" customFormat="false" ht="62" hidden="false" customHeight="true" outlineLevel="0" collapsed="false">
      <c r="A337" s="58" t="s">
        <v>563</v>
      </c>
      <c r="B337" s="59" t="s">
        <v>564</v>
      </c>
      <c r="C337" s="58" t="s">
        <v>30</v>
      </c>
      <c r="D337" s="58" t="s">
        <v>623</v>
      </c>
    </row>
    <row r="338" customFormat="false" ht="62" hidden="false" customHeight="true" outlineLevel="0" collapsed="false">
      <c r="A338" s="58" t="s">
        <v>566</v>
      </c>
      <c r="B338" s="59" t="n">
        <v>5628</v>
      </c>
      <c r="C338" s="58" t="s">
        <v>567</v>
      </c>
      <c r="D338" s="58" t="s">
        <v>624</v>
      </c>
    </row>
    <row r="340" customFormat="false" ht="17.15" hidden="false" customHeight="false" outlineLevel="0" collapsed="false">
      <c r="A340" s="60" t="s">
        <v>625</v>
      </c>
      <c r="B340" s="61" t="s">
        <v>4</v>
      </c>
      <c r="C340" s="61" t="s">
        <v>5</v>
      </c>
      <c r="D340" s="61" t="s">
        <v>626</v>
      </c>
    </row>
    <row r="341" customFormat="false" ht="65" hidden="false" customHeight="true" outlineLevel="0" collapsed="false">
      <c r="A341" s="62" t="s">
        <v>574</v>
      </c>
      <c r="B341" s="63" t="n">
        <f aca="false">B299</f>
        <v>258</v>
      </c>
      <c r="C341" s="62" t="s">
        <v>192</v>
      </c>
      <c r="D341" s="62" t="s">
        <v>627</v>
      </c>
    </row>
    <row r="342" customFormat="false" ht="65" hidden="false" customHeight="true" outlineLevel="0" collapsed="false">
      <c r="A342" s="62" t="s">
        <v>628</v>
      </c>
      <c r="B342" s="63" t="n">
        <f aca="false">IF(COUNTIF(B28状态纠正!U2:U5,"范围已接受")=4,SUM(B28状态纠正!V2:V5),"范围冲突")</f>
        <v>1</v>
      </c>
      <c r="C342" s="62" t="s">
        <v>192</v>
      </c>
      <c r="D342" s="62" t="s">
        <v>629</v>
      </c>
    </row>
    <row r="343" customFormat="false" ht="65" hidden="false" customHeight="true" outlineLevel="0" collapsed="false">
      <c r="A343" s="62" t="s">
        <v>630</v>
      </c>
      <c r="B343" s="63" t="n">
        <f aca="false">IF(COUNTIF(B28状态纠正!U2:U5,"范围已接受")=4,COUNTIF(B28状态纠正!B2:B5,"比较校验"),"范围冲突")</f>
        <v>3</v>
      </c>
      <c r="C343" s="62" t="s">
        <v>26</v>
      </c>
      <c r="D343" s="62" t="s">
        <v>631</v>
      </c>
    </row>
    <row r="344" customFormat="false" ht="65" hidden="false" customHeight="true" outlineLevel="0" collapsed="false">
      <c r="A344" s="62" t="s">
        <v>632</v>
      </c>
      <c r="B344" s="63" t="n">
        <f aca="false">IF(ISNUMBER(B342),B341+B342,"范围冲突")</f>
        <v>259</v>
      </c>
      <c r="C344" s="62" t="s">
        <v>192</v>
      </c>
      <c r="D344" s="62" t="s">
        <v>633</v>
      </c>
    </row>
    <row r="345" customFormat="false" ht="65" hidden="false" customHeight="true" outlineLevel="0" collapsed="false">
      <c r="A345" s="62" t="s">
        <v>430</v>
      </c>
      <c r="B345" s="63" t="n">
        <f aca="false">IF(COUNTIF(B28状态纠正!U2:U5,"范围已接受")=4,SUM(B28状态纠正!W2:W5),"范围冲突")</f>
        <v>1</v>
      </c>
      <c r="C345" s="62" t="s">
        <v>67</v>
      </c>
      <c r="D345" s="62" t="s">
        <v>634</v>
      </c>
    </row>
    <row r="346" customFormat="false" ht="65" hidden="false" customHeight="true" outlineLevel="0" collapsed="false">
      <c r="A346" s="62" t="s">
        <v>426</v>
      </c>
      <c r="B346" s="63" t="n">
        <f aca="false">IF(COUNTIF(B28状态纠正!U2:U5,"范围已接受")=4,SUM(B28状态纠正!X2:X5),"范围冲突")</f>
        <v>0</v>
      </c>
      <c r="C346" s="62" t="s">
        <v>67</v>
      </c>
      <c r="D346" s="62" t="s">
        <v>635</v>
      </c>
    </row>
    <row r="347" customFormat="false" ht="65" hidden="false" customHeight="true" outlineLevel="0" collapsed="false">
      <c r="A347" s="62" t="s">
        <v>636</v>
      </c>
      <c r="B347" s="63" t="n">
        <f aca="false">IF(COUNTIF(B28状态纠正!U2:U5,"范围已接受")=4,SUM(B28状态纠正!Y2:Y5),"范围冲突")</f>
        <v>0</v>
      </c>
      <c r="C347" s="62" t="s">
        <v>64</v>
      </c>
      <c r="D347" s="62" t="s">
        <v>637</v>
      </c>
    </row>
    <row r="348" customFormat="false" ht="65" hidden="false" customHeight="true" outlineLevel="0" collapsed="false">
      <c r="A348" s="62" t="s">
        <v>638</v>
      </c>
      <c r="B348" s="63" t="n">
        <f aca="false">SUM(B28状态纠正!F2:F5)</f>
        <v>45</v>
      </c>
      <c r="C348" s="62" t="s">
        <v>64</v>
      </c>
      <c r="D348" s="62" t="s">
        <v>639</v>
      </c>
    </row>
    <row r="349" customFormat="false" ht="65" hidden="false" customHeight="true" outlineLevel="0" collapsed="false">
      <c r="A349" s="62" t="s">
        <v>640</v>
      </c>
      <c r="B349" s="63" t="n">
        <f aca="false">IF(ISNUMBER(B346),B310+B346,"范围冲突")</f>
        <v>97</v>
      </c>
      <c r="C349" s="62" t="s">
        <v>67</v>
      </c>
      <c r="D349" s="62" t="s">
        <v>641</v>
      </c>
    </row>
    <row r="350" customFormat="false" ht="65" hidden="false" customHeight="true" outlineLevel="0" collapsed="false">
      <c r="A350" s="62" t="s">
        <v>642</v>
      </c>
      <c r="B350" s="63" t="n">
        <f aca="false">IF(ISNUMBER(B347),B311+B347,"范围冲突")</f>
        <v>4250</v>
      </c>
      <c r="C350" s="62" t="s">
        <v>64</v>
      </c>
      <c r="D350" s="62" t="s">
        <v>643</v>
      </c>
    </row>
    <row r="351" customFormat="false" ht="65" hidden="false" customHeight="true" outlineLevel="0" collapsed="false">
      <c r="A351" s="62" t="s">
        <v>644</v>
      </c>
      <c r="B351" s="63" t="str">
        <f aca="false">IF(B28状态纠正!U2="范围已接受",B28状态纠正!I2,"范围冲突")</f>
        <v>verified</v>
      </c>
      <c r="C351" s="62" t="s">
        <v>645</v>
      </c>
      <c r="D351" s="62" t="s">
        <v>646</v>
      </c>
    </row>
    <row r="352" customFormat="false" ht="65" hidden="false" customHeight="true" outlineLevel="0" collapsed="false">
      <c r="A352" s="62" t="s">
        <v>647</v>
      </c>
      <c r="B352" s="63" t="n">
        <f aca="false">B321</f>
        <v>2</v>
      </c>
      <c r="C352" s="62" t="s">
        <v>67</v>
      </c>
      <c r="D352" s="62" t="s">
        <v>648</v>
      </c>
    </row>
    <row r="353" customFormat="false" ht="65" hidden="false" customHeight="true" outlineLevel="0" collapsed="false">
      <c r="A353" s="62" t="s">
        <v>649</v>
      </c>
      <c r="B353" s="63" t="n">
        <f aca="false">B320</f>
        <v>18</v>
      </c>
      <c r="C353" s="62" t="s">
        <v>67</v>
      </c>
      <c r="D353" s="62" t="s">
        <v>650</v>
      </c>
    </row>
    <row r="354" customFormat="false" ht="65" hidden="false" customHeight="true" outlineLevel="0" collapsed="false">
      <c r="A354" s="62" t="s">
        <v>651</v>
      </c>
      <c r="B354" s="63" t="n">
        <f aca="false">IF(ISNUMBER(B345),B352+B345,"范围冲突")</f>
        <v>3</v>
      </c>
      <c r="C354" s="62" t="s">
        <v>67</v>
      </c>
      <c r="D354" s="62" t="s">
        <v>652</v>
      </c>
    </row>
    <row r="355" customFormat="false" ht="65" hidden="false" customHeight="true" outlineLevel="0" collapsed="false">
      <c r="A355" s="62" t="s">
        <v>653</v>
      </c>
      <c r="B355" s="63" t="n">
        <f aca="false">IF(ISNUMBER(B345),B353-B345,"范围冲突")</f>
        <v>17</v>
      </c>
      <c r="C355" s="62" t="s">
        <v>67</v>
      </c>
      <c r="D355" s="62" t="s">
        <v>654</v>
      </c>
    </row>
    <row r="356" customFormat="false" ht="65" hidden="false" customHeight="true" outlineLevel="0" collapsed="false">
      <c r="A356" s="62" t="s">
        <v>655</v>
      </c>
      <c r="B356" s="63" t="n">
        <f aca="false">IF(ISNUMBER(B345),B329+B345,"范围冲突")</f>
        <v>423</v>
      </c>
      <c r="C356" s="62" t="s">
        <v>67</v>
      </c>
      <c r="D356" s="62" t="s">
        <v>656</v>
      </c>
    </row>
    <row r="357" customFormat="false" ht="65" hidden="false" customHeight="true" outlineLevel="0" collapsed="false">
      <c r="A357" s="62" t="s">
        <v>657</v>
      </c>
      <c r="B357" s="63" t="n">
        <v>2342</v>
      </c>
      <c r="C357" s="62" t="s">
        <v>67</v>
      </c>
      <c r="D357" s="62" t="s">
        <v>658</v>
      </c>
    </row>
    <row r="358" customFormat="false" ht="65" hidden="false" customHeight="true" outlineLevel="0" collapsed="false">
      <c r="A358" s="62" t="s">
        <v>659</v>
      </c>
      <c r="B358" s="63" t="n">
        <v>17</v>
      </c>
      <c r="C358" s="62" t="s">
        <v>67</v>
      </c>
      <c r="D358" s="62" t="s">
        <v>658</v>
      </c>
    </row>
    <row r="359" customFormat="false" ht="65" hidden="false" customHeight="true" outlineLevel="0" collapsed="false">
      <c r="A359" s="62" t="s">
        <v>660</v>
      </c>
      <c r="B359" s="63" t="n">
        <v>2749</v>
      </c>
      <c r="C359" s="62" t="s">
        <v>67</v>
      </c>
      <c r="D359" s="62" t="s">
        <v>661</v>
      </c>
    </row>
    <row r="360" customFormat="false" ht="65" hidden="false" customHeight="true" outlineLevel="0" collapsed="false">
      <c r="A360" s="62" t="s">
        <v>480</v>
      </c>
      <c r="B360" s="63" t="s">
        <v>481</v>
      </c>
      <c r="C360" s="62" t="s">
        <v>67</v>
      </c>
      <c r="D360" s="62" t="s">
        <v>662</v>
      </c>
    </row>
    <row r="361" customFormat="false" ht="65" hidden="false" customHeight="true" outlineLevel="0" collapsed="false">
      <c r="A361" s="62" t="s">
        <v>663</v>
      </c>
      <c r="B361" s="63" t="s">
        <v>136</v>
      </c>
      <c r="C361" s="62" t="s">
        <v>370</v>
      </c>
      <c r="D361" s="62" t="s">
        <v>664</v>
      </c>
    </row>
    <row r="362" customFormat="false" ht="65" hidden="false" customHeight="true" outlineLevel="0" collapsed="false">
      <c r="A362" s="62" t="s">
        <v>665</v>
      </c>
      <c r="B362" s="63" t="s">
        <v>140</v>
      </c>
      <c r="C362" s="62" t="s">
        <v>370</v>
      </c>
      <c r="D362" s="62" t="s">
        <v>666</v>
      </c>
    </row>
    <row r="363" customFormat="false" ht="65" hidden="false" customHeight="true" outlineLevel="0" collapsed="false">
      <c r="A363" s="62" t="s">
        <v>667</v>
      </c>
      <c r="B363" s="63" t="n">
        <v>423</v>
      </c>
      <c r="C363" s="62" t="s">
        <v>67</v>
      </c>
      <c r="D363" s="62" t="s">
        <v>668</v>
      </c>
    </row>
    <row r="364" customFormat="false" ht="65" hidden="false" customHeight="true" outlineLevel="0" collapsed="false">
      <c r="A364" s="62" t="s">
        <v>669</v>
      </c>
      <c r="B364" s="63" t="s">
        <v>670</v>
      </c>
      <c r="C364" s="62" t="s">
        <v>671</v>
      </c>
      <c r="D364" s="62" t="s">
        <v>672</v>
      </c>
    </row>
    <row r="365" customFormat="false" ht="65" hidden="false" customHeight="true" outlineLevel="0" collapsed="false">
      <c r="A365" s="62" t="s">
        <v>673</v>
      </c>
      <c r="B365" s="63" t="s">
        <v>674</v>
      </c>
      <c r="C365" s="62" t="s">
        <v>671</v>
      </c>
      <c r="D365" s="62" t="s">
        <v>675</v>
      </c>
    </row>
    <row r="366" customFormat="false" ht="65" hidden="false" customHeight="true" outlineLevel="0" collapsed="false">
      <c r="A366" s="62" t="s">
        <v>676</v>
      </c>
      <c r="B366" s="63" t="n">
        <v>0</v>
      </c>
      <c r="C366" s="62" t="s">
        <v>384</v>
      </c>
      <c r="D366" s="62" t="str">
        <f aca="false">HYPERLINK("https://chatgpt.com/api/library/files/libfile_b66f1f1d5e4c81918a4a8e2b9238a85e/download","下载B28私有纠正元数据包")</f>
        <v>下载B28私有纠正元数据包</v>
      </c>
    </row>
    <row r="367" customFormat="false" ht="65" hidden="false" customHeight="true" outlineLevel="0" collapsed="false">
      <c r="A367" s="62" t="s">
        <v>677</v>
      </c>
      <c r="B367" s="62" t="s">
        <v>678</v>
      </c>
      <c r="C367" s="62" t="s">
        <v>30</v>
      </c>
      <c r="D367" s="62" t="s">
        <v>679</v>
      </c>
    </row>
    <row r="368" customFormat="false" ht="65" hidden="false" customHeight="true" outlineLevel="0" collapsed="false">
      <c r="A368" s="62" t="s">
        <v>680</v>
      </c>
      <c r="B368" s="63" t="s">
        <v>681</v>
      </c>
      <c r="C368" s="62" t="s">
        <v>118</v>
      </c>
      <c r="D368" s="62" t="s">
        <v>682</v>
      </c>
    </row>
    <row r="369" customFormat="false" ht="65" hidden="false" customHeight="true" outlineLevel="0" collapsed="false">
      <c r="A369" s="62" t="s">
        <v>683</v>
      </c>
      <c r="B369" s="63" t="n">
        <v>0</v>
      </c>
      <c r="C369" s="62" t="s">
        <v>684</v>
      </c>
      <c r="D369" s="62" t="s">
        <v>685</v>
      </c>
    </row>
    <row r="370" customFormat="false" ht="65" hidden="false" customHeight="true" outlineLevel="0" collapsed="false">
      <c r="A370" s="62" t="s">
        <v>686</v>
      </c>
      <c r="B370" s="63" t="s">
        <v>687</v>
      </c>
      <c r="C370" s="62" t="s">
        <v>30</v>
      </c>
      <c r="D370" s="62" t="s">
        <v>688</v>
      </c>
    </row>
    <row r="371" customFormat="false" ht="65" hidden="false" customHeight="true" outlineLevel="0" collapsed="false">
      <c r="A371" s="62" t="s">
        <v>689</v>
      </c>
      <c r="B371" s="62" t="s">
        <v>690</v>
      </c>
      <c r="C371" s="62" t="s">
        <v>30</v>
      </c>
      <c r="D371" s="62" t="s">
        <v>691</v>
      </c>
    </row>
    <row r="372" customFormat="false" ht="65" hidden="false" customHeight="true" outlineLevel="0" collapsed="false">
      <c r="A372" s="62" t="s">
        <v>692</v>
      </c>
      <c r="B372" s="63" t="s">
        <v>693</v>
      </c>
      <c r="C372" s="62" t="s">
        <v>30</v>
      </c>
      <c r="D372" s="62" t="s">
        <v>694</v>
      </c>
    </row>
    <row r="373" customFormat="false" ht="65" hidden="false" customHeight="true" outlineLevel="0" collapsed="false">
      <c r="A373" s="62" t="s">
        <v>695</v>
      </c>
      <c r="B373" s="63" t="n">
        <v>5707</v>
      </c>
      <c r="C373" s="62" t="s">
        <v>567</v>
      </c>
      <c r="D373" s="62" t="s">
        <v>696</v>
      </c>
    </row>
    <row r="374" customFormat="false" ht="65" hidden="false" customHeight="true" outlineLevel="0" collapsed="false">
      <c r="A374" s="62" t="s">
        <v>697</v>
      </c>
      <c r="B374" s="62" t="s">
        <v>698</v>
      </c>
      <c r="C374" s="62" t="s">
        <v>30</v>
      </c>
      <c r="D374" s="62" t="s">
        <v>699</v>
      </c>
    </row>
    <row r="376" customFormat="false" ht="17.15" hidden="false" customHeight="false" outlineLevel="0" collapsed="false">
      <c r="A376" s="64" t="s">
        <v>700</v>
      </c>
      <c r="B376" s="65" t="s">
        <v>4</v>
      </c>
      <c r="C376" s="65" t="s">
        <v>5</v>
      </c>
      <c r="D376" s="65" t="s">
        <v>701</v>
      </c>
    </row>
    <row r="377" customFormat="false" ht="72" hidden="false" customHeight="true" outlineLevel="0" collapsed="false">
      <c r="A377" s="66" t="s">
        <v>702</v>
      </c>
      <c r="B377" s="67" t="n">
        <f aca="false">B344</f>
        <v>259</v>
      </c>
      <c r="C377" s="66" t="s">
        <v>192</v>
      </c>
      <c r="D377" s="66" t="s">
        <v>703</v>
      </c>
    </row>
    <row r="378" customFormat="false" ht="72" hidden="false" customHeight="true" outlineLevel="0" collapsed="false">
      <c r="A378" s="66" t="s">
        <v>704</v>
      </c>
      <c r="B378" s="67" t="n">
        <f aca="false">IF(COUNTIF('B25-27内容验收'!AB2:AB31,"范围已验收")=30,SUM('B25-27内容验收'!AA2:AA31),"范围冲突")</f>
        <v>30</v>
      </c>
      <c r="C378" s="66" t="s">
        <v>192</v>
      </c>
      <c r="D378" s="66" t="s">
        <v>705</v>
      </c>
    </row>
    <row r="379" customFormat="false" ht="72" hidden="false" customHeight="true" outlineLevel="0" collapsed="false">
      <c r="A379" s="66" t="s">
        <v>632</v>
      </c>
      <c r="B379" s="67" t="n">
        <f aca="false">IF(COUNTIF('B25-27内容验收'!AB2:AB31,"范围已验收")=30,B344+B378,"范围冲突")</f>
        <v>289</v>
      </c>
      <c r="C379" s="66" t="s">
        <v>192</v>
      </c>
      <c r="D379" s="66" t="s">
        <v>706</v>
      </c>
    </row>
    <row r="380" customFormat="false" ht="72" hidden="false" customHeight="true" outlineLevel="0" collapsed="false">
      <c r="A380" s="66" t="s">
        <v>707</v>
      </c>
      <c r="B380" s="67" t="n">
        <f aca="false">IF(COUNTIF('B25-27内容验收'!AB2:AB31,"范围已验收")=30,SUM('B25-27内容验收'!Y2:Y31),"范围冲突")</f>
        <v>30</v>
      </c>
      <c r="C380" s="66" t="s">
        <v>67</v>
      </c>
      <c r="D380" s="66" t="s">
        <v>708</v>
      </c>
    </row>
    <row r="381" customFormat="false" ht="72" hidden="false" customHeight="true" outlineLevel="0" collapsed="false">
      <c r="A381" s="66" t="s">
        <v>709</v>
      </c>
      <c r="B381" s="67" t="n">
        <f aca="false">IF(COUNTIF('B25-27内容验收'!AB2:AB31,"范围已验收")=30,SUM('B25-27内容验收'!V2:V31),"范围冲突")</f>
        <v>-1</v>
      </c>
      <c r="C381" s="66" t="s">
        <v>67</v>
      </c>
      <c r="D381" s="66" t="s">
        <v>710</v>
      </c>
    </row>
    <row r="382" customFormat="false" ht="72" hidden="false" customHeight="true" outlineLevel="0" collapsed="false">
      <c r="A382" s="66" t="s">
        <v>711</v>
      </c>
      <c r="B382" s="67" t="n">
        <f aca="false">IF(COUNTIF('B25-27内容验收'!AB2:AB31,"范围已验收")=30,SUM('B25-27内容验收'!W2:W31),"范围冲突")</f>
        <v>3</v>
      </c>
      <c r="C382" s="66" t="s">
        <v>67</v>
      </c>
      <c r="D382" s="66" t="s">
        <v>712</v>
      </c>
    </row>
    <row r="383" customFormat="false" ht="72" hidden="false" customHeight="true" outlineLevel="0" collapsed="false">
      <c r="A383" s="66" t="s">
        <v>713</v>
      </c>
      <c r="B383" s="67" t="n">
        <f aca="false">IF(COUNTIF('B25-27内容验收'!AB2:AB31,"范围已验收")=30,SUM('B25-27内容验收'!X2:X31),"范围冲突")</f>
        <v>1</v>
      </c>
      <c r="C383" s="66" t="s">
        <v>67</v>
      </c>
      <c r="D383" s="66" t="s">
        <v>714</v>
      </c>
    </row>
    <row r="384" customFormat="false" ht="72" hidden="false" customHeight="true" outlineLevel="0" collapsed="false">
      <c r="A384" s="66" t="s">
        <v>715</v>
      </c>
      <c r="B384" s="67" t="n">
        <f aca="false">IF(COUNTIF('B25-27内容验收'!AB2:AB31,"范围已验收")=30,SUM('B25-27内容验收'!Z2:Z31),"范围冲突")</f>
        <v>1891</v>
      </c>
      <c r="C384" s="66" t="s">
        <v>64</v>
      </c>
      <c r="D384" s="66" t="s">
        <v>716</v>
      </c>
    </row>
    <row r="385" customFormat="false" ht="72" hidden="false" customHeight="true" outlineLevel="0" collapsed="false">
      <c r="A385" s="66" t="s">
        <v>640</v>
      </c>
      <c r="B385" s="67" t="n">
        <f aca="false">IF(COUNTIF('B25-27内容验收'!AB2:AB31,"范围已验收")=30,B349+B380,"范围冲突")</f>
        <v>127</v>
      </c>
      <c r="C385" s="66" t="s">
        <v>67</v>
      </c>
      <c r="D385" s="66" t="s">
        <v>717</v>
      </c>
    </row>
    <row r="386" customFormat="false" ht="72" hidden="false" customHeight="true" outlineLevel="0" collapsed="false">
      <c r="A386" s="66" t="s">
        <v>642</v>
      </c>
      <c r="B386" s="67" t="n">
        <f aca="false">IF(COUNTIF('B25-27内容验收'!AB2:AB31,"范围已验收")=30,B350+B384,"范围冲突")</f>
        <v>6141</v>
      </c>
      <c r="C386" s="66" t="s">
        <v>64</v>
      </c>
      <c r="D386" s="66" t="s">
        <v>718</v>
      </c>
    </row>
    <row r="387" customFormat="false" ht="72" hidden="false" customHeight="true" outlineLevel="0" collapsed="false">
      <c r="A387" s="66" t="s">
        <v>719</v>
      </c>
      <c r="B387" s="67" t="n">
        <f aca="false">IF(COUNTIF('B25-27内容验收'!AB2:AB31,"范围已验收")=30,B312+B380,"范围冲突")</f>
        <v>127</v>
      </c>
      <c r="C387" s="66" t="s">
        <v>67</v>
      </c>
      <c r="D387" s="66" t="s">
        <v>720</v>
      </c>
    </row>
    <row r="388" customFormat="false" ht="72" hidden="false" customHeight="true" outlineLevel="0" collapsed="false">
      <c r="A388" s="66" t="s">
        <v>721</v>
      </c>
      <c r="B388" s="67" t="n">
        <f aca="false">IF(COUNTIF('B25-27内容验收'!AB2:AB31,"范围已验收")=30,B313+B381,"范围冲突")</f>
        <v>3</v>
      </c>
      <c r="C388" s="66" t="s">
        <v>67</v>
      </c>
      <c r="D388" s="66" t="s">
        <v>722</v>
      </c>
    </row>
    <row r="389" customFormat="false" ht="72" hidden="false" customHeight="true" outlineLevel="0" collapsed="false">
      <c r="A389" s="66" t="s">
        <v>723</v>
      </c>
      <c r="B389" s="67" t="n">
        <f aca="false">IF(COUNTIF('B25-27内容验收'!AB2:AB31,"范围已验收")=30,B314-B380-B381,"范围冲突")</f>
        <v>8</v>
      </c>
      <c r="C389" s="66" t="s">
        <v>67</v>
      </c>
      <c r="D389" s="66" t="s">
        <v>724</v>
      </c>
    </row>
    <row r="390" customFormat="false" ht="72" hidden="false" customHeight="true" outlineLevel="0" collapsed="false">
      <c r="A390" s="66" t="s">
        <v>725</v>
      </c>
      <c r="B390" s="67" t="n">
        <f aca="false">IF(COUNTIF('B25-27内容验收'!AB2:AB31,"范围已验收")=30,B388+B389,"范围冲突")</f>
        <v>11</v>
      </c>
      <c r="C390" s="66" t="s">
        <v>67</v>
      </c>
      <c r="D390" s="66" t="s">
        <v>726</v>
      </c>
    </row>
    <row r="391" customFormat="false" ht="72" hidden="false" customHeight="true" outlineLevel="0" collapsed="false">
      <c r="A391" s="66" t="s">
        <v>727</v>
      </c>
      <c r="B391" s="67" t="n">
        <f aca="false">IF(COUNTIF('B25-27内容验收'!AB2:AB31,"范围已验收")=30,B316+SUMIF('B25-27内容验收'!BP2:BP31,TRUE(),'B25-27内容验收'!Y2:Y31),"范围冲突")</f>
        <v>81</v>
      </c>
      <c r="C391" s="66" t="s">
        <v>67</v>
      </c>
      <c r="D391" s="66" t="s">
        <v>728</v>
      </c>
    </row>
    <row r="392" customFormat="false" ht="72" hidden="false" customHeight="true" outlineLevel="0" collapsed="false">
      <c r="A392" s="66" t="s">
        <v>729</v>
      </c>
      <c r="B392" s="67" t="n">
        <f aca="false">IF(COUNTIF('B25-27内容验收'!AB2:AB31,"范围已验收")=30,B317+SUMIF('B25-27内容验收'!BP2:BP31,TRUE(),'B25-27内容验收'!V2:V31),"范围冲突")</f>
        <v>1</v>
      </c>
      <c r="C392" s="66" t="s">
        <v>67</v>
      </c>
      <c r="D392" s="66" t="s">
        <v>730</v>
      </c>
    </row>
    <row r="393" customFormat="false" ht="72" hidden="false" customHeight="true" outlineLevel="0" collapsed="false">
      <c r="A393" s="66" t="s">
        <v>731</v>
      </c>
      <c r="B393" s="67" t="n">
        <f aca="false">IF(COUNTIF('B25-27内容验收'!AB2:AB31,"范围已验收")=30,B318-SUMIF('B25-27内容验收'!BP2:BP31,TRUE(),'B25-27内容验收'!Y2:Y31)-SUMIF('B25-27内容验收'!BP2:BP31,TRUE(),'B25-27内容验收'!V2:V31),"范围冲突")</f>
        <v>8</v>
      </c>
      <c r="C393" s="66" t="s">
        <v>67</v>
      </c>
      <c r="D393" s="66" t="s">
        <v>732</v>
      </c>
    </row>
    <row r="394" customFormat="false" ht="72" hidden="false" customHeight="true" outlineLevel="0" collapsed="false">
      <c r="A394" s="66" t="s">
        <v>733</v>
      </c>
      <c r="B394" s="67" t="n">
        <f aca="false">IF(COUNTIF('B25-27内容验收'!AB2:AB31,"范围已验收")=30,B392+B393,"范围冲突")</f>
        <v>9</v>
      </c>
      <c r="C394" s="66" t="s">
        <v>67</v>
      </c>
      <c r="D394" s="66" t="s">
        <v>734</v>
      </c>
    </row>
    <row r="395" customFormat="false" ht="72" hidden="false" customHeight="true" outlineLevel="0" collapsed="false">
      <c r="A395" s="66" t="s">
        <v>735</v>
      </c>
      <c r="B395" s="67" t="n">
        <f aca="false">IF(COUNTIF('B25-27内容验收'!AB2:AB31,"范围已验收")=30,COUNTIF('B25-27内容验收'!AR2:AR31,"verified"),"范围冲突")</f>
        <v>3</v>
      </c>
      <c r="C395" s="66" t="s">
        <v>67</v>
      </c>
      <c r="D395" s="66" t="s">
        <v>736</v>
      </c>
    </row>
    <row r="396" customFormat="false" ht="72" hidden="false" customHeight="true" outlineLevel="0" collapsed="false">
      <c r="A396" s="66" t="s">
        <v>737</v>
      </c>
      <c r="B396" s="67" t="n">
        <f aca="false">IF(COUNTIF('B25-27内容验收'!AB2:AB31,"范围已验收")=30,COUNTIF('B25-27内容验收'!AR2:AR31,"needs_review"),"范围冲突")</f>
        <v>27</v>
      </c>
      <c r="C396" s="66" t="s">
        <v>67</v>
      </c>
      <c r="D396" s="66" t="s">
        <v>738</v>
      </c>
    </row>
    <row r="397" customFormat="false" ht="72" hidden="false" customHeight="true" outlineLevel="0" collapsed="false">
      <c r="A397" s="66" t="s">
        <v>739</v>
      </c>
      <c r="B397" s="67" t="n">
        <f aca="false">IF(COUNTIF('B25-27内容验收'!AB2:AB31,"范围已验收")=30,SUM('B25-27内容验收'!I2:I31),"范围冲突")</f>
        <v>1891</v>
      </c>
      <c r="C397" s="66" t="s">
        <v>64</v>
      </c>
      <c r="D397" s="66" t="s">
        <v>740</v>
      </c>
    </row>
    <row r="398" customFormat="false" ht="72" hidden="false" customHeight="true" outlineLevel="0" collapsed="false">
      <c r="A398" s="66" t="s">
        <v>741</v>
      </c>
      <c r="B398" s="67" t="n">
        <f aca="false">IF(COUNTIF('B25-27内容验收'!AB2:AB31,"范围已验收")=30,SUM('B25-27内容验收'!K2:K31),"范围冲突")</f>
        <v>1891</v>
      </c>
      <c r="C398" s="66" t="s">
        <v>64</v>
      </c>
      <c r="D398" s="66" t="s">
        <v>742</v>
      </c>
    </row>
    <row r="399" customFormat="false" ht="72" hidden="false" customHeight="true" outlineLevel="0" collapsed="false">
      <c r="A399" s="66" t="s">
        <v>663</v>
      </c>
      <c r="B399" s="67" t="s">
        <v>743</v>
      </c>
      <c r="C399" s="66" t="s">
        <v>370</v>
      </c>
      <c r="D399" s="66" t="s">
        <v>744</v>
      </c>
    </row>
    <row r="400" customFormat="false" ht="72" hidden="false" customHeight="true" outlineLevel="0" collapsed="false">
      <c r="A400" s="66" t="s">
        <v>665</v>
      </c>
      <c r="B400" s="67" t="s">
        <v>745</v>
      </c>
      <c r="C400" s="66" t="s">
        <v>370</v>
      </c>
      <c r="D400" s="66" t="s">
        <v>746</v>
      </c>
    </row>
    <row r="401" customFormat="false" ht="72" hidden="false" customHeight="true" outlineLevel="0" collapsed="false">
      <c r="A401" s="66" t="s">
        <v>657</v>
      </c>
      <c r="B401" s="67" t="n">
        <f aca="false">IF(COUNTIF('B25-27内容验收'!AB2:AB31,"范围已验收")=30,B357+B380,"范围冲突")</f>
        <v>2372</v>
      </c>
      <c r="C401" s="66" t="s">
        <v>67</v>
      </c>
      <c r="D401" s="66" t="s">
        <v>747</v>
      </c>
    </row>
    <row r="402" customFormat="false" ht="72" hidden="false" customHeight="true" outlineLevel="0" collapsed="false">
      <c r="A402" s="66" t="s">
        <v>659</v>
      </c>
      <c r="B402" s="67" t="n">
        <f aca="false">IF(COUNTIF('B25-27内容验收'!AB2:AB31,"范围已验收")=30,B358+B381,"范围冲突")</f>
        <v>16</v>
      </c>
      <c r="C402" s="66" t="s">
        <v>67</v>
      </c>
      <c r="D402" s="66" t="s">
        <v>748</v>
      </c>
    </row>
    <row r="403" customFormat="false" ht="72" hidden="false" customHeight="true" outlineLevel="0" collapsed="false">
      <c r="A403" s="66" t="s">
        <v>660</v>
      </c>
      <c r="B403" s="67" t="n">
        <f aca="false">IF(COUNTIF('B25-27内容验收'!AB2:AB31,"范围已验收")=30,B359+B383,"范围冲突")</f>
        <v>2750</v>
      </c>
      <c r="C403" s="66" t="s">
        <v>67</v>
      </c>
      <c r="D403" s="66" t="s">
        <v>749</v>
      </c>
    </row>
    <row r="404" customFormat="false" ht="72" hidden="false" customHeight="true" outlineLevel="0" collapsed="false">
      <c r="A404" s="66" t="s">
        <v>750</v>
      </c>
      <c r="B404" s="67" t="n">
        <f aca="false">IF(COUNTIF('B25-27内容验收'!AB2:AB31,"范围已验收")=30,B356+B382,"范围冲突")</f>
        <v>426</v>
      </c>
      <c r="C404" s="66" t="s">
        <v>67</v>
      </c>
      <c r="D404" s="66" t="s">
        <v>751</v>
      </c>
    </row>
    <row r="405" customFormat="false" ht="72" hidden="false" customHeight="true" outlineLevel="0" collapsed="false">
      <c r="A405" s="66" t="s">
        <v>480</v>
      </c>
      <c r="B405" s="67" t="s">
        <v>752</v>
      </c>
      <c r="C405" s="66" t="s">
        <v>67</v>
      </c>
      <c r="D405" s="66" t="s">
        <v>753</v>
      </c>
    </row>
    <row r="406" customFormat="false" ht="72" hidden="false" customHeight="true" outlineLevel="0" collapsed="false">
      <c r="A406" s="66" t="s">
        <v>754</v>
      </c>
      <c r="B406" s="67" t="n">
        <f aca="false">IF(COUNTIF('B25-27内容验收'!AB2:AB31,"范围已验收")=30,SUM('B25-27内容验收'!Q2:Q31),"范围冲突")</f>
        <v>0</v>
      </c>
      <c r="C406" s="66" t="s">
        <v>67</v>
      </c>
      <c r="D406" s="66" t="s">
        <v>755</v>
      </c>
    </row>
    <row r="407" customFormat="false" ht="72" hidden="false" customHeight="true" outlineLevel="0" collapsed="false">
      <c r="A407" s="66" t="s">
        <v>756</v>
      </c>
      <c r="B407" s="67" t="n">
        <f aca="false">IF(COUNTIF('B25-27内容验收'!AB2:AB31,"范围已验收")=30,SUM('B25-27内容验收'!R2:R31),"范围冲突")</f>
        <v>0</v>
      </c>
      <c r="C407" s="66" t="s">
        <v>349</v>
      </c>
      <c r="D407" s="66" t="s">
        <v>757</v>
      </c>
    </row>
    <row r="408" customFormat="false" ht="72" hidden="false" customHeight="true" outlineLevel="0" collapsed="false">
      <c r="A408" s="66" t="s">
        <v>758</v>
      </c>
      <c r="B408" s="67" t="n">
        <f aca="false">IF(COUNTIF('B25-27内容验收'!AB2:AB31,"范围已验收")=30,SUM('B25-27内容验收'!S2:S31),"范围冲突")</f>
        <v>0</v>
      </c>
      <c r="C408" s="66" t="s">
        <v>26</v>
      </c>
      <c r="D408" s="66" t="s">
        <v>759</v>
      </c>
    </row>
    <row r="409" customFormat="false" ht="72" hidden="false" customHeight="true" outlineLevel="0" collapsed="false">
      <c r="A409" s="66" t="s">
        <v>760</v>
      </c>
      <c r="B409" s="67" t="n">
        <f aca="false">IF(COUNTIF('B25-27内容验收'!AB2:AB31,"范围已验收")=30,SUM('B25-27内容验收'!T2:T31),"范围冲突")</f>
        <v>0</v>
      </c>
      <c r="C409" s="66" t="s">
        <v>354</v>
      </c>
      <c r="D409" s="66" t="s">
        <v>761</v>
      </c>
    </row>
    <row r="410" customFormat="false" ht="72" hidden="false" customHeight="true" outlineLevel="0" collapsed="false">
      <c r="A410" s="66" t="s">
        <v>762</v>
      </c>
      <c r="B410" s="67" t="n">
        <f aca="false">IF(COUNTIF('B25-27内容验收'!AB2:AB31,"范围已验收")=30,SUM('B25-27内容验收'!U2:U31),"范围冲突")</f>
        <v>0</v>
      </c>
      <c r="C410" s="66" t="s">
        <v>26</v>
      </c>
      <c r="D410" s="66" t="s">
        <v>763</v>
      </c>
    </row>
    <row r="411" customFormat="false" ht="72" hidden="false" customHeight="true" outlineLevel="0" collapsed="false">
      <c r="A411" s="66" t="s">
        <v>764</v>
      </c>
      <c r="B411" s="67" t="n">
        <v>0</v>
      </c>
      <c r="C411" s="66" t="s">
        <v>384</v>
      </c>
      <c r="D411" s="66" t="str">
        <f aca="false">HYPERLINK("https://chatgpt.com/api/library/files/libfile_66b6637a9d148191be83fc71e96c314a/download","下载合并私有接受元数据包")</f>
        <v>下载合并私有接受元数据包</v>
      </c>
    </row>
    <row r="412" customFormat="false" ht="72" hidden="false" customHeight="true" outlineLevel="0" collapsed="false">
      <c r="A412" s="66" t="s">
        <v>765</v>
      </c>
      <c r="B412" s="68" t="s">
        <v>124</v>
      </c>
      <c r="C412" s="66" t="s">
        <v>118</v>
      </c>
      <c r="D412" s="66" t="s">
        <v>766</v>
      </c>
    </row>
    <row r="413" customFormat="false" ht="72" hidden="false" customHeight="true" outlineLevel="0" collapsed="false">
      <c r="A413" s="66" t="s">
        <v>487</v>
      </c>
      <c r="B413" s="67" t="n">
        <v>1355</v>
      </c>
      <c r="C413" s="66" t="s">
        <v>767</v>
      </c>
      <c r="D413" s="66" t="s">
        <v>768</v>
      </c>
    </row>
    <row r="414" customFormat="false" ht="72" hidden="false" customHeight="true" outlineLevel="0" collapsed="false">
      <c r="A414" s="66" t="s">
        <v>563</v>
      </c>
      <c r="B414" s="67" t="s">
        <v>769</v>
      </c>
      <c r="C414" s="66" t="s">
        <v>30</v>
      </c>
      <c r="D414" s="66" t="s">
        <v>770</v>
      </c>
    </row>
    <row r="415" customFormat="false" ht="72" hidden="false" customHeight="true" outlineLevel="0" collapsed="false">
      <c r="A415" s="66" t="s">
        <v>771</v>
      </c>
      <c r="B415" s="67" t="n">
        <v>5793</v>
      </c>
      <c r="C415" s="66" t="s">
        <v>567</v>
      </c>
      <c r="D415" s="66" t="s">
        <v>772</v>
      </c>
    </row>
    <row r="416" customFormat="false" ht="72" hidden="false" customHeight="true" outlineLevel="0" collapsed="false">
      <c r="A416" s="66" t="s">
        <v>773</v>
      </c>
      <c r="B416" s="67" t="n">
        <v>5</v>
      </c>
      <c r="C416" s="66" t="s">
        <v>67</v>
      </c>
      <c r="D416" s="66" t="s">
        <v>774</v>
      </c>
    </row>
    <row r="417" customFormat="false" ht="72" hidden="false" customHeight="true" outlineLevel="0" collapsed="false">
      <c r="A417" s="66" t="s">
        <v>775</v>
      </c>
      <c r="B417" s="67" t="n">
        <v>4</v>
      </c>
      <c r="C417" s="66" t="s">
        <v>67</v>
      </c>
      <c r="D417" s="66" t="s">
        <v>776</v>
      </c>
    </row>
    <row r="418" customFormat="false" ht="72" hidden="false" customHeight="true" outlineLevel="0" collapsed="false">
      <c r="A418" s="66" t="s">
        <v>777</v>
      </c>
      <c r="B418" s="67" t="n">
        <v>1</v>
      </c>
      <c r="C418" s="66" t="s">
        <v>67</v>
      </c>
      <c r="D418" s="66" t="s">
        <v>778</v>
      </c>
    </row>
    <row r="419" customFormat="false" ht="72" hidden="false" customHeight="true" outlineLevel="0" collapsed="false">
      <c r="A419" s="66" t="s">
        <v>779</v>
      </c>
      <c r="B419" s="67" t="n">
        <v>4</v>
      </c>
      <c r="C419" s="66" t="s">
        <v>67</v>
      </c>
      <c r="D419" s="66" t="s">
        <v>780</v>
      </c>
    </row>
    <row r="420" customFormat="false" ht="72" hidden="false" customHeight="true" outlineLevel="0" collapsed="false">
      <c r="A420" s="66" t="s">
        <v>781</v>
      </c>
      <c r="B420" s="68" t="s">
        <v>782</v>
      </c>
      <c r="C420" s="66" t="s">
        <v>783</v>
      </c>
      <c r="D420" s="66" t="s">
        <v>784</v>
      </c>
    </row>
    <row r="421" customFormat="false" ht="72" hidden="false" customHeight="true" outlineLevel="0" collapsed="false">
      <c r="A421" s="66" t="s">
        <v>785</v>
      </c>
      <c r="B421" s="68" t="s">
        <v>786</v>
      </c>
      <c r="C421" s="66" t="s">
        <v>118</v>
      </c>
      <c r="D421" s="66" t="s">
        <v>787</v>
      </c>
    </row>
    <row r="422" customFormat="false" ht="72" hidden="false" customHeight="true" outlineLevel="0" collapsed="false">
      <c r="A422" s="66" t="s">
        <v>788</v>
      </c>
      <c r="B422" s="67" t="s">
        <v>789</v>
      </c>
      <c r="C422" s="66" t="s">
        <v>30</v>
      </c>
      <c r="D422" s="66" t="s">
        <v>790</v>
      </c>
    </row>
    <row r="423" customFormat="false" ht="72" hidden="false" customHeight="true" outlineLevel="0" collapsed="false">
      <c r="A423" s="66" t="s">
        <v>791</v>
      </c>
      <c r="B423" s="67" t="n">
        <v>11</v>
      </c>
      <c r="C423" s="66" t="s">
        <v>67</v>
      </c>
      <c r="D423" s="66" t="s">
        <v>792</v>
      </c>
    </row>
    <row r="424" customFormat="false" ht="72" hidden="false" customHeight="true" outlineLevel="0" collapsed="false">
      <c r="A424" s="66" t="s">
        <v>793</v>
      </c>
      <c r="B424" s="67" t="s">
        <v>794</v>
      </c>
      <c r="C424" s="66" t="s">
        <v>30</v>
      </c>
      <c r="D424" s="66" t="s">
        <v>795</v>
      </c>
    </row>
  </sheetData>
  <conditionalFormatting sqref="B46">
    <cfRule type="cellIs" priority="2" operator="greaterThan" aboveAverage="0" equalAverage="0" bottom="0" percent="0" rank="0" text="" dxfId="0">
      <formula>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0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10"/>
    <col collapsed="false" customWidth="true" hidden="false" outlineLevel="0" max="3" min="3" style="0" width="23"/>
    <col collapsed="false" customWidth="true" hidden="false" outlineLevel="0" max="4" min="4" style="0" width="68"/>
    <col collapsed="false" customWidth="true" hidden="false" outlineLevel="0" max="5" min="5" style="0" width="16"/>
    <col collapsed="false" customWidth="true" hidden="false" outlineLevel="0" max="6" min="6" style="0" width="19"/>
    <col collapsed="false" customWidth="true" hidden="false" outlineLevel="0" max="9" min="7" style="0" width="14"/>
    <col collapsed="false" customWidth="true" hidden="false" outlineLevel="0" max="10" min="10" style="0" width="45"/>
    <col collapsed="false" customWidth="true" hidden="false" outlineLevel="0" max="11" min="11" style="0" width="16"/>
    <col collapsed="false" customWidth="true" hidden="false" outlineLevel="0" max="12" min="12" style="0" width="68"/>
    <col collapsed="false" customWidth="true" hidden="false" outlineLevel="0" max="13" min="13" style="0" width="18"/>
    <col collapsed="false" customWidth="true" hidden="false" outlineLevel="0" max="14" min="14" style="0" width="10"/>
    <col collapsed="false" customWidth="true" hidden="false" outlineLevel="0" max="15" min="15" style="0" width="30"/>
    <col collapsed="false" customWidth="true" hidden="false" outlineLevel="0" max="18" min="16" style="0" width="17"/>
    <col collapsed="false" customWidth="true" hidden="false" outlineLevel="0" max="19" min="19" style="0" width="18"/>
    <col collapsed="false" customWidth="true" hidden="false" outlineLevel="0" max="20" min="20" style="0" width="43"/>
    <col collapsed="false" customWidth="true" hidden="false" outlineLevel="0" max="21" min="21" style="0" width="14"/>
    <col collapsed="false" customWidth="true" hidden="false" outlineLevel="0" max="23" min="22" style="0" width="42"/>
    <col collapsed="false" customWidth="true" hidden="false" outlineLevel="0" max="24" min="24" style="0" width="22"/>
    <col collapsed="false" customWidth="true" hidden="false" outlineLevel="0" max="25" min="25" style="0" width="26"/>
    <col collapsed="false" customWidth="true" hidden="false" outlineLevel="0" max="26" min="26" style="0" width="44"/>
    <col collapsed="false" customWidth="true" hidden="false" outlineLevel="0" max="27" min="27" style="0" width="58"/>
    <col collapsed="false" customWidth="true" hidden="false" outlineLevel="0" max="28" min="28" style="0" width="45"/>
  </cols>
  <sheetData>
    <row r="1" customFormat="false" ht="36" hidden="false" customHeight="true" outlineLevel="0" collapsed="false">
      <c r="A1" s="69" t="s">
        <v>796</v>
      </c>
      <c r="B1" s="69" t="s">
        <v>797</v>
      </c>
      <c r="C1" s="69" t="s">
        <v>798</v>
      </c>
      <c r="D1" s="69" t="s">
        <v>799</v>
      </c>
      <c r="E1" s="69" t="s">
        <v>800</v>
      </c>
      <c r="F1" s="69" t="s">
        <v>801</v>
      </c>
      <c r="G1" s="69" t="s">
        <v>802</v>
      </c>
      <c r="H1" s="69" t="s">
        <v>803</v>
      </c>
      <c r="I1" s="69" t="s">
        <v>804</v>
      </c>
      <c r="J1" s="69" t="s">
        <v>805</v>
      </c>
      <c r="K1" s="69" t="s">
        <v>806</v>
      </c>
      <c r="L1" s="69" t="s">
        <v>807</v>
      </c>
      <c r="M1" s="69" t="s">
        <v>808</v>
      </c>
      <c r="N1" s="26" t="s">
        <v>52</v>
      </c>
      <c r="O1" s="26" t="s">
        <v>809</v>
      </c>
      <c r="P1" s="26" t="s">
        <v>810</v>
      </c>
      <c r="Q1" s="26" t="s">
        <v>811</v>
      </c>
      <c r="R1" s="26" t="s">
        <v>71</v>
      </c>
      <c r="S1" s="26" t="s">
        <v>812</v>
      </c>
      <c r="T1" s="26" t="s">
        <v>813</v>
      </c>
      <c r="U1" s="26" t="s">
        <v>754</v>
      </c>
      <c r="V1" s="26" t="s">
        <v>814</v>
      </c>
      <c r="W1" s="26" t="s">
        <v>815</v>
      </c>
      <c r="X1" s="26" t="s">
        <v>816</v>
      </c>
      <c r="Y1" s="26" t="s">
        <v>116</v>
      </c>
      <c r="Z1" s="26" t="s">
        <v>817</v>
      </c>
      <c r="AA1" s="26" t="s">
        <v>818</v>
      </c>
      <c r="AB1" s="26" t="s">
        <v>819</v>
      </c>
    </row>
    <row r="2" customFormat="false" ht="48" hidden="false" customHeight="true" outlineLevel="0" collapsed="false">
      <c r="A2" s="70" t="s">
        <v>820</v>
      </c>
      <c r="B2" s="71" t="s">
        <v>821</v>
      </c>
      <c r="C2" s="71" t="s">
        <v>822</v>
      </c>
      <c r="D2" s="71" t="s">
        <v>823</v>
      </c>
      <c r="E2" s="72" t="n">
        <v>1</v>
      </c>
      <c r="F2" s="72" t="n">
        <v>0</v>
      </c>
      <c r="G2" s="72" t="n">
        <v>0</v>
      </c>
      <c r="H2" s="72" t="n">
        <v>0</v>
      </c>
      <c r="I2" s="73" t="s">
        <v>824</v>
      </c>
      <c r="J2" s="73" t="s">
        <v>825</v>
      </c>
      <c r="K2" s="74" t="n">
        <v>46321</v>
      </c>
      <c r="L2" s="71" t="s">
        <v>826</v>
      </c>
      <c r="M2" s="71" t="str">
        <f aca="false">IF(S2&lt;&gt;"匹配","缺范围任务",IF(I2="通过",IF(AND(J2&lt;&gt;"",ISNUMBER(K2),K2&gt;=DATE(2026,10,26)),"已验收","缺证据或日期"),IF(I2="","缺状态","待复核")))</f>
        <v>已验收</v>
      </c>
      <c r="N2" s="19" t="s">
        <v>827</v>
      </c>
      <c r="O2" s="19" t="s">
        <v>828</v>
      </c>
      <c r="P2" s="21" t="n">
        <v>0</v>
      </c>
      <c r="Q2" s="21" t="n">
        <v>0</v>
      </c>
      <c r="R2" s="21" t="n">
        <v>0</v>
      </c>
      <c r="S2" s="20" t="str">
        <f aca="false">IF(AND(A2&lt;&gt;"",N2&lt;&gt;"",COUNTIFS(首批固定任务!$A$2:$A$109,A2,首批固定任务!$N$2:$N$109,N2)=1,COUNTIFS($A$2:$A$109,A2)=1),"匹配","缺范围或重复")</f>
        <v>匹配</v>
      </c>
      <c r="T2" s="20" t="s">
        <v>829</v>
      </c>
      <c r="U2" s="75" t="n">
        <f aca="false">E2</f>
        <v>1</v>
      </c>
      <c r="V2" s="28" t="s">
        <v>830</v>
      </c>
      <c r="W2" s="28" t="s">
        <v>831</v>
      </c>
      <c r="X2" s="28" t="s">
        <v>832</v>
      </c>
      <c r="Y2" s="28" t="s">
        <v>833</v>
      </c>
      <c r="Z2" s="27" t="s">
        <v>834</v>
      </c>
      <c r="AA2" s="28" t="s">
        <v>835</v>
      </c>
      <c r="AB2" s="27" t="s">
        <v>836</v>
      </c>
    </row>
    <row r="3" customFormat="false" ht="48" hidden="false" customHeight="true" outlineLevel="0" collapsed="false">
      <c r="A3" s="76" t="s">
        <v>837</v>
      </c>
      <c r="B3" s="77" t="s">
        <v>821</v>
      </c>
      <c r="C3" s="77" t="s">
        <v>822</v>
      </c>
      <c r="D3" s="77" t="s">
        <v>838</v>
      </c>
      <c r="E3" s="78" t="n">
        <v>0</v>
      </c>
      <c r="F3" s="78" t="n">
        <v>0</v>
      </c>
      <c r="G3" s="78" t="n">
        <v>0</v>
      </c>
      <c r="H3" s="78" t="n">
        <v>0</v>
      </c>
      <c r="I3" s="73" t="s">
        <v>824</v>
      </c>
      <c r="J3" s="73" t="s">
        <v>839</v>
      </c>
      <c r="K3" s="79" t="n">
        <v>46321</v>
      </c>
      <c r="L3" s="77" t="s">
        <v>840</v>
      </c>
      <c r="M3" s="71" t="str">
        <f aca="false">IF(S3&lt;&gt;"匹配","缺范围任务",IF(I3="通过",IF(AND(J3&lt;&gt;"",ISNUMBER(K3),K3&gt;=DATE(2026,10,26)),"已验收","缺证据或日期"),IF(I3="","缺状态","待复核")))</f>
        <v>已验收</v>
      </c>
      <c r="N3" s="19" t="s">
        <v>827</v>
      </c>
      <c r="O3" s="19" t="s">
        <v>841</v>
      </c>
      <c r="P3" s="21" t="n">
        <v>0</v>
      </c>
      <c r="Q3" s="21" t="n">
        <v>0</v>
      </c>
      <c r="R3" s="21" t="n">
        <v>0</v>
      </c>
      <c r="S3" s="20" t="str">
        <f aca="false">IF(AND(A3&lt;&gt;"",N3&lt;&gt;"",COUNTIFS(首批固定任务!$A$2:$A$109,A3,首批固定任务!$N$2:$N$109,N3)=1,COUNTIFS($A$2:$A$109,A3)=1),"匹配","缺范围或重复")</f>
        <v>匹配</v>
      </c>
      <c r="T3" s="20" t="s">
        <v>829</v>
      </c>
      <c r="U3" s="75" t="n">
        <f aca="false">E3</f>
        <v>0</v>
      </c>
      <c r="V3" s="28" t="s">
        <v>830</v>
      </c>
      <c r="W3" s="28" t="s">
        <v>831</v>
      </c>
      <c r="X3" s="28" t="s">
        <v>832</v>
      </c>
      <c r="Y3" s="28" t="s">
        <v>833</v>
      </c>
      <c r="Z3" s="27" t="s">
        <v>834</v>
      </c>
      <c r="AA3" s="28" t="s">
        <v>835</v>
      </c>
      <c r="AB3" s="27" t="s">
        <v>842</v>
      </c>
    </row>
    <row r="4" customFormat="false" ht="48" hidden="false" customHeight="true" outlineLevel="0" collapsed="false">
      <c r="A4" s="70" t="s">
        <v>843</v>
      </c>
      <c r="B4" s="71" t="s">
        <v>821</v>
      </c>
      <c r="C4" s="71" t="s">
        <v>822</v>
      </c>
      <c r="D4" s="71" t="s">
        <v>844</v>
      </c>
      <c r="E4" s="72" t="n">
        <v>1</v>
      </c>
      <c r="F4" s="72" t="n">
        <v>0</v>
      </c>
      <c r="G4" s="72" t="n">
        <v>0</v>
      </c>
      <c r="H4" s="72" t="n">
        <v>0</v>
      </c>
      <c r="I4" s="73" t="s">
        <v>824</v>
      </c>
      <c r="J4" s="73" t="s">
        <v>825</v>
      </c>
      <c r="K4" s="74" t="n">
        <v>46321</v>
      </c>
      <c r="L4" s="71" t="s">
        <v>845</v>
      </c>
      <c r="M4" s="71" t="str">
        <f aca="false">IF(S4&lt;&gt;"匹配","缺范围任务",IF(I4="通过",IF(AND(J4&lt;&gt;"",ISNUMBER(K4),K4&gt;=DATE(2026,10,26)),"已验收","缺证据或日期"),IF(I4="","缺状态","待复核")))</f>
        <v>已验收</v>
      </c>
      <c r="N4" s="19" t="s">
        <v>827</v>
      </c>
      <c r="O4" s="19" t="s">
        <v>846</v>
      </c>
      <c r="P4" s="21" t="n">
        <v>0</v>
      </c>
      <c r="Q4" s="21" t="n">
        <v>0</v>
      </c>
      <c r="R4" s="21" t="n">
        <v>0</v>
      </c>
      <c r="S4" s="20" t="str">
        <f aca="false">IF(AND(A4&lt;&gt;"",N4&lt;&gt;"",COUNTIFS(首批固定任务!$A$2:$A$109,A4,首批固定任务!$N$2:$N$109,N4)=1,COUNTIFS($A$2:$A$109,A4)=1),"匹配","缺范围或重复")</f>
        <v>匹配</v>
      </c>
      <c r="T4" s="20" t="s">
        <v>829</v>
      </c>
      <c r="U4" s="75" t="n">
        <f aca="false">E4</f>
        <v>1</v>
      </c>
      <c r="V4" s="28" t="s">
        <v>830</v>
      </c>
      <c r="W4" s="28" t="s">
        <v>831</v>
      </c>
      <c r="X4" s="28" t="s">
        <v>832</v>
      </c>
      <c r="Y4" s="28" t="s">
        <v>833</v>
      </c>
      <c r="Z4" s="27" t="s">
        <v>834</v>
      </c>
      <c r="AA4" s="28" t="s">
        <v>835</v>
      </c>
      <c r="AB4" s="27" t="s">
        <v>847</v>
      </c>
    </row>
    <row r="5" customFormat="false" ht="48" hidden="false" customHeight="true" outlineLevel="0" collapsed="false">
      <c r="A5" s="76" t="s">
        <v>848</v>
      </c>
      <c r="B5" s="77" t="s">
        <v>821</v>
      </c>
      <c r="C5" s="77" t="s">
        <v>822</v>
      </c>
      <c r="D5" s="77" t="s">
        <v>849</v>
      </c>
      <c r="E5" s="78" t="n">
        <v>1</v>
      </c>
      <c r="F5" s="78" t="n">
        <v>0</v>
      </c>
      <c r="G5" s="78" t="n">
        <v>0</v>
      </c>
      <c r="H5" s="78" t="n">
        <v>0</v>
      </c>
      <c r="I5" s="73" t="s">
        <v>824</v>
      </c>
      <c r="J5" s="73" t="s">
        <v>825</v>
      </c>
      <c r="K5" s="79" t="n">
        <v>46321</v>
      </c>
      <c r="L5" s="77" t="s">
        <v>850</v>
      </c>
      <c r="M5" s="71" t="str">
        <f aca="false">IF(S5&lt;&gt;"匹配","缺范围任务",IF(I5="通过",IF(AND(J5&lt;&gt;"",ISNUMBER(K5),K5&gt;=DATE(2026,10,26)),"已验收","缺证据或日期"),IF(I5="","缺状态","待复核")))</f>
        <v>已验收</v>
      </c>
      <c r="N5" s="19" t="s">
        <v>827</v>
      </c>
      <c r="O5" s="19" t="s">
        <v>851</v>
      </c>
      <c r="P5" s="21" t="n">
        <v>0</v>
      </c>
      <c r="Q5" s="21" t="n">
        <v>0</v>
      </c>
      <c r="R5" s="21" t="n">
        <v>0</v>
      </c>
      <c r="S5" s="20" t="str">
        <f aca="false">IF(AND(A5&lt;&gt;"",N5&lt;&gt;"",COUNTIFS(首批固定任务!$A$2:$A$109,A5,首批固定任务!$N$2:$N$109,N5)=1,COUNTIFS($A$2:$A$109,A5)=1),"匹配","缺范围或重复")</f>
        <v>匹配</v>
      </c>
      <c r="T5" s="20" t="s">
        <v>829</v>
      </c>
      <c r="U5" s="75" t="n">
        <f aca="false">E5</f>
        <v>1</v>
      </c>
      <c r="V5" s="28" t="s">
        <v>830</v>
      </c>
      <c r="W5" s="28" t="s">
        <v>831</v>
      </c>
      <c r="X5" s="28" t="s">
        <v>832</v>
      </c>
      <c r="Y5" s="28" t="s">
        <v>833</v>
      </c>
      <c r="Z5" s="27" t="s">
        <v>834</v>
      </c>
      <c r="AA5" s="28" t="s">
        <v>835</v>
      </c>
      <c r="AB5" s="27" t="s">
        <v>852</v>
      </c>
    </row>
    <row r="6" customFormat="false" ht="48" hidden="false" customHeight="true" outlineLevel="0" collapsed="false">
      <c r="A6" s="70" t="s">
        <v>853</v>
      </c>
      <c r="B6" s="71" t="s">
        <v>854</v>
      </c>
      <c r="C6" s="71" t="s">
        <v>822</v>
      </c>
      <c r="D6" s="71" t="s">
        <v>855</v>
      </c>
      <c r="E6" s="72" t="n">
        <v>0</v>
      </c>
      <c r="F6" s="72" t="n">
        <v>0</v>
      </c>
      <c r="G6" s="72" t="n">
        <v>0</v>
      </c>
      <c r="H6" s="72" t="n">
        <v>0</v>
      </c>
      <c r="I6" s="73" t="s">
        <v>824</v>
      </c>
      <c r="J6" s="73" t="s">
        <v>856</v>
      </c>
      <c r="K6" s="74" t="n">
        <v>46321</v>
      </c>
      <c r="L6" s="71" t="s">
        <v>857</v>
      </c>
      <c r="M6" s="71" t="str">
        <f aca="false">IF(S6&lt;&gt;"匹配","缺范围任务",IF(I6="通过",IF(AND(J6&lt;&gt;"",ISNUMBER(K6),K6&gt;=DATE(2026,10,26)),"已验收","缺证据或日期"),IF(I6="","缺状态","待复核")))</f>
        <v>已验收</v>
      </c>
      <c r="N6" s="19" t="s">
        <v>827</v>
      </c>
      <c r="O6" s="19" t="s">
        <v>858</v>
      </c>
      <c r="P6" s="21" t="n">
        <v>0</v>
      </c>
      <c r="Q6" s="21" t="n">
        <v>0</v>
      </c>
      <c r="R6" s="21" t="n">
        <v>0</v>
      </c>
      <c r="S6" s="20" t="str">
        <f aca="false">IF(AND(A6&lt;&gt;"",N6&lt;&gt;"",COUNTIFS(首批固定任务!$A$2:$A$109,A6,首批固定任务!$N$2:$N$109,N6)=1,COUNTIFS($A$2:$A$109,A6)=1),"匹配","缺范围或重复")</f>
        <v>匹配</v>
      </c>
      <c r="T6" s="20" t="s">
        <v>829</v>
      </c>
      <c r="U6" s="75" t="n">
        <f aca="false">E6</f>
        <v>0</v>
      </c>
      <c r="V6" s="28" t="s">
        <v>830</v>
      </c>
      <c r="W6" s="28" t="s">
        <v>831</v>
      </c>
      <c r="X6" s="28" t="s">
        <v>832</v>
      </c>
      <c r="Y6" s="28" t="s">
        <v>833</v>
      </c>
      <c r="Z6" s="27" t="s">
        <v>834</v>
      </c>
      <c r="AA6" s="28" t="s">
        <v>835</v>
      </c>
      <c r="AB6" s="27" t="s">
        <v>859</v>
      </c>
    </row>
    <row r="7" customFormat="false" ht="48" hidden="false" customHeight="true" outlineLevel="0" collapsed="false">
      <c r="A7" s="76" t="s">
        <v>860</v>
      </c>
      <c r="B7" s="77" t="s">
        <v>854</v>
      </c>
      <c r="C7" s="77" t="s">
        <v>822</v>
      </c>
      <c r="D7" s="77" t="s">
        <v>861</v>
      </c>
      <c r="E7" s="78" t="n">
        <v>0</v>
      </c>
      <c r="F7" s="78" t="n">
        <v>0</v>
      </c>
      <c r="G7" s="78" t="n">
        <v>0</v>
      </c>
      <c r="H7" s="78" t="n">
        <v>0</v>
      </c>
      <c r="I7" s="73" t="s">
        <v>824</v>
      </c>
      <c r="J7" s="80" t="s">
        <v>862</v>
      </c>
      <c r="K7" s="79" t="n">
        <v>46321</v>
      </c>
      <c r="L7" s="77" t="s">
        <v>863</v>
      </c>
      <c r="M7" s="71" t="str">
        <f aca="false">IF(S7&lt;&gt;"匹配","缺范围任务",IF(I7="通过",IF(AND(J7&lt;&gt;"",ISNUMBER(K7),K7&gt;=DATE(2026,10,26)),"已验收","缺证据或日期"),IF(I7="","缺状态","待复核")))</f>
        <v>已验收</v>
      </c>
      <c r="N7" s="19" t="s">
        <v>827</v>
      </c>
      <c r="O7" s="19" t="s">
        <v>858</v>
      </c>
      <c r="P7" s="21" t="n">
        <v>0</v>
      </c>
      <c r="Q7" s="21" t="n">
        <v>0</v>
      </c>
      <c r="R7" s="21" t="n">
        <v>0</v>
      </c>
      <c r="S7" s="20" t="str">
        <f aca="false">IF(AND(A7&lt;&gt;"",N7&lt;&gt;"",COUNTIFS(首批固定任务!$A$2:$A$109,A7,首批固定任务!$N$2:$N$109,N7)=1,COUNTIFS($A$2:$A$109,A7)=1),"匹配","缺范围或重复")</f>
        <v>匹配</v>
      </c>
      <c r="T7" s="20" t="s">
        <v>829</v>
      </c>
      <c r="U7" s="75" t="n">
        <f aca="false">E7</f>
        <v>0</v>
      </c>
      <c r="V7" s="28" t="s">
        <v>830</v>
      </c>
      <c r="W7" s="28" t="s">
        <v>831</v>
      </c>
      <c r="X7" s="28" t="s">
        <v>832</v>
      </c>
      <c r="Y7" s="28" t="s">
        <v>833</v>
      </c>
      <c r="Z7" s="27" t="s">
        <v>834</v>
      </c>
      <c r="AA7" s="28" t="s">
        <v>835</v>
      </c>
      <c r="AB7" s="27" t="s">
        <v>864</v>
      </c>
    </row>
    <row r="8" customFormat="false" ht="48" hidden="false" customHeight="true" outlineLevel="0" collapsed="false">
      <c r="A8" s="70" t="s">
        <v>865</v>
      </c>
      <c r="B8" s="71" t="s">
        <v>854</v>
      </c>
      <c r="C8" s="71" t="s">
        <v>822</v>
      </c>
      <c r="D8" s="71" t="s">
        <v>866</v>
      </c>
      <c r="E8" s="72" t="n">
        <v>0</v>
      </c>
      <c r="F8" s="72" t="n">
        <v>0</v>
      </c>
      <c r="G8" s="72" t="n">
        <v>0</v>
      </c>
      <c r="H8" s="72" t="n">
        <v>0</v>
      </c>
      <c r="I8" s="73" t="s">
        <v>824</v>
      </c>
      <c r="J8" s="80" t="s">
        <v>867</v>
      </c>
      <c r="K8" s="74" t="n">
        <v>46321</v>
      </c>
      <c r="L8" s="71" t="s">
        <v>868</v>
      </c>
      <c r="M8" s="71" t="str">
        <f aca="false">IF(S8&lt;&gt;"匹配","缺范围任务",IF(I8="通过",IF(AND(J8&lt;&gt;"",ISNUMBER(K8),K8&gt;=DATE(2026,10,26)),"已验收","缺证据或日期"),IF(I8="","缺状态","待复核")))</f>
        <v>已验收</v>
      </c>
      <c r="N8" s="19" t="s">
        <v>827</v>
      </c>
      <c r="O8" s="19" t="s">
        <v>869</v>
      </c>
      <c r="P8" s="21" t="n">
        <v>0</v>
      </c>
      <c r="Q8" s="21" t="n">
        <v>0</v>
      </c>
      <c r="R8" s="21" t="n">
        <v>0</v>
      </c>
      <c r="S8" s="20" t="str">
        <f aca="false">IF(AND(A8&lt;&gt;"",N8&lt;&gt;"",COUNTIFS(首批固定任务!$A$2:$A$109,A8,首批固定任务!$N$2:$N$109,N8)=1,COUNTIFS($A$2:$A$109,A8)=1),"匹配","缺范围或重复")</f>
        <v>匹配</v>
      </c>
      <c r="T8" s="20" t="s">
        <v>829</v>
      </c>
      <c r="U8" s="75" t="n">
        <f aca="false">E8</f>
        <v>0</v>
      </c>
      <c r="V8" s="28" t="s">
        <v>830</v>
      </c>
      <c r="W8" s="28" t="s">
        <v>831</v>
      </c>
      <c r="X8" s="28" t="s">
        <v>832</v>
      </c>
      <c r="Y8" s="28" t="s">
        <v>833</v>
      </c>
      <c r="Z8" s="27" t="s">
        <v>834</v>
      </c>
      <c r="AA8" s="28" t="s">
        <v>835</v>
      </c>
      <c r="AB8" s="27" t="s">
        <v>870</v>
      </c>
    </row>
    <row r="9" customFormat="false" ht="48" hidden="false" customHeight="true" outlineLevel="0" collapsed="false">
      <c r="A9" s="76" t="s">
        <v>871</v>
      </c>
      <c r="B9" s="77" t="s">
        <v>872</v>
      </c>
      <c r="C9" s="77" t="s">
        <v>822</v>
      </c>
      <c r="D9" s="77" t="s">
        <v>873</v>
      </c>
      <c r="E9" s="78" t="n">
        <v>0</v>
      </c>
      <c r="F9" s="78" t="n">
        <v>1</v>
      </c>
      <c r="G9" s="78" t="n">
        <v>0</v>
      </c>
      <c r="H9" s="78" t="n">
        <v>0</v>
      </c>
      <c r="I9" s="73" t="s">
        <v>824</v>
      </c>
      <c r="J9" s="73" t="s">
        <v>874</v>
      </c>
      <c r="K9" s="79" t="n">
        <v>46321</v>
      </c>
      <c r="L9" s="77" t="s">
        <v>875</v>
      </c>
      <c r="M9" s="71" t="str">
        <f aca="false">IF(S9&lt;&gt;"匹配","缺范围任务",IF(I9="通过",IF(AND(J9&lt;&gt;"",ISNUMBER(K9),K9&gt;=DATE(2026,10,26)),"已验收","缺证据或日期"),IF(I9="","缺状态","待复核")))</f>
        <v>已验收</v>
      </c>
      <c r="N9" s="19" t="s">
        <v>827</v>
      </c>
      <c r="O9" s="19" t="s">
        <v>876</v>
      </c>
      <c r="P9" s="21" t="n">
        <v>24</v>
      </c>
      <c r="Q9" s="21" t="n">
        <v>0</v>
      </c>
      <c r="R9" s="21" t="n">
        <v>0</v>
      </c>
      <c r="S9" s="20" t="str">
        <f aca="false">IF(AND(A9&lt;&gt;"",N9&lt;&gt;"",COUNTIFS(首批固定任务!$A$2:$A$109,A9,首批固定任务!$N$2:$N$109,N9)=1,COUNTIFS($A$2:$A$109,A9)=1),"匹配","缺范围或重复")</f>
        <v>匹配</v>
      </c>
      <c r="T9" s="20" t="s">
        <v>829</v>
      </c>
      <c r="U9" s="75" t="n">
        <f aca="false">E9</f>
        <v>0</v>
      </c>
      <c r="V9" s="28" t="s">
        <v>830</v>
      </c>
      <c r="W9" s="28" t="s">
        <v>831</v>
      </c>
      <c r="X9" s="28" t="s">
        <v>832</v>
      </c>
      <c r="Y9" s="28" t="s">
        <v>833</v>
      </c>
      <c r="Z9" s="27" t="s">
        <v>834</v>
      </c>
      <c r="AA9" s="28" t="s">
        <v>835</v>
      </c>
      <c r="AB9" s="27" t="s">
        <v>877</v>
      </c>
    </row>
    <row r="10" customFormat="false" ht="48" hidden="false" customHeight="true" outlineLevel="0" collapsed="false">
      <c r="A10" s="70" t="s">
        <v>878</v>
      </c>
      <c r="B10" s="71" t="s">
        <v>872</v>
      </c>
      <c r="C10" s="71" t="s">
        <v>822</v>
      </c>
      <c r="D10" s="71" t="s">
        <v>879</v>
      </c>
      <c r="E10" s="72" t="n">
        <v>0</v>
      </c>
      <c r="F10" s="72" t="n">
        <v>1</v>
      </c>
      <c r="G10" s="72" t="n">
        <v>0</v>
      </c>
      <c r="H10" s="72" t="n">
        <v>0</v>
      </c>
      <c r="I10" s="73" t="s">
        <v>824</v>
      </c>
      <c r="J10" s="73" t="s">
        <v>874</v>
      </c>
      <c r="K10" s="74" t="n">
        <v>46321</v>
      </c>
      <c r="L10" s="71" t="s">
        <v>875</v>
      </c>
      <c r="M10" s="71" t="str">
        <f aca="false">IF(S10&lt;&gt;"匹配","缺范围任务",IF(I10="通过",IF(AND(J10&lt;&gt;"",ISNUMBER(K10),K10&gt;=DATE(2026,10,26)),"已验收","缺证据或日期"),IF(I10="","缺状态","待复核")))</f>
        <v>已验收</v>
      </c>
      <c r="N10" s="19" t="s">
        <v>827</v>
      </c>
      <c r="O10" s="19" t="s">
        <v>876</v>
      </c>
      <c r="P10" s="21" t="n">
        <v>37</v>
      </c>
      <c r="Q10" s="21" t="n">
        <v>0</v>
      </c>
      <c r="R10" s="21" t="n">
        <v>0</v>
      </c>
      <c r="S10" s="20" t="str">
        <f aca="false">IF(AND(A10&lt;&gt;"",N10&lt;&gt;"",COUNTIFS(首批固定任务!$A$2:$A$109,A10,首批固定任务!$N$2:$N$109,N10)=1,COUNTIFS($A$2:$A$109,A10)=1),"匹配","缺范围或重复")</f>
        <v>匹配</v>
      </c>
      <c r="T10" s="20" t="s">
        <v>829</v>
      </c>
      <c r="U10" s="75" t="n">
        <f aca="false">E10</f>
        <v>0</v>
      </c>
      <c r="V10" s="28" t="s">
        <v>830</v>
      </c>
      <c r="W10" s="28" t="s">
        <v>831</v>
      </c>
      <c r="X10" s="28" t="s">
        <v>832</v>
      </c>
      <c r="Y10" s="28" t="s">
        <v>833</v>
      </c>
      <c r="Z10" s="27" t="s">
        <v>834</v>
      </c>
      <c r="AA10" s="28" t="s">
        <v>835</v>
      </c>
      <c r="AB10" s="27" t="s">
        <v>880</v>
      </c>
    </row>
    <row r="11" customFormat="false" ht="48" hidden="false" customHeight="true" outlineLevel="0" collapsed="false">
      <c r="A11" s="76" t="s">
        <v>881</v>
      </c>
      <c r="B11" s="77" t="s">
        <v>872</v>
      </c>
      <c r="C11" s="77" t="s">
        <v>822</v>
      </c>
      <c r="D11" s="77" t="s">
        <v>882</v>
      </c>
      <c r="E11" s="78" t="n">
        <v>0</v>
      </c>
      <c r="F11" s="78" t="n">
        <v>1</v>
      </c>
      <c r="G11" s="78" t="n">
        <v>0</v>
      </c>
      <c r="H11" s="78" t="n">
        <v>0</v>
      </c>
      <c r="I11" s="73" t="s">
        <v>824</v>
      </c>
      <c r="J11" s="73" t="s">
        <v>874</v>
      </c>
      <c r="K11" s="79" t="n">
        <v>46321</v>
      </c>
      <c r="L11" s="77" t="s">
        <v>875</v>
      </c>
      <c r="M11" s="71" t="str">
        <f aca="false">IF(S11&lt;&gt;"匹配","缺范围任务",IF(I11="通过",IF(AND(J11&lt;&gt;"",ISNUMBER(K11),K11&gt;=DATE(2026,10,26)),"已验收","缺证据或日期"),IF(I11="","缺状态","待复核")))</f>
        <v>已验收</v>
      </c>
      <c r="N11" s="19" t="s">
        <v>827</v>
      </c>
      <c r="O11" s="19" t="s">
        <v>883</v>
      </c>
      <c r="P11" s="21" t="n">
        <v>14</v>
      </c>
      <c r="Q11" s="21" t="n">
        <v>0</v>
      </c>
      <c r="R11" s="21" t="n">
        <v>0</v>
      </c>
      <c r="S11" s="20" t="str">
        <f aca="false">IF(AND(A11&lt;&gt;"",N11&lt;&gt;"",COUNTIFS(首批固定任务!$A$2:$A$109,A11,首批固定任务!$N$2:$N$109,N11)=1,COUNTIFS($A$2:$A$109,A11)=1),"匹配","缺范围或重复")</f>
        <v>匹配</v>
      </c>
      <c r="T11" s="20" t="s">
        <v>829</v>
      </c>
      <c r="U11" s="75" t="n">
        <f aca="false">E11</f>
        <v>0</v>
      </c>
      <c r="V11" s="28" t="s">
        <v>830</v>
      </c>
      <c r="W11" s="28" t="s">
        <v>831</v>
      </c>
      <c r="X11" s="28" t="s">
        <v>832</v>
      </c>
      <c r="Y11" s="28" t="s">
        <v>833</v>
      </c>
      <c r="Z11" s="27" t="s">
        <v>834</v>
      </c>
      <c r="AA11" s="28" t="s">
        <v>835</v>
      </c>
      <c r="AB11" s="27" t="s">
        <v>884</v>
      </c>
    </row>
    <row r="12" customFormat="false" ht="48" hidden="false" customHeight="true" outlineLevel="0" collapsed="false">
      <c r="A12" s="70" t="s">
        <v>885</v>
      </c>
      <c r="B12" s="71" t="s">
        <v>872</v>
      </c>
      <c r="C12" s="71" t="s">
        <v>822</v>
      </c>
      <c r="D12" s="71" t="s">
        <v>886</v>
      </c>
      <c r="E12" s="72" t="n">
        <v>0</v>
      </c>
      <c r="F12" s="72" t="n">
        <v>1</v>
      </c>
      <c r="G12" s="72" t="n">
        <v>0</v>
      </c>
      <c r="H12" s="72" t="n">
        <v>0</v>
      </c>
      <c r="I12" s="73" t="s">
        <v>824</v>
      </c>
      <c r="J12" s="73" t="s">
        <v>874</v>
      </c>
      <c r="K12" s="74" t="n">
        <v>46321</v>
      </c>
      <c r="L12" s="71" t="s">
        <v>875</v>
      </c>
      <c r="M12" s="71" t="str">
        <f aca="false">IF(S12&lt;&gt;"匹配","缺范围任务",IF(I12="通过",IF(AND(J12&lt;&gt;"",ISNUMBER(K12),K12&gt;=DATE(2026,10,26)),"已验收","缺证据或日期"),IF(I12="","缺状态","待复核")))</f>
        <v>已验收</v>
      </c>
      <c r="N12" s="19" t="s">
        <v>827</v>
      </c>
      <c r="O12" s="19" t="s">
        <v>883</v>
      </c>
      <c r="P12" s="21" t="n">
        <v>13</v>
      </c>
      <c r="Q12" s="21" t="n">
        <v>0</v>
      </c>
      <c r="R12" s="21" t="n">
        <v>0</v>
      </c>
      <c r="S12" s="20" t="str">
        <f aca="false">IF(AND(A12&lt;&gt;"",N12&lt;&gt;"",COUNTIFS(首批固定任务!$A$2:$A$109,A12,首批固定任务!$N$2:$N$109,N12)=1,COUNTIFS($A$2:$A$109,A12)=1),"匹配","缺范围或重复")</f>
        <v>匹配</v>
      </c>
      <c r="T12" s="20" t="s">
        <v>829</v>
      </c>
      <c r="U12" s="75" t="n">
        <f aca="false">E12</f>
        <v>0</v>
      </c>
      <c r="V12" s="28" t="s">
        <v>830</v>
      </c>
      <c r="W12" s="28" t="s">
        <v>831</v>
      </c>
      <c r="X12" s="28" t="s">
        <v>832</v>
      </c>
      <c r="Y12" s="28" t="s">
        <v>833</v>
      </c>
      <c r="Z12" s="27" t="s">
        <v>834</v>
      </c>
      <c r="AA12" s="28" t="s">
        <v>835</v>
      </c>
      <c r="AB12" s="27" t="s">
        <v>887</v>
      </c>
    </row>
    <row r="13" customFormat="false" ht="48" hidden="false" customHeight="true" outlineLevel="0" collapsed="false">
      <c r="A13" s="76" t="s">
        <v>888</v>
      </c>
      <c r="B13" s="77" t="s">
        <v>872</v>
      </c>
      <c r="C13" s="77" t="s">
        <v>822</v>
      </c>
      <c r="D13" s="77" t="s">
        <v>889</v>
      </c>
      <c r="E13" s="78" t="n">
        <v>0</v>
      </c>
      <c r="F13" s="78" t="n">
        <v>1</v>
      </c>
      <c r="G13" s="78" t="n">
        <v>0</v>
      </c>
      <c r="H13" s="78" t="n">
        <v>0</v>
      </c>
      <c r="I13" s="73" t="s">
        <v>824</v>
      </c>
      <c r="J13" s="73" t="s">
        <v>874</v>
      </c>
      <c r="K13" s="79" t="n">
        <v>46321</v>
      </c>
      <c r="L13" s="77" t="s">
        <v>875</v>
      </c>
      <c r="M13" s="71" t="str">
        <f aca="false">IF(S13&lt;&gt;"匹配","缺范围任务",IF(I13="通过",IF(AND(J13&lt;&gt;"",ISNUMBER(K13),K13&gt;=DATE(2026,10,26)),"已验收","缺证据或日期"),IF(I13="","缺状态","待复核")))</f>
        <v>已验收</v>
      </c>
      <c r="N13" s="19" t="s">
        <v>827</v>
      </c>
      <c r="O13" s="19" t="s">
        <v>883</v>
      </c>
      <c r="P13" s="21" t="n">
        <v>26</v>
      </c>
      <c r="Q13" s="21" t="n">
        <v>0</v>
      </c>
      <c r="R13" s="21" t="n">
        <v>0</v>
      </c>
      <c r="S13" s="20" t="str">
        <f aca="false">IF(AND(A13&lt;&gt;"",N13&lt;&gt;"",COUNTIFS(首批固定任务!$A$2:$A$109,A13,首批固定任务!$N$2:$N$109,N13)=1,COUNTIFS($A$2:$A$109,A13)=1),"匹配","缺范围或重复")</f>
        <v>匹配</v>
      </c>
      <c r="T13" s="20" t="s">
        <v>829</v>
      </c>
      <c r="U13" s="75" t="n">
        <f aca="false">E13</f>
        <v>0</v>
      </c>
      <c r="V13" s="28" t="s">
        <v>830</v>
      </c>
      <c r="W13" s="28" t="s">
        <v>831</v>
      </c>
      <c r="X13" s="28" t="s">
        <v>832</v>
      </c>
      <c r="Y13" s="28" t="s">
        <v>833</v>
      </c>
      <c r="Z13" s="27" t="s">
        <v>834</v>
      </c>
      <c r="AA13" s="28" t="s">
        <v>835</v>
      </c>
      <c r="AB13" s="27" t="s">
        <v>890</v>
      </c>
    </row>
    <row r="14" customFormat="false" ht="48" hidden="false" customHeight="true" outlineLevel="0" collapsed="false">
      <c r="A14" s="81" t="s">
        <v>891</v>
      </c>
      <c r="B14" s="82" t="s">
        <v>872</v>
      </c>
      <c r="C14" s="82" t="s">
        <v>892</v>
      </c>
      <c r="D14" s="82" t="s">
        <v>893</v>
      </c>
      <c r="E14" s="83" t="n">
        <v>0</v>
      </c>
      <c r="F14" s="83" t="n">
        <v>1</v>
      </c>
      <c r="G14" s="83" t="n">
        <v>0</v>
      </c>
      <c r="H14" s="83" t="n">
        <v>0</v>
      </c>
      <c r="I14" s="84" t="s">
        <v>824</v>
      </c>
      <c r="J14" s="84" t="s">
        <v>894</v>
      </c>
      <c r="K14" s="85" t="n">
        <v>46321</v>
      </c>
      <c r="L14" s="82" t="s">
        <v>895</v>
      </c>
      <c r="M14" s="82" t="str">
        <f aca="false">IF(S14&lt;&gt;"匹配","缺范围任务",IF(I14="通过",IF(AND(J14&lt;&gt;"",ISNUMBER(K14),K14&gt;=DATE(2026,10,26)),"已验收","缺证据或日期"),IF(I14="","缺状态","待复核")))</f>
        <v>已验收</v>
      </c>
      <c r="N14" s="19" t="s">
        <v>896</v>
      </c>
      <c r="O14" s="19" t="s">
        <v>883</v>
      </c>
      <c r="P14" s="21" t="n">
        <v>7</v>
      </c>
      <c r="Q14" s="21" t="n">
        <v>0</v>
      </c>
      <c r="R14" s="21" t="n">
        <v>0</v>
      </c>
      <c r="S14" s="20" t="str">
        <f aca="false">IF(AND(A14&lt;&gt;"",N14&lt;&gt;"",COUNTIFS(首批固定任务!$A$2:$A$109,A14,首批固定任务!$N$2:$N$109,N14)=1,COUNTIFS($A$2:$A$109,A14)=1),"匹配","缺范围或重复")</f>
        <v>匹配</v>
      </c>
      <c r="T14" s="20" t="s">
        <v>897</v>
      </c>
      <c r="U14" s="75" t="n">
        <f aca="false">E14</f>
        <v>0</v>
      </c>
      <c r="V14" s="28" t="s">
        <v>830</v>
      </c>
      <c r="W14" s="28" t="s">
        <v>831</v>
      </c>
      <c r="X14" s="28" t="s">
        <v>832</v>
      </c>
      <c r="Y14" s="28" t="s">
        <v>833</v>
      </c>
      <c r="Z14" s="27" t="s">
        <v>834</v>
      </c>
      <c r="AA14" s="28" t="s">
        <v>835</v>
      </c>
      <c r="AB14" s="27" t="s">
        <v>898</v>
      </c>
    </row>
    <row r="15" customFormat="false" ht="48" hidden="false" customHeight="true" outlineLevel="0" collapsed="false">
      <c r="A15" s="81" t="s">
        <v>899</v>
      </c>
      <c r="B15" s="82" t="s">
        <v>872</v>
      </c>
      <c r="C15" s="82" t="s">
        <v>892</v>
      </c>
      <c r="D15" s="86" t="s">
        <v>900</v>
      </c>
      <c r="E15" s="83" t="n">
        <v>0</v>
      </c>
      <c r="F15" s="83" t="n">
        <v>1</v>
      </c>
      <c r="G15" s="83" t="n">
        <v>0</v>
      </c>
      <c r="H15" s="83" t="n">
        <v>0</v>
      </c>
      <c r="I15" s="84" t="s">
        <v>824</v>
      </c>
      <c r="J15" s="84" t="s">
        <v>901</v>
      </c>
      <c r="K15" s="85" t="n">
        <v>46321</v>
      </c>
      <c r="L15" s="82" t="s">
        <v>895</v>
      </c>
      <c r="M15" s="82" t="str">
        <f aca="false">IF(S15&lt;&gt;"匹配","缺范围任务",IF(I15="通过",IF(AND(J15&lt;&gt;"",ISNUMBER(K15),K15&gt;=DATE(2026,10,26)),"已验收","缺证据或日期"),IF(I15="","缺状态","待复核")))</f>
        <v>已验收</v>
      </c>
      <c r="N15" s="19" t="s">
        <v>896</v>
      </c>
      <c r="O15" s="19" t="s">
        <v>876</v>
      </c>
      <c r="P15" s="21" t="n">
        <v>74</v>
      </c>
      <c r="Q15" s="21" t="n">
        <v>1</v>
      </c>
      <c r="R15" s="21" t="n">
        <v>0</v>
      </c>
      <c r="S15" s="20" t="str">
        <f aca="false">IF(AND(A15&lt;&gt;"",N15&lt;&gt;"",COUNTIFS(首批固定任务!$A$2:$A$109,A15,首批固定任务!$N$2:$N$109,N15)=1,COUNTIFS($A$2:$A$109,A15)=1),"匹配","缺范围或重复")</f>
        <v>匹配</v>
      </c>
      <c r="T15" s="20" t="s">
        <v>897</v>
      </c>
      <c r="U15" s="75" t="n">
        <f aca="false">E15</f>
        <v>0</v>
      </c>
      <c r="V15" s="28" t="s">
        <v>830</v>
      </c>
      <c r="W15" s="28" t="s">
        <v>831</v>
      </c>
      <c r="X15" s="28" t="s">
        <v>832</v>
      </c>
      <c r="Y15" s="28" t="s">
        <v>833</v>
      </c>
      <c r="Z15" s="27" t="s">
        <v>834</v>
      </c>
      <c r="AA15" s="28" t="s">
        <v>835</v>
      </c>
      <c r="AB15" s="27" t="s">
        <v>902</v>
      </c>
    </row>
    <row r="16" customFormat="false" ht="48" hidden="false" customHeight="true" outlineLevel="0" collapsed="false">
      <c r="A16" s="81" t="s">
        <v>903</v>
      </c>
      <c r="B16" s="82" t="s">
        <v>872</v>
      </c>
      <c r="C16" s="82" t="s">
        <v>892</v>
      </c>
      <c r="D16" s="82" t="s">
        <v>904</v>
      </c>
      <c r="E16" s="83" t="n">
        <v>0</v>
      </c>
      <c r="F16" s="83" t="n">
        <v>1</v>
      </c>
      <c r="G16" s="83" t="n">
        <v>0</v>
      </c>
      <c r="H16" s="83" t="n">
        <v>0</v>
      </c>
      <c r="I16" s="84" t="s">
        <v>824</v>
      </c>
      <c r="J16" s="84" t="s">
        <v>905</v>
      </c>
      <c r="K16" s="85" t="n">
        <v>46321</v>
      </c>
      <c r="L16" s="82" t="s">
        <v>895</v>
      </c>
      <c r="M16" s="82" t="str">
        <f aca="false">IF(S16&lt;&gt;"匹配","缺范围任务",IF(I16="通过",IF(AND(J16&lt;&gt;"",ISNUMBER(K16),K16&gt;=DATE(2026,10,26)),"已验收","缺证据或日期"),IF(I16="","缺状态","待复核")))</f>
        <v>已验收</v>
      </c>
      <c r="N16" s="19" t="s">
        <v>896</v>
      </c>
      <c r="O16" s="19" t="s">
        <v>883</v>
      </c>
      <c r="P16" s="21" t="n">
        <v>49</v>
      </c>
      <c r="Q16" s="21" t="n">
        <v>1</v>
      </c>
      <c r="R16" s="21" t="n">
        <v>0</v>
      </c>
      <c r="S16" s="20" t="str">
        <f aca="false">IF(AND(A16&lt;&gt;"",N16&lt;&gt;"",COUNTIFS(首批固定任务!$A$2:$A$109,A16,首批固定任务!$N$2:$N$109,N16)=1,COUNTIFS($A$2:$A$109,A16)=1),"匹配","缺范围或重复")</f>
        <v>匹配</v>
      </c>
      <c r="T16" s="20" t="s">
        <v>897</v>
      </c>
      <c r="U16" s="75" t="n">
        <f aca="false">E16</f>
        <v>0</v>
      </c>
      <c r="V16" s="28" t="s">
        <v>830</v>
      </c>
      <c r="W16" s="28" t="s">
        <v>831</v>
      </c>
      <c r="X16" s="28" t="s">
        <v>832</v>
      </c>
      <c r="Y16" s="28" t="s">
        <v>833</v>
      </c>
      <c r="Z16" s="27" t="s">
        <v>834</v>
      </c>
      <c r="AA16" s="28" t="s">
        <v>835</v>
      </c>
      <c r="AB16" s="27" t="s">
        <v>906</v>
      </c>
    </row>
    <row r="17" customFormat="false" ht="48" hidden="false" customHeight="true" outlineLevel="0" collapsed="false">
      <c r="A17" s="81" t="s">
        <v>907</v>
      </c>
      <c r="B17" s="82" t="s">
        <v>872</v>
      </c>
      <c r="C17" s="82" t="s">
        <v>892</v>
      </c>
      <c r="D17" s="86" t="s">
        <v>908</v>
      </c>
      <c r="E17" s="83" t="n">
        <v>0</v>
      </c>
      <c r="F17" s="83" t="n">
        <v>1</v>
      </c>
      <c r="G17" s="83" t="n">
        <v>0</v>
      </c>
      <c r="H17" s="83" t="n">
        <v>0</v>
      </c>
      <c r="I17" s="84" t="s">
        <v>824</v>
      </c>
      <c r="J17" s="84" t="s">
        <v>909</v>
      </c>
      <c r="K17" s="85" t="n">
        <v>46321</v>
      </c>
      <c r="L17" s="82" t="s">
        <v>895</v>
      </c>
      <c r="M17" s="82" t="str">
        <f aca="false">IF(S17&lt;&gt;"匹配","缺范围任务",IF(I17="通过",IF(AND(J17&lt;&gt;"",ISNUMBER(K17),K17&gt;=DATE(2026,10,26)),"已验收","缺证据或日期"),IF(I17="","缺状态","待复核")))</f>
        <v>已验收</v>
      </c>
      <c r="N17" s="19" t="s">
        <v>896</v>
      </c>
      <c r="O17" s="19" t="s">
        <v>876</v>
      </c>
      <c r="P17" s="21" t="n">
        <v>36</v>
      </c>
      <c r="Q17" s="21" t="n">
        <v>1</v>
      </c>
      <c r="R17" s="21" t="n">
        <v>0</v>
      </c>
      <c r="S17" s="20" t="str">
        <f aca="false">IF(AND(A17&lt;&gt;"",N17&lt;&gt;"",COUNTIFS(首批固定任务!$A$2:$A$109,A17,首批固定任务!$N$2:$N$109,N17)=1,COUNTIFS($A$2:$A$109,A17)=1),"匹配","缺范围或重复")</f>
        <v>匹配</v>
      </c>
      <c r="T17" s="20" t="s">
        <v>897</v>
      </c>
      <c r="U17" s="75" t="n">
        <f aca="false">E17</f>
        <v>0</v>
      </c>
      <c r="V17" s="28" t="s">
        <v>830</v>
      </c>
      <c r="W17" s="28" t="s">
        <v>831</v>
      </c>
      <c r="X17" s="28" t="s">
        <v>832</v>
      </c>
      <c r="Y17" s="28" t="s">
        <v>833</v>
      </c>
      <c r="Z17" s="27" t="s">
        <v>834</v>
      </c>
      <c r="AA17" s="28" t="s">
        <v>835</v>
      </c>
      <c r="AB17" s="27" t="s">
        <v>910</v>
      </c>
    </row>
    <row r="18" customFormat="false" ht="48" hidden="false" customHeight="true" outlineLevel="0" collapsed="false">
      <c r="A18" s="81" t="s">
        <v>911</v>
      </c>
      <c r="B18" s="82" t="s">
        <v>872</v>
      </c>
      <c r="C18" s="82" t="s">
        <v>892</v>
      </c>
      <c r="D18" s="86" t="s">
        <v>912</v>
      </c>
      <c r="E18" s="83" t="n">
        <v>0</v>
      </c>
      <c r="F18" s="83" t="n">
        <v>1</v>
      </c>
      <c r="G18" s="83" t="n">
        <v>0</v>
      </c>
      <c r="H18" s="83" t="n">
        <v>0</v>
      </c>
      <c r="I18" s="84" t="s">
        <v>824</v>
      </c>
      <c r="J18" s="84" t="s">
        <v>913</v>
      </c>
      <c r="K18" s="85" t="n">
        <v>46321</v>
      </c>
      <c r="L18" s="82" t="s">
        <v>895</v>
      </c>
      <c r="M18" s="82" t="str">
        <f aca="false">IF(S18&lt;&gt;"匹配","缺范围任务",IF(I18="通过",IF(AND(J18&lt;&gt;"",ISNUMBER(K18),K18&gt;=DATE(2026,10,26)),"已验收","缺证据或日期"),IF(I18="","缺状态","待复核")))</f>
        <v>已验收</v>
      </c>
      <c r="N18" s="19" t="s">
        <v>896</v>
      </c>
      <c r="O18" s="19" t="s">
        <v>876</v>
      </c>
      <c r="P18" s="21" t="n">
        <v>21</v>
      </c>
      <c r="Q18" s="21" t="n">
        <v>0</v>
      </c>
      <c r="R18" s="21" t="n">
        <v>0</v>
      </c>
      <c r="S18" s="20" t="str">
        <f aca="false">IF(AND(A18&lt;&gt;"",N18&lt;&gt;"",COUNTIFS(首批固定任务!$A$2:$A$109,A18,首批固定任务!$N$2:$N$109,N18)=1,COUNTIFS($A$2:$A$109,A18)=1),"匹配","缺范围或重复")</f>
        <v>匹配</v>
      </c>
      <c r="T18" s="20" t="s">
        <v>897</v>
      </c>
      <c r="U18" s="75" t="n">
        <f aca="false">E18</f>
        <v>0</v>
      </c>
      <c r="V18" s="28" t="s">
        <v>830</v>
      </c>
      <c r="W18" s="28" t="s">
        <v>831</v>
      </c>
      <c r="X18" s="28" t="s">
        <v>832</v>
      </c>
      <c r="Y18" s="28" t="s">
        <v>833</v>
      </c>
      <c r="Z18" s="27" t="s">
        <v>834</v>
      </c>
      <c r="AA18" s="28" t="s">
        <v>835</v>
      </c>
      <c r="AB18" s="27" t="s">
        <v>914</v>
      </c>
    </row>
    <row r="19" customFormat="false" ht="48" hidden="false" customHeight="true" outlineLevel="0" collapsed="false">
      <c r="A19" s="81" t="s">
        <v>915</v>
      </c>
      <c r="B19" s="82" t="s">
        <v>821</v>
      </c>
      <c r="C19" s="82" t="s">
        <v>892</v>
      </c>
      <c r="D19" s="82" t="s">
        <v>916</v>
      </c>
      <c r="E19" s="83" t="n">
        <v>0</v>
      </c>
      <c r="F19" s="83" t="n">
        <v>0</v>
      </c>
      <c r="G19" s="83" t="n">
        <v>0</v>
      </c>
      <c r="H19" s="83" t="n">
        <v>0</v>
      </c>
      <c r="I19" s="84" t="s">
        <v>824</v>
      </c>
      <c r="J19" s="84" t="s">
        <v>917</v>
      </c>
      <c r="K19" s="85" t="n">
        <v>46321</v>
      </c>
      <c r="L19" s="82" t="s">
        <v>918</v>
      </c>
      <c r="M19" s="82" t="str">
        <f aca="false">IF(S19&lt;&gt;"匹配","缺范围任务",IF(I19="通过",IF(AND(J19&lt;&gt;"",ISNUMBER(K19),K19&gt;=DATE(2026,10,26)),"已验收","缺证据或日期"),IF(I19="","缺状态","待复核")))</f>
        <v>已验收</v>
      </c>
      <c r="N19" s="19" t="s">
        <v>896</v>
      </c>
      <c r="O19" s="19" t="s">
        <v>919</v>
      </c>
      <c r="P19" s="21" t="n">
        <v>0</v>
      </c>
      <c r="Q19" s="21" t="n">
        <v>0</v>
      </c>
      <c r="R19" s="21" t="n">
        <v>0</v>
      </c>
      <c r="S19" s="20" t="str">
        <f aca="false">IF(AND(A19&lt;&gt;"",N19&lt;&gt;"",COUNTIFS(首批固定任务!$A$2:$A$109,A19,首批固定任务!$N$2:$N$109,N19)=1,COUNTIFS($A$2:$A$109,A19)=1),"匹配","缺范围或重复")</f>
        <v>匹配</v>
      </c>
      <c r="T19" s="20" t="s">
        <v>920</v>
      </c>
      <c r="U19" s="75" t="n">
        <f aca="false">E19</f>
        <v>0</v>
      </c>
      <c r="V19" s="28" t="s">
        <v>830</v>
      </c>
      <c r="W19" s="28" t="s">
        <v>831</v>
      </c>
      <c r="X19" s="28" t="s">
        <v>832</v>
      </c>
      <c r="Y19" s="28" t="s">
        <v>833</v>
      </c>
      <c r="Z19" s="27" t="s">
        <v>834</v>
      </c>
      <c r="AA19" s="28" t="s">
        <v>835</v>
      </c>
      <c r="AB19" s="27" t="s">
        <v>921</v>
      </c>
    </row>
    <row r="20" customFormat="false" ht="48" hidden="false" customHeight="true" outlineLevel="0" collapsed="false">
      <c r="A20" s="81" t="s">
        <v>922</v>
      </c>
      <c r="B20" s="82" t="s">
        <v>821</v>
      </c>
      <c r="C20" s="82" t="s">
        <v>892</v>
      </c>
      <c r="D20" s="82" t="s">
        <v>923</v>
      </c>
      <c r="E20" s="83" t="n">
        <v>0</v>
      </c>
      <c r="F20" s="83" t="n">
        <v>0</v>
      </c>
      <c r="G20" s="83" t="n">
        <v>0</v>
      </c>
      <c r="H20" s="83" t="n">
        <v>0</v>
      </c>
      <c r="I20" s="84" t="s">
        <v>824</v>
      </c>
      <c r="J20" s="84" t="s">
        <v>924</v>
      </c>
      <c r="K20" s="85" t="n">
        <v>46321</v>
      </c>
      <c r="L20" s="82" t="s">
        <v>918</v>
      </c>
      <c r="M20" s="82" t="str">
        <f aca="false">IF(S20&lt;&gt;"匹配","缺范围任务",IF(I20="通过",IF(AND(J20&lt;&gt;"",ISNUMBER(K20),K20&gt;=DATE(2026,10,26)),"已验收","缺证据或日期"),IF(I20="","缺状态","待复核")))</f>
        <v>已验收</v>
      </c>
      <c r="N20" s="19" t="s">
        <v>896</v>
      </c>
      <c r="O20" s="19" t="s">
        <v>925</v>
      </c>
      <c r="P20" s="21" t="n">
        <v>0</v>
      </c>
      <c r="Q20" s="21" t="n">
        <v>0</v>
      </c>
      <c r="R20" s="21" t="n">
        <v>0</v>
      </c>
      <c r="S20" s="20" t="str">
        <f aca="false">IF(AND(A20&lt;&gt;"",N20&lt;&gt;"",COUNTIFS(首批固定任务!$A$2:$A$109,A20,首批固定任务!$N$2:$N$109,N20)=1,COUNTIFS($A$2:$A$109,A20)=1),"匹配","缺范围或重复")</f>
        <v>匹配</v>
      </c>
      <c r="T20" s="20" t="s">
        <v>920</v>
      </c>
      <c r="U20" s="75" t="n">
        <f aca="false">E20</f>
        <v>0</v>
      </c>
      <c r="V20" s="28" t="s">
        <v>830</v>
      </c>
      <c r="W20" s="28" t="s">
        <v>831</v>
      </c>
      <c r="X20" s="28" t="s">
        <v>832</v>
      </c>
      <c r="Y20" s="28" t="s">
        <v>833</v>
      </c>
      <c r="Z20" s="27" t="s">
        <v>834</v>
      </c>
      <c r="AA20" s="28" t="s">
        <v>835</v>
      </c>
      <c r="AB20" s="27" t="s">
        <v>926</v>
      </c>
    </row>
    <row r="21" customFormat="false" ht="48" hidden="false" customHeight="true" outlineLevel="0" collapsed="false">
      <c r="A21" s="81" t="s">
        <v>927</v>
      </c>
      <c r="B21" s="82" t="s">
        <v>821</v>
      </c>
      <c r="C21" s="82" t="s">
        <v>892</v>
      </c>
      <c r="D21" s="82" t="s">
        <v>928</v>
      </c>
      <c r="E21" s="83" t="n">
        <v>0</v>
      </c>
      <c r="F21" s="83" t="n">
        <v>0</v>
      </c>
      <c r="G21" s="83" t="n">
        <v>0</v>
      </c>
      <c r="H21" s="83" t="n">
        <v>0</v>
      </c>
      <c r="I21" s="84" t="s">
        <v>824</v>
      </c>
      <c r="J21" s="84" t="s">
        <v>929</v>
      </c>
      <c r="K21" s="85" t="n">
        <v>46321</v>
      </c>
      <c r="L21" s="82" t="s">
        <v>918</v>
      </c>
      <c r="M21" s="82" t="str">
        <f aca="false">IF(S21&lt;&gt;"匹配","缺范围任务",IF(I21="通过",IF(AND(J21&lt;&gt;"",ISNUMBER(K21),K21&gt;=DATE(2026,10,26)),"已验收","缺证据或日期"),IF(I21="","缺状态","待复核")))</f>
        <v>已验收</v>
      </c>
      <c r="N21" s="19" t="s">
        <v>896</v>
      </c>
      <c r="O21" s="19" t="s">
        <v>930</v>
      </c>
      <c r="P21" s="21" t="n">
        <v>0</v>
      </c>
      <c r="Q21" s="21" t="n">
        <v>0</v>
      </c>
      <c r="R21" s="21" t="n">
        <v>0</v>
      </c>
      <c r="S21" s="20" t="str">
        <f aca="false">IF(AND(A21&lt;&gt;"",N21&lt;&gt;"",COUNTIFS(首批固定任务!$A$2:$A$109,A21,首批固定任务!$N$2:$N$109,N21)=1,COUNTIFS($A$2:$A$109,A21)=1),"匹配","缺范围或重复")</f>
        <v>匹配</v>
      </c>
      <c r="T21" s="20" t="s">
        <v>920</v>
      </c>
      <c r="U21" s="75" t="n">
        <f aca="false">E21</f>
        <v>0</v>
      </c>
      <c r="V21" s="28" t="s">
        <v>830</v>
      </c>
      <c r="W21" s="28" t="s">
        <v>831</v>
      </c>
      <c r="X21" s="28" t="s">
        <v>832</v>
      </c>
      <c r="Y21" s="28" t="s">
        <v>833</v>
      </c>
      <c r="Z21" s="27" t="s">
        <v>834</v>
      </c>
      <c r="AA21" s="28" t="s">
        <v>835</v>
      </c>
      <c r="AB21" s="27" t="s">
        <v>931</v>
      </c>
    </row>
    <row r="22" customFormat="false" ht="48" hidden="false" customHeight="true" outlineLevel="0" collapsed="false">
      <c r="A22" s="81" t="s">
        <v>932</v>
      </c>
      <c r="B22" s="82" t="s">
        <v>821</v>
      </c>
      <c r="C22" s="82" t="s">
        <v>892</v>
      </c>
      <c r="D22" s="82" t="s">
        <v>933</v>
      </c>
      <c r="E22" s="83" t="n">
        <v>0</v>
      </c>
      <c r="F22" s="83" t="n">
        <v>0</v>
      </c>
      <c r="G22" s="83" t="n">
        <v>0</v>
      </c>
      <c r="H22" s="83" t="n">
        <v>0</v>
      </c>
      <c r="I22" s="84" t="s">
        <v>824</v>
      </c>
      <c r="J22" s="84" t="s">
        <v>934</v>
      </c>
      <c r="K22" s="85" t="n">
        <v>46321</v>
      </c>
      <c r="L22" s="82" t="s">
        <v>918</v>
      </c>
      <c r="M22" s="82" t="str">
        <f aca="false">IF(S22&lt;&gt;"匹配","缺范围任务",IF(I22="通过",IF(AND(J22&lt;&gt;"",ISNUMBER(K22),K22&gt;=DATE(2026,10,26)),"已验收","缺证据或日期"),IF(I22="","缺状态","待复核")))</f>
        <v>已验收</v>
      </c>
      <c r="N22" s="19" t="s">
        <v>896</v>
      </c>
      <c r="O22" s="19" t="s">
        <v>935</v>
      </c>
      <c r="P22" s="21" t="n">
        <v>0</v>
      </c>
      <c r="Q22" s="21" t="n">
        <v>0</v>
      </c>
      <c r="R22" s="21" t="n">
        <v>0</v>
      </c>
      <c r="S22" s="20" t="str">
        <f aca="false">IF(AND(A22&lt;&gt;"",N22&lt;&gt;"",COUNTIFS(首批固定任务!$A$2:$A$109,A22,首批固定任务!$N$2:$N$109,N22)=1,COUNTIFS($A$2:$A$109,A22)=1),"匹配","缺范围或重复")</f>
        <v>匹配</v>
      </c>
      <c r="T22" s="20" t="s">
        <v>920</v>
      </c>
      <c r="U22" s="75" t="n">
        <f aca="false">E22</f>
        <v>0</v>
      </c>
      <c r="V22" s="28" t="s">
        <v>830</v>
      </c>
      <c r="W22" s="28" t="s">
        <v>831</v>
      </c>
      <c r="X22" s="28" t="s">
        <v>832</v>
      </c>
      <c r="Y22" s="28" t="s">
        <v>833</v>
      </c>
      <c r="Z22" s="27" t="s">
        <v>834</v>
      </c>
      <c r="AA22" s="28" t="s">
        <v>835</v>
      </c>
      <c r="AB22" s="27" t="s">
        <v>936</v>
      </c>
    </row>
    <row r="23" customFormat="false" ht="48" hidden="false" customHeight="true" outlineLevel="0" collapsed="false">
      <c r="A23" s="81" t="s">
        <v>937</v>
      </c>
      <c r="B23" s="82" t="s">
        <v>938</v>
      </c>
      <c r="C23" s="82" t="s">
        <v>892</v>
      </c>
      <c r="D23" s="86" t="s">
        <v>939</v>
      </c>
      <c r="E23" s="83" t="n">
        <v>0</v>
      </c>
      <c r="F23" s="83" t="n">
        <v>0</v>
      </c>
      <c r="G23" s="83" t="n">
        <v>0</v>
      </c>
      <c r="H23" s="83" t="n">
        <v>0</v>
      </c>
      <c r="I23" s="84" t="s">
        <v>824</v>
      </c>
      <c r="J23" s="87" t="s">
        <v>940</v>
      </c>
      <c r="K23" s="85" t="n">
        <v>46321</v>
      </c>
      <c r="L23" s="82" t="s">
        <v>941</v>
      </c>
      <c r="M23" s="82" t="str">
        <f aca="false">IF(S23&lt;&gt;"匹配","缺范围任务",IF(I23="通过",IF(AND(J23&lt;&gt;"",ISNUMBER(K23),K23&gt;=DATE(2026,10,26)),"已验收","缺证据或日期"),IF(I23="","缺状态","待复核")))</f>
        <v>已验收</v>
      </c>
      <c r="N23" s="19" t="s">
        <v>896</v>
      </c>
      <c r="O23" s="19" t="s">
        <v>942</v>
      </c>
      <c r="P23" s="21" t="n">
        <v>0</v>
      </c>
      <c r="Q23" s="21" t="n">
        <v>0</v>
      </c>
      <c r="R23" s="21" t="n">
        <v>1</v>
      </c>
      <c r="S23" s="20" t="str">
        <f aca="false">IF(AND(A23&lt;&gt;"",N23&lt;&gt;"",COUNTIFS(首批固定任务!$A$2:$A$109,A23,首批固定任务!$N$2:$N$109,N23)=1,COUNTIFS($A$2:$A$109,A23)=1),"匹配","缺范围或重复")</f>
        <v>匹配</v>
      </c>
      <c r="T23" s="20" t="s">
        <v>943</v>
      </c>
      <c r="U23" s="75" t="n">
        <f aca="false">E23</f>
        <v>0</v>
      </c>
      <c r="V23" s="28" t="s">
        <v>830</v>
      </c>
      <c r="W23" s="28" t="s">
        <v>831</v>
      </c>
      <c r="X23" s="28" t="s">
        <v>832</v>
      </c>
      <c r="Y23" s="28" t="s">
        <v>833</v>
      </c>
      <c r="Z23" s="27" t="s">
        <v>834</v>
      </c>
      <c r="AA23" s="28" t="s">
        <v>835</v>
      </c>
      <c r="AB23" s="27" t="s">
        <v>944</v>
      </c>
    </row>
    <row r="24" customFormat="false" ht="48" hidden="false" customHeight="true" outlineLevel="0" collapsed="false">
      <c r="A24" s="81" t="s">
        <v>945</v>
      </c>
      <c r="B24" s="82" t="s">
        <v>938</v>
      </c>
      <c r="C24" s="82" t="s">
        <v>892</v>
      </c>
      <c r="D24" s="86" t="s">
        <v>946</v>
      </c>
      <c r="E24" s="83" t="n">
        <v>0</v>
      </c>
      <c r="F24" s="83" t="n">
        <v>1</v>
      </c>
      <c r="G24" s="83" t="n">
        <v>0</v>
      </c>
      <c r="H24" s="83" t="n">
        <v>0</v>
      </c>
      <c r="I24" s="84" t="s">
        <v>824</v>
      </c>
      <c r="J24" s="84" t="s">
        <v>947</v>
      </c>
      <c r="K24" s="85" t="n">
        <v>46321</v>
      </c>
      <c r="L24" s="82" t="s">
        <v>895</v>
      </c>
      <c r="M24" s="82" t="str">
        <f aca="false">IF(S24&lt;&gt;"匹配","缺范围任务",IF(I24="通过",IF(AND(J24&lt;&gt;"",ISNUMBER(K24),K24&gt;=DATE(2026,10,26)),"已验收","缺证据或日期"),IF(I24="","缺状态","待复核")))</f>
        <v>已验收</v>
      </c>
      <c r="N24" s="19" t="s">
        <v>896</v>
      </c>
      <c r="O24" s="19" t="s">
        <v>948</v>
      </c>
      <c r="P24" s="21" t="n">
        <v>18</v>
      </c>
      <c r="Q24" s="21" t="n">
        <v>1</v>
      </c>
      <c r="R24" s="21" t="n">
        <v>0</v>
      </c>
      <c r="S24" s="20" t="str">
        <f aca="false">IF(AND(A24&lt;&gt;"",N24&lt;&gt;"",COUNTIFS(首批固定任务!$A$2:$A$109,A24,首批固定任务!$N$2:$N$109,N24)=1,COUNTIFS($A$2:$A$109,A24)=1),"匹配","缺范围或重复")</f>
        <v>匹配</v>
      </c>
      <c r="T24" s="20" t="s">
        <v>897</v>
      </c>
      <c r="U24" s="75" t="n">
        <f aca="false">E24</f>
        <v>0</v>
      </c>
      <c r="V24" s="28" t="s">
        <v>830</v>
      </c>
      <c r="W24" s="28" t="s">
        <v>831</v>
      </c>
      <c r="X24" s="28" t="s">
        <v>832</v>
      </c>
      <c r="Y24" s="28" t="s">
        <v>833</v>
      </c>
      <c r="Z24" s="27" t="s">
        <v>834</v>
      </c>
      <c r="AA24" s="28" t="s">
        <v>835</v>
      </c>
      <c r="AB24" s="27" t="s">
        <v>949</v>
      </c>
    </row>
    <row r="25" customFormat="false" ht="36.4" hidden="false" customHeight="true" outlineLevel="0" collapsed="false">
      <c r="A25" s="88" t="s">
        <v>950</v>
      </c>
      <c r="B25" s="89" t="s">
        <v>872</v>
      </c>
      <c r="C25" s="89" t="s">
        <v>892</v>
      </c>
      <c r="D25" s="89" t="s">
        <v>951</v>
      </c>
      <c r="E25" s="90" t="n">
        <v>0</v>
      </c>
      <c r="F25" s="90" t="n">
        <v>1</v>
      </c>
      <c r="G25" s="90" t="n">
        <v>0</v>
      </c>
      <c r="H25" s="90" t="n">
        <v>0</v>
      </c>
      <c r="I25" s="91" t="s">
        <v>824</v>
      </c>
      <c r="J25" s="92" t="s">
        <v>952</v>
      </c>
      <c r="K25" s="93" t="n">
        <v>46321</v>
      </c>
      <c r="L25" s="89" t="s">
        <v>953</v>
      </c>
      <c r="M25" s="89" t="str">
        <f aca="false">IF(S25&lt;&gt;"匹配","缺范围任务",IF(I25="通过",IF(AND(J25&lt;&gt;"",ISNUMBER(K25),K25&gt;=DATE(2026,10,26)),"已验收","缺证据或日期"),IF(I25="","缺状态","待复核")))</f>
        <v>已验收</v>
      </c>
      <c r="N25" s="27" t="s">
        <v>954</v>
      </c>
      <c r="O25" s="27" t="s">
        <v>876</v>
      </c>
      <c r="P25" s="75" t="n">
        <v>34</v>
      </c>
      <c r="Q25" s="75" t="n">
        <v>1</v>
      </c>
      <c r="R25" s="75" t="n">
        <v>0</v>
      </c>
      <c r="S25" s="28" t="str">
        <f aca="false">IF(AND(A25&lt;&gt;"",N25&lt;&gt;"",COUNTIFS(首批固定任务!$A$2:$A$109,A25,首批固定任务!$N$2:$N$109,N25)=1,COUNTIFS($A$2:$A$109,A25)=1),"匹配","缺范围或重复")</f>
        <v>匹配</v>
      </c>
      <c r="T25" s="28" t="s">
        <v>955</v>
      </c>
      <c r="U25" s="75" t="n">
        <v>0</v>
      </c>
      <c r="V25" s="28" t="s">
        <v>956</v>
      </c>
      <c r="W25" s="28" t="s">
        <v>957</v>
      </c>
      <c r="X25" s="28" t="s">
        <v>958</v>
      </c>
      <c r="Y25" s="28" t="s">
        <v>959</v>
      </c>
      <c r="Z25" s="28" t="s">
        <v>960</v>
      </c>
      <c r="AA25" s="28" t="s">
        <v>961</v>
      </c>
      <c r="AB25" s="27" t="s">
        <v>962</v>
      </c>
    </row>
    <row r="26" customFormat="false" ht="36.4" hidden="false" customHeight="true" outlineLevel="0" collapsed="false">
      <c r="A26" s="88" t="s">
        <v>963</v>
      </c>
      <c r="B26" s="89" t="s">
        <v>872</v>
      </c>
      <c r="C26" s="89" t="s">
        <v>892</v>
      </c>
      <c r="D26" s="89" t="s">
        <v>964</v>
      </c>
      <c r="E26" s="90" t="n">
        <v>0</v>
      </c>
      <c r="F26" s="90" t="n">
        <v>1</v>
      </c>
      <c r="G26" s="90" t="n">
        <v>0</v>
      </c>
      <c r="H26" s="90" t="n">
        <v>0</v>
      </c>
      <c r="I26" s="91" t="s">
        <v>824</v>
      </c>
      <c r="J26" s="92" t="s">
        <v>965</v>
      </c>
      <c r="K26" s="93" t="n">
        <v>46321</v>
      </c>
      <c r="L26" s="89" t="s">
        <v>953</v>
      </c>
      <c r="M26" s="89" t="str">
        <f aca="false">IF(S26&lt;&gt;"匹配","缺范围任务",IF(I26="通过",IF(AND(J26&lt;&gt;"",ISNUMBER(K26),K26&gt;=DATE(2026,10,26)),"已验收","缺证据或日期"),IF(I26="","缺状态","待复核")))</f>
        <v>已验收</v>
      </c>
      <c r="N26" s="27" t="s">
        <v>954</v>
      </c>
      <c r="O26" s="27" t="s">
        <v>876</v>
      </c>
      <c r="P26" s="75" t="n">
        <v>48</v>
      </c>
      <c r="Q26" s="75" t="n">
        <v>1</v>
      </c>
      <c r="R26" s="75" t="n">
        <v>0</v>
      </c>
      <c r="S26" s="28" t="str">
        <f aca="false">IF(AND(A26&lt;&gt;"",N26&lt;&gt;"",COUNTIFS(首批固定任务!$A$2:$A$109,A26,首批固定任务!$N$2:$N$109,N26)=1,COUNTIFS($A$2:$A$109,A26)=1),"匹配","缺范围或重复")</f>
        <v>匹配</v>
      </c>
      <c r="T26" s="28" t="s">
        <v>955</v>
      </c>
      <c r="U26" s="75" t="n">
        <v>0</v>
      </c>
      <c r="V26" s="28" t="s">
        <v>956</v>
      </c>
      <c r="W26" s="28" t="s">
        <v>957</v>
      </c>
      <c r="X26" s="28" t="s">
        <v>958</v>
      </c>
      <c r="Y26" s="28" t="s">
        <v>959</v>
      </c>
      <c r="Z26" s="28" t="s">
        <v>960</v>
      </c>
      <c r="AA26" s="28" t="s">
        <v>961</v>
      </c>
      <c r="AB26" s="27" t="s">
        <v>966</v>
      </c>
    </row>
    <row r="27" customFormat="false" ht="36.4" hidden="false" customHeight="true" outlineLevel="0" collapsed="false">
      <c r="A27" s="88" t="s">
        <v>967</v>
      </c>
      <c r="B27" s="89" t="s">
        <v>872</v>
      </c>
      <c r="C27" s="89" t="s">
        <v>892</v>
      </c>
      <c r="D27" s="89" t="s">
        <v>968</v>
      </c>
      <c r="E27" s="90" t="n">
        <v>0</v>
      </c>
      <c r="F27" s="90" t="n">
        <v>1</v>
      </c>
      <c r="G27" s="90" t="n">
        <v>0</v>
      </c>
      <c r="H27" s="90" t="n">
        <v>0</v>
      </c>
      <c r="I27" s="91" t="s">
        <v>824</v>
      </c>
      <c r="J27" s="92" t="s">
        <v>969</v>
      </c>
      <c r="K27" s="93" t="n">
        <v>46321</v>
      </c>
      <c r="L27" s="89" t="s">
        <v>953</v>
      </c>
      <c r="M27" s="89" t="str">
        <f aca="false">IF(S27&lt;&gt;"匹配","缺范围任务",IF(I27="通过",IF(AND(J27&lt;&gt;"",ISNUMBER(K27),K27&gt;=DATE(2026,10,26)),"已验收","缺证据或日期"),IF(I27="","缺状态","待复核")))</f>
        <v>已验收</v>
      </c>
      <c r="N27" s="27" t="s">
        <v>954</v>
      </c>
      <c r="O27" s="27" t="s">
        <v>883</v>
      </c>
      <c r="P27" s="75" t="n">
        <v>23</v>
      </c>
      <c r="Q27" s="75" t="n">
        <v>1</v>
      </c>
      <c r="R27" s="75" t="n">
        <v>0</v>
      </c>
      <c r="S27" s="28" t="str">
        <f aca="false">IF(AND(A27&lt;&gt;"",N27&lt;&gt;"",COUNTIFS(首批固定任务!$A$2:$A$109,A27,首批固定任务!$N$2:$N$109,N27)=1,COUNTIFS($A$2:$A$109,A27)=1),"匹配","缺范围或重复")</f>
        <v>匹配</v>
      </c>
      <c r="T27" s="28" t="s">
        <v>955</v>
      </c>
      <c r="U27" s="75" t="n">
        <v>0</v>
      </c>
      <c r="V27" s="28" t="s">
        <v>956</v>
      </c>
      <c r="W27" s="28" t="s">
        <v>957</v>
      </c>
      <c r="X27" s="28" t="s">
        <v>958</v>
      </c>
      <c r="Y27" s="28" t="s">
        <v>959</v>
      </c>
      <c r="Z27" s="28" t="s">
        <v>960</v>
      </c>
      <c r="AA27" s="28" t="s">
        <v>961</v>
      </c>
      <c r="AB27" s="27" t="s">
        <v>970</v>
      </c>
    </row>
    <row r="28" customFormat="false" ht="36.4" hidden="false" customHeight="true" outlineLevel="0" collapsed="false">
      <c r="A28" s="88" t="s">
        <v>971</v>
      </c>
      <c r="B28" s="89" t="s">
        <v>872</v>
      </c>
      <c r="C28" s="89" t="s">
        <v>892</v>
      </c>
      <c r="D28" s="89" t="s">
        <v>972</v>
      </c>
      <c r="E28" s="90" t="n">
        <v>0</v>
      </c>
      <c r="F28" s="90" t="n">
        <v>1</v>
      </c>
      <c r="G28" s="90" t="n">
        <v>0</v>
      </c>
      <c r="H28" s="90" t="n">
        <v>0</v>
      </c>
      <c r="I28" s="91" t="s">
        <v>824</v>
      </c>
      <c r="J28" s="92" t="s">
        <v>973</v>
      </c>
      <c r="K28" s="93" t="n">
        <v>46321</v>
      </c>
      <c r="L28" s="89" t="s">
        <v>953</v>
      </c>
      <c r="M28" s="89" t="str">
        <f aca="false">IF(S28&lt;&gt;"匹配","缺范围任务",IF(I28="通过",IF(AND(J28&lt;&gt;"",ISNUMBER(K28),K28&gt;=DATE(2026,10,26)),"已验收","缺证据或日期"),IF(I28="","缺状态","待复核")))</f>
        <v>已验收</v>
      </c>
      <c r="N28" s="27" t="s">
        <v>954</v>
      </c>
      <c r="O28" s="27" t="s">
        <v>883</v>
      </c>
      <c r="P28" s="75" t="n">
        <v>41</v>
      </c>
      <c r="Q28" s="75" t="n">
        <v>1</v>
      </c>
      <c r="R28" s="75" t="n">
        <v>0</v>
      </c>
      <c r="S28" s="28" t="str">
        <f aca="false">IF(AND(A28&lt;&gt;"",N28&lt;&gt;"",COUNTIFS(首批固定任务!$A$2:$A$109,A28,首批固定任务!$N$2:$N$109,N28)=1,COUNTIFS($A$2:$A$109,A28)=1),"匹配","缺范围或重复")</f>
        <v>匹配</v>
      </c>
      <c r="T28" s="28" t="s">
        <v>955</v>
      </c>
      <c r="U28" s="75" t="n">
        <v>0</v>
      </c>
      <c r="V28" s="28" t="s">
        <v>956</v>
      </c>
      <c r="W28" s="28" t="s">
        <v>957</v>
      </c>
      <c r="X28" s="28" t="s">
        <v>958</v>
      </c>
      <c r="Y28" s="28" t="s">
        <v>959</v>
      </c>
      <c r="Z28" s="28" t="s">
        <v>960</v>
      </c>
      <c r="AA28" s="28" t="s">
        <v>961</v>
      </c>
      <c r="AB28" s="27" t="s">
        <v>974</v>
      </c>
    </row>
    <row r="29" customFormat="false" ht="36.4" hidden="false" customHeight="true" outlineLevel="0" collapsed="false">
      <c r="A29" s="88" t="s">
        <v>975</v>
      </c>
      <c r="B29" s="89" t="s">
        <v>872</v>
      </c>
      <c r="C29" s="89" t="s">
        <v>892</v>
      </c>
      <c r="D29" s="89" t="s">
        <v>976</v>
      </c>
      <c r="E29" s="90" t="n">
        <v>0</v>
      </c>
      <c r="F29" s="90" t="n">
        <v>1</v>
      </c>
      <c r="G29" s="90" t="n">
        <v>0</v>
      </c>
      <c r="H29" s="90" t="n">
        <v>0</v>
      </c>
      <c r="I29" s="91" t="s">
        <v>824</v>
      </c>
      <c r="J29" s="92" t="s">
        <v>977</v>
      </c>
      <c r="K29" s="93" t="n">
        <v>46321</v>
      </c>
      <c r="L29" s="89" t="s">
        <v>953</v>
      </c>
      <c r="M29" s="89" t="str">
        <f aca="false">IF(S29&lt;&gt;"匹配","缺范围任务",IF(I29="通过",IF(AND(J29&lt;&gt;"",ISNUMBER(K29),K29&gt;=DATE(2026,10,26)),"已验收","缺证据或日期"),IF(I29="","缺状态","待复核")))</f>
        <v>已验收</v>
      </c>
      <c r="N29" s="27" t="s">
        <v>954</v>
      </c>
      <c r="O29" s="27" t="s">
        <v>883</v>
      </c>
      <c r="P29" s="75" t="n">
        <v>38</v>
      </c>
      <c r="Q29" s="75" t="n">
        <v>1</v>
      </c>
      <c r="R29" s="75" t="n">
        <v>0</v>
      </c>
      <c r="S29" s="28" t="str">
        <f aca="false">IF(AND(A29&lt;&gt;"",N29&lt;&gt;"",COUNTIFS(首批固定任务!$A$2:$A$109,A29,首批固定任务!$N$2:$N$109,N29)=1,COUNTIFS($A$2:$A$109,A29)=1),"匹配","缺范围或重复")</f>
        <v>匹配</v>
      </c>
      <c r="T29" s="28" t="s">
        <v>955</v>
      </c>
      <c r="U29" s="75" t="n">
        <v>0</v>
      </c>
      <c r="V29" s="28" t="s">
        <v>956</v>
      </c>
      <c r="W29" s="28" t="s">
        <v>957</v>
      </c>
      <c r="X29" s="28" t="s">
        <v>958</v>
      </c>
      <c r="Y29" s="28" t="s">
        <v>959</v>
      </c>
      <c r="Z29" s="28" t="s">
        <v>960</v>
      </c>
      <c r="AA29" s="28" t="s">
        <v>961</v>
      </c>
      <c r="AB29" s="27" t="s">
        <v>978</v>
      </c>
    </row>
    <row r="30" customFormat="false" ht="25" hidden="false" customHeight="true" outlineLevel="0" collapsed="false">
      <c r="A30" s="88" t="s">
        <v>979</v>
      </c>
      <c r="B30" s="89" t="s">
        <v>821</v>
      </c>
      <c r="C30" s="89" t="s">
        <v>892</v>
      </c>
      <c r="D30" s="89" t="s">
        <v>980</v>
      </c>
      <c r="E30" s="90" t="n">
        <v>0</v>
      </c>
      <c r="F30" s="90" t="n">
        <v>0</v>
      </c>
      <c r="G30" s="90" t="n">
        <v>0</v>
      </c>
      <c r="H30" s="90" t="n">
        <v>0</v>
      </c>
      <c r="I30" s="91" t="s">
        <v>824</v>
      </c>
      <c r="J30" s="92" t="s">
        <v>981</v>
      </c>
      <c r="K30" s="93" t="n">
        <v>46321</v>
      </c>
      <c r="L30" s="89" t="s">
        <v>982</v>
      </c>
      <c r="M30" s="89" t="str">
        <f aca="false">IF(S30&lt;&gt;"匹配","缺范围任务",IF(I30="通过",IF(AND(J30&lt;&gt;"",ISNUMBER(K30),K30&gt;=DATE(2026,10,26)),"已验收","缺证据或日期"),IF(I30="","缺状态","待复核")))</f>
        <v>已验收</v>
      </c>
      <c r="N30" s="27" t="s">
        <v>954</v>
      </c>
      <c r="O30" s="27" t="s">
        <v>983</v>
      </c>
      <c r="P30" s="75" t="n">
        <v>0</v>
      </c>
      <c r="Q30" s="75" t="n">
        <v>0</v>
      </c>
      <c r="R30" s="75" t="n">
        <v>0</v>
      </c>
      <c r="S30" s="28" t="str">
        <f aca="false">IF(AND(A30&lt;&gt;"",N30&lt;&gt;"",COUNTIFS(首批固定任务!$A$2:$A$109,A30,首批固定任务!$N$2:$N$109,N30)=1,COUNTIFS($A$2:$A$109,A30)=1),"匹配","缺范围或重复")</f>
        <v>匹配</v>
      </c>
      <c r="T30" s="28" t="s">
        <v>984</v>
      </c>
      <c r="U30" s="75" t="n">
        <v>0</v>
      </c>
      <c r="V30" s="28" t="s">
        <v>985</v>
      </c>
      <c r="W30" s="28" t="s">
        <v>986</v>
      </c>
      <c r="X30" s="28" t="s">
        <v>958</v>
      </c>
      <c r="Y30" s="28" t="s">
        <v>959</v>
      </c>
      <c r="Z30" s="28" t="s">
        <v>987</v>
      </c>
      <c r="AA30" s="28" t="s">
        <v>988</v>
      </c>
      <c r="AB30" s="27" t="s">
        <v>989</v>
      </c>
    </row>
    <row r="31" customFormat="false" ht="25" hidden="false" customHeight="true" outlineLevel="0" collapsed="false">
      <c r="A31" s="88" t="s">
        <v>990</v>
      </c>
      <c r="B31" s="89" t="s">
        <v>821</v>
      </c>
      <c r="C31" s="89" t="s">
        <v>892</v>
      </c>
      <c r="D31" s="89" t="s">
        <v>980</v>
      </c>
      <c r="E31" s="90" t="n">
        <v>0</v>
      </c>
      <c r="F31" s="90" t="n">
        <v>0</v>
      </c>
      <c r="G31" s="90" t="n">
        <v>0</v>
      </c>
      <c r="H31" s="90" t="n">
        <v>0</v>
      </c>
      <c r="I31" s="91" t="s">
        <v>824</v>
      </c>
      <c r="J31" s="92" t="s">
        <v>991</v>
      </c>
      <c r="K31" s="93" t="n">
        <v>46321</v>
      </c>
      <c r="L31" s="89" t="s">
        <v>982</v>
      </c>
      <c r="M31" s="89" t="str">
        <f aca="false">IF(S31&lt;&gt;"匹配","缺范围任务",IF(I31="通过",IF(AND(J31&lt;&gt;"",ISNUMBER(K31),K31&gt;=DATE(2026,10,26)),"已验收","缺证据或日期"),IF(I31="","缺状态","待复核")))</f>
        <v>已验收</v>
      </c>
      <c r="N31" s="27" t="s">
        <v>954</v>
      </c>
      <c r="O31" s="27" t="s">
        <v>992</v>
      </c>
      <c r="P31" s="75" t="n">
        <v>0</v>
      </c>
      <c r="Q31" s="75" t="n">
        <v>0</v>
      </c>
      <c r="R31" s="75" t="n">
        <v>0</v>
      </c>
      <c r="S31" s="28" t="str">
        <f aca="false">IF(AND(A31&lt;&gt;"",N31&lt;&gt;"",COUNTIFS(首批固定任务!$A$2:$A$109,A31,首批固定任务!$N$2:$N$109,N31)=1,COUNTIFS($A$2:$A$109,A31)=1),"匹配","缺范围或重复")</f>
        <v>匹配</v>
      </c>
      <c r="T31" s="28" t="s">
        <v>984</v>
      </c>
      <c r="U31" s="75" t="n">
        <v>0</v>
      </c>
      <c r="V31" s="28" t="s">
        <v>985</v>
      </c>
      <c r="W31" s="28" t="s">
        <v>986</v>
      </c>
      <c r="X31" s="28" t="s">
        <v>958</v>
      </c>
      <c r="Y31" s="28" t="s">
        <v>959</v>
      </c>
      <c r="Z31" s="28" t="s">
        <v>987</v>
      </c>
      <c r="AA31" s="28" t="s">
        <v>988</v>
      </c>
      <c r="AB31" s="27" t="s">
        <v>993</v>
      </c>
    </row>
    <row r="32" customFormat="false" ht="36.4" hidden="false" customHeight="true" outlineLevel="0" collapsed="false">
      <c r="A32" s="88" t="s">
        <v>994</v>
      </c>
      <c r="B32" s="89" t="s">
        <v>995</v>
      </c>
      <c r="C32" s="89" t="s">
        <v>892</v>
      </c>
      <c r="D32" s="89" t="s">
        <v>996</v>
      </c>
      <c r="E32" s="90" t="n">
        <v>0</v>
      </c>
      <c r="F32" s="90" t="n">
        <v>0</v>
      </c>
      <c r="G32" s="90" t="n">
        <v>0</v>
      </c>
      <c r="H32" s="90" t="n">
        <v>0</v>
      </c>
      <c r="I32" s="91" t="s">
        <v>824</v>
      </c>
      <c r="J32" s="92" t="s">
        <v>997</v>
      </c>
      <c r="K32" s="93" t="n">
        <v>46321</v>
      </c>
      <c r="L32" s="89" t="s">
        <v>953</v>
      </c>
      <c r="M32" s="89" t="str">
        <f aca="false">IF(S32&lt;&gt;"匹配","缺范围任务",IF(I32="通过",IF(AND(J32&lt;&gt;"",ISNUMBER(K32),K32&gt;=DATE(2026,10,26)),"已验收","缺证据或日期"),IF(I32="","缺状态","待复核")))</f>
        <v>已验收</v>
      </c>
      <c r="N32" s="27" t="s">
        <v>954</v>
      </c>
      <c r="O32" s="27" t="s">
        <v>998</v>
      </c>
      <c r="P32" s="75" t="n">
        <v>0</v>
      </c>
      <c r="Q32" s="75" t="n">
        <v>0</v>
      </c>
      <c r="R32" s="75" t="n">
        <v>0</v>
      </c>
      <c r="S32" s="28" t="str">
        <f aca="false">IF(AND(A32&lt;&gt;"",N32&lt;&gt;"",COUNTIFS(首批固定任务!$A$2:$A$109,A32,首批固定任务!$N$2:$N$109,N32)=1,COUNTIFS($A$2:$A$109,A32)=1),"匹配","缺范围或重复")</f>
        <v>匹配</v>
      </c>
      <c r="T32" s="28" t="s">
        <v>999</v>
      </c>
      <c r="U32" s="75" t="n">
        <v>0</v>
      </c>
      <c r="V32" s="28" t="s">
        <v>1000</v>
      </c>
      <c r="W32" s="28" t="s">
        <v>1001</v>
      </c>
      <c r="X32" s="28" t="s">
        <v>958</v>
      </c>
      <c r="Y32" s="28" t="s">
        <v>959</v>
      </c>
      <c r="Z32" s="28" t="s">
        <v>960</v>
      </c>
      <c r="AA32" s="28" t="s">
        <v>1002</v>
      </c>
      <c r="AB32" s="27" t="s">
        <v>1003</v>
      </c>
    </row>
    <row r="33" customFormat="false" ht="36.4" hidden="false" customHeight="true" outlineLevel="0" collapsed="false">
      <c r="A33" s="88" t="s">
        <v>1004</v>
      </c>
      <c r="B33" s="89" t="s">
        <v>995</v>
      </c>
      <c r="C33" s="89" t="s">
        <v>892</v>
      </c>
      <c r="D33" s="89" t="s">
        <v>1005</v>
      </c>
      <c r="E33" s="90" t="n">
        <v>0</v>
      </c>
      <c r="F33" s="90" t="n">
        <v>0</v>
      </c>
      <c r="G33" s="90" t="n">
        <v>0</v>
      </c>
      <c r="H33" s="90" t="n">
        <v>0</v>
      </c>
      <c r="I33" s="91" t="s">
        <v>824</v>
      </c>
      <c r="J33" s="92" t="s">
        <v>1006</v>
      </c>
      <c r="K33" s="93" t="n">
        <v>46321</v>
      </c>
      <c r="L33" s="89" t="s">
        <v>953</v>
      </c>
      <c r="M33" s="89" t="str">
        <f aca="false">IF(S33&lt;&gt;"匹配","缺范围任务",IF(I33="通过",IF(AND(J33&lt;&gt;"",ISNUMBER(K33),K33&gt;=DATE(2026,10,26)),"已验收","缺证据或日期"),IF(I33="","缺状态","待复核")))</f>
        <v>已验收</v>
      </c>
      <c r="N33" s="27" t="s">
        <v>954</v>
      </c>
      <c r="O33" s="27" t="s">
        <v>998</v>
      </c>
      <c r="P33" s="75" t="n">
        <v>0</v>
      </c>
      <c r="Q33" s="75" t="n">
        <v>-1</v>
      </c>
      <c r="R33" s="75" t="n">
        <v>0</v>
      </c>
      <c r="S33" s="28" t="str">
        <f aca="false">IF(AND(A33&lt;&gt;"",N33&lt;&gt;"",COUNTIFS(首批固定任务!$A$2:$A$109,A33,首批固定任务!$N$2:$N$109,N33)=1,COUNTIFS($A$2:$A$109,A33)=1),"匹配","缺范围或重复")</f>
        <v>匹配</v>
      </c>
      <c r="T33" s="28" t="s">
        <v>999</v>
      </c>
      <c r="U33" s="75" t="n">
        <v>0</v>
      </c>
      <c r="V33" s="28" t="s">
        <v>1007</v>
      </c>
      <c r="W33" s="28" t="s">
        <v>1001</v>
      </c>
      <c r="X33" s="28" t="s">
        <v>958</v>
      </c>
      <c r="Y33" s="28" t="s">
        <v>959</v>
      </c>
      <c r="Z33" s="28" t="s">
        <v>960</v>
      </c>
      <c r="AA33" s="28" t="s">
        <v>1002</v>
      </c>
      <c r="AB33" s="27" t="s">
        <v>1008</v>
      </c>
    </row>
    <row r="34" customFormat="false" ht="25" hidden="false" customHeight="true" outlineLevel="0" collapsed="false">
      <c r="A34" s="88" t="s">
        <v>1009</v>
      </c>
      <c r="B34" s="89" t="s">
        <v>938</v>
      </c>
      <c r="C34" s="89" t="s">
        <v>892</v>
      </c>
      <c r="D34" s="89" t="s">
        <v>1010</v>
      </c>
      <c r="E34" s="90" t="n">
        <v>0</v>
      </c>
      <c r="F34" s="90" t="n">
        <v>0</v>
      </c>
      <c r="G34" s="90" t="n">
        <v>0</v>
      </c>
      <c r="H34" s="90" t="n">
        <v>0</v>
      </c>
      <c r="I34" s="91" t="s">
        <v>824</v>
      </c>
      <c r="J34" s="92" t="s">
        <v>1011</v>
      </c>
      <c r="K34" s="93" t="n">
        <v>46321</v>
      </c>
      <c r="L34" s="89" t="s">
        <v>1012</v>
      </c>
      <c r="M34" s="89" t="str">
        <f aca="false">IF(S34&lt;&gt;"匹配","缺范围任务",IF(I34="通过",IF(AND(J34&lt;&gt;"",ISNUMBER(K34),K34&gt;=DATE(2026,10,26)),"已验收","缺证据或日期"),IF(I34="","缺状态","待复核")))</f>
        <v>已验收</v>
      </c>
      <c r="N34" s="27" t="s">
        <v>954</v>
      </c>
      <c r="O34" s="27" t="s">
        <v>1013</v>
      </c>
      <c r="P34" s="75" t="n">
        <v>0</v>
      </c>
      <c r="Q34" s="75" t="n">
        <v>0</v>
      </c>
      <c r="R34" s="75" t="n">
        <v>1</v>
      </c>
      <c r="S34" s="28" t="str">
        <f aca="false">IF(AND(A34&lt;&gt;"",N34&lt;&gt;"",COUNTIFS(首批固定任务!$A$2:$A$109,A34,首批固定任务!$N$2:$N$109,N34)=1,COUNTIFS($A$2:$A$109,A34)=1),"匹配","缺范围或重复")</f>
        <v>匹配</v>
      </c>
      <c r="T34" s="28" t="s">
        <v>1014</v>
      </c>
      <c r="U34" s="75" t="n">
        <v>0</v>
      </c>
      <c r="V34" s="28" t="s">
        <v>1015</v>
      </c>
      <c r="W34" s="28" t="s">
        <v>1016</v>
      </c>
      <c r="X34" s="28" t="s">
        <v>958</v>
      </c>
      <c r="Y34" s="28" t="s">
        <v>959</v>
      </c>
      <c r="Z34" s="28" t="s">
        <v>960</v>
      </c>
      <c r="AA34" s="28" t="s">
        <v>1017</v>
      </c>
      <c r="AB34" s="27" t="s">
        <v>1018</v>
      </c>
    </row>
    <row r="35" customFormat="false" ht="36.4" hidden="false" customHeight="true" outlineLevel="0" collapsed="false">
      <c r="A35" s="88" t="s">
        <v>1019</v>
      </c>
      <c r="B35" s="89" t="s">
        <v>872</v>
      </c>
      <c r="C35" s="89" t="s">
        <v>892</v>
      </c>
      <c r="D35" s="94" t="s">
        <v>1020</v>
      </c>
      <c r="E35" s="90" t="n">
        <v>0</v>
      </c>
      <c r="F35" s="90" t="n">
        <v>1</v>
      </c>
      <c r="G35" s="90" t="n">
        <v>0</v>
      </c>
      <c r="H35" s="90" t="n">
        <v>0</v>
      </c>
      <c r="I35" s="91" t="s">
        <v>824</v>
      </c>
      <c r="J35" s="92" t="s">
        <v>1021</v>
      </c>
      <c r="K35" s="93" t="n">
        <v>46321</v>
      </c>
      <c r="L35" s="89" t="s">
        <v>953</v>
      </c>
      <c r="M35" s="89" t="str">
        <f aca="false">IF(S35&lt;&gt;"匹配","缺范围任务",IF(I35="通过",IF(AND(J35&lt;&gt;"",ISNUMBER(K35),K35&gt;=DATE(2026,10,26)),"已验收","缺证据或日期"),IF(I35="","缺状态","待复核")))</f>
        <v>已验收</v>
      </c>
      <c r="N35" s="27" t="s">
        <v>1022</v>
      </c>
      <c r="O35" s="27" t="s">
        <v>883</v>
      </c>
      <c r="P35" s="75" t="n">
        <v>25</v>
      </c>
      <c r="Q35" s="75" t="n">
        <v>1</v>
      </c>
      <c r="R35" s="75" t="n">
        <v>0</v>
      </c>
      <c r="S35" s="28" t="str">
        <f aca="false">IF(AND(A35&lt;&gt;"",N35&lt;&gt;"",COUNTIFS(首批固定任务!$A$2:$A$109,A35,首批固定任务!$N$2:$N$109,N35)=1,COUNTIFS($A$2:$A$109,A35)=1),"匹配","缺范围或重复")</f>
        <v>匹配</v>
      </c>
      <c r="T35" s="28" t="s">
        <v>955</v>
      </c>
      <c r="U35" s="75" t="n">
        <v>0</v>
      </c>
      <c r="V35" s="28" t="s">
        <v>1023</v>
      </c>
      <c r="W35" s="28" t="s">
        <v>1024</v>
      </c>
      <c r="X35" s="28" t="s">
        <v>958</v>
      </c>
      <c r="Y35" s="28" t="s">
        <v>959</v>
      </c>
      <c r="Z35" s="28" t="s">
        <v>960</v>
      </c>
      <c r="AA35" s="28" t="s">
        <v>1025</v>
      </c>
      <c r="AB35" s="27" t="s">
        <v>1026</v>
      </c>
    </row>
    <row r="36" customFormat="false" ht="36.4" hidden="false" customHeight="true" outlineLevel="0" collapsed="false">
      <c r="A36" s="88" t="s">
        <v>1027</v>
      </c>
      <c r="B36" s="89" t="s">
        <v>872</v>
      </c>
      <c r="C36" s="89" t="s">
        <v>892</v>
      </c>
      <c r="D36" s="94" t="s">
        <v>1028</v>
      </c>
      <c r="E36" s="90" t="n">
        <v>0</v>
      </c>
      <c r="F36" s="90" t="n">
        <v>1</v>
      </c>
      <c r="G36" s="90" t="n">
        <v>0</v>
      </c>
      <c r="H36" s="90" t="n">
        <v>0</v>
      </c>
      <c r="I36" s="91" t="s">
        <v>824</v>
      </c>
      <c r="J36" s="92" t="s">
        <v>1029</v>
      </c>
      <c r="K36" s="93" t="n">
        <v>46321</v>
      </c>
      <c r="L36" s="89" t="s">
        <v>953</v>
      </c>
      <c r="M36" s="89" t="str">
        <f aca="false">IF(S36&lt;&gt;"匹配","缺范围任务",IF(I36="通过",IF(AND(J36&lt;&gt;"",ISNUMBER(K36),K36&gt;=DATE(2026,10,26)),"已验收","缺证据或日期"),IF(I36="","缺状态","待复核")))</f>
        <v>已验收</v>
      </c>
      <c r="N36" s="27" t="s">
        <v>1022</v>
      </c>
      <c r="O36" s="27" t="s">
        <v>883</v>
      </c>
      <c r="P36" s="75" t="n">
        <v>27</v>
      </c>
      <c r="Q36" s="75" t="n">
        <v>1</v>
      </c>
      <c r="R36" s="75" t="n">
        <v>0</v>
      </c>
      <c r="S36" s="28" t="str">
        <f aca="false">IF(AND(A36&lt;&gt;"",N36&lt;&gt;"",COUNTIFS(首批固定任务!$A$2:$A$109,A36,首批固定任务!$N$2:$N$109,N36)=1,COUNTIFS($A$2:$A$109,A36)=1),"匹配","缺范围或重复")</f>
        <v>匹配</v>
      </c>
      <c r="T36" s="28" t="s">
        <v>955</v>
      </c>
      <c r="U36" s="75" t="n">
        <v>0</v>
      </c>
      <c r="V36" s="28" t="s">
        <v>1023</v>
      </c>
      <c r="W36" s="28" t="s">
        <v>1024</v>
      </c>
      <c r="X36" s="28" t="s">
        <v>958</v>
      </c>
      <c r="Y36" s="28" t="s">
        <v>959</v>
      </c>
      <c r="Z36" s="28" t="s">
        <v>960</v>
      </c>
      <c r="AA36" s="28" t="s">
        <v>1025</v>
      </c>
      <c r="AB36" s="27" t="s">
        <v>1030</v>
      </c>
    </row>
    <row r="37" customFormat="false" ht="36.4" hidden="false" customHeight="true" outlineLevel="0" collapsed="false">
      <c r="A37" s="88" t="s">
        <v>1031</v>
      </c>
      <c r="B37" s="89" t="s">
        <v>872</v>
      </c>
      <c r="C37" s="89" t="s">
        <v>892</v>
      </c>
      <c r="D37" s="94" t="s">
        <v>1032</v>
      </c>
      <c r="E37" s="90" t="n">
        <v>0</v>
      </c>
      <c r="F37" s="90" t="n">
        <v>1</v>
      </c>
      <c r="G37" s="90" t="n">
        <v>0</v>
      </c>
      <c r="H37" s="90" t="n">
        <v>0</v>
      </c>
      <c r="I37" s="91" t="s">
        <v>824</v>
      </c>
      <c r="J37" s="92" t="s">
        <v>1033</v>
      </c>
      <c r="K37" s="93" t="n">
        <v>46321</v>
      </c>
      <c r="L37" s="89" t="s">
        <v>953</v>
      </c>
      <c r="M37" s="89" t="str">
        <f aca="false">IF(S37&lt;&gt;"匹配","缺范围任务",IF(I37="通过",IF(AND(J37&lt;&gt;"",ISNUMBER(K37),K37&gt;=DATE(2026,10,26)),"已验收","缺证据或日期"),IF(I37="","缺状态","待复核")))</f>
        <v>已验收</v>
      </c>
      <c r="N37" s="27" t="s">
        <v>1022</v>
      </c>
      <c r="O37" s="27" t="s">
        <v>883</v>
      </c>
      <c r="P37" s="75" t="n">
        <v>43</v>
      </c>
      <c r="Q37" s="75" t="n">
        <v>1</v>
      </c>
      <c r="R37" s="75" t="n">
        <v>0</v>
      </c>
      <c r="S37" s="28" t="str">
        <f aca="false">IF(AND(A37&lt;&gt;"",N37&lt;&gt;"",COUNTIFS(首批固定任务!$A$2:$A$109,A37,首批固定任务!$N$2:$N$109,N37)=1,COUNTIFS($A$2:$A$109,A37)=1),"匹配","缺范围或重复")</f>
        <v>匹配</v>
      </c>
      <c r="T37" s="28" t="s">
        <v>955</v>
      </c>
      <c r="U37" s="75" t="n">
        <v>0</v>
      </c>
      <c r="V37" s="28" t="s">
        <v>1023</v>
      </c>
      <c r="W37" s="28" t="s">
        <v>1024</v>
      </c>
      <c r="X37" s="28" t="s">
        <v>958</v>
      </c>
      <c r="Y37" s="28" t="s">
        <v>959</v>
      </c>
      <c r="Z37" s="28" t="s">
        <v>960</v>
      </c>
      <c r="AA37" s="28" t="s">
        <v>1025</v>
      </c>
      <c r="AB37" s="27" t="s">
        <v>1034</v>
      </c>
    </row>
    <row r="38" customFormat="false" ht="36.4" hidden="false" customHeight="true" outlineLevel="0" collapsed="false">
      <c r="A38" s="88" t="s">
        <v>1035</v>
      </c>
      <c r="B38" s="89" t="s">
        <v>872</v>
      </c>
      <c r="C38" s="89" t="s">
        <v>892</v>
      </c>
      <c r="D38" s="94" t="s">
        <v>1036</v>
      </c>
      <c r="E38" s="90" t="n">
        <v>0</v>
      </c>
      <c r="F38" s="90" t="n">
        <v>1</v>
      </c>
      <c r="G38" s="90" t="n">
        <v>0</v>
      </c>
      <c r="H38" s="90" t="n">
        <v>0</v>
      </c>
      <c r="I38" s="91" t="s">
        <v>824</v>
      </c>
      <c r="J38" s="92" t="s">
        <v>1037</v>
      </c>
      <c r="K38" s="93" t="n">
        <v>46321</v>
      </c>
      <c r="L38" s="89" t="s">
        <v>953</v>
      </c>
      <c r="M38" s="89" t="str">
        <f aca="false">IF(S38&lt;&gt;"匹配","缺范围任务",IF(I38="通过",IF(AND(J38&lt;&gt;"",ISNUMBER(K38),K38&gt;=DATE(2026,10,26)),"已验收","缺证据或日期"),IF(I38="","缺状态","待复核")))</f>
        <v>已验收</v>
      </c>
      <c r="N38" s="27" t="s">
        <v>1022</v>
      </c>
      <c r="O38" s="27" t="s">
        <v>883</v>
      </c>
      <c r="P38" s="75" t="n">
        <v>50</v>
      </c>
      <c r="Q38" s="75" t="n">
        <v>1</v>
      </c>
      <c r="R38" s="75" t="n">
        <v>0</v>
      </c>
      <c r="S38" s="28" t="str">
        <f aca="false">IF(AND(A38&lt;&gt;"",N38&lt;&gt;"",COUNTIFS(首批固定任务!$A$2:$A$109,A38,首批固定任务!$N$2:$N$109,N38)=1,COUNTIFS($A$2:$A$109,A38)=1),"匹配","缺范围或重复")</f>
        <v>匹配</v>
      </c>
      <c r="T38" s="28" t="s">
        <v>955</v>
      </c>
      <c r="U38" s="75" t="n">
        <v>0</v>
      </c>
      <c r="V38" s="28" t="s">
        <v>1023</v>
      </c>
      <c r="W38" s="28" t="s">
        <v>1024</v>
      </c>
      <c r="X38" s="28" t="s">
        <v>958</v>
      </c>
      <c r="Y38" s="28" t="s">
        <v>959</v>
      </c>
      <c r="Z38" s="28" t="s">
        <v>960</v>
      </c>
      <c r="AA38" s="28" t="s">
        <v>1025</v>
      </c>
      <c r="AB38" s="27" t="s">
        <v>1038</v>
      </c>
    </row>
    <row r="39" customFormat="false" ht="49.6" hidden="false" customHeight="true" outlineLevel="0" collapsed="false">
      <c r="A39" s="88" t="s">
        <v>1039</v>
      </c>
      <c r="B39" s="89" t="s">
        <v>872</v>
      </c>
      <c r="C39" s="89" t="s">
        <v>892</v>
      </c>
      <c r="D39" s="94" t="s">
        <v>1040</v>
      </c>
      <c r="E39" s="90" t="n">
        <v>0</v>
      </c>
      <c r="F39" s="90" t="n">
        <v>1</v>
      </c>
      <c r="G39" s="90" t="n">
        <v>0</v>
      </c>
      <c r="H39" s="90" t="n">
        <v>0</v>
      </c>
      <c r="I39" s="91" t="s">
        <v>824</v>
      </c>
      <c r="J39" s="92" t="s">
        <v>1041</v>
      </c>
      <c r="K39" s="93" t="n">
        <v>46321</v>
      </c>
      <c r="L39" s="89" t="s">
        <v>953</v>
      </c>
      <c r="M39" s="89" t="str">
        <f aca="false">IF(S39&lt;&gt;"匹配","缺范围任务",IF(I39="通过",IF(AND(J39&lt;&gt;"",ISNUMBER(K39),K39&gt;=DATE(2026,10,26)),"已验收","缺证据或日期"),IF(I39="","缺状态","待复核")))</f>
        <v>已验收</v>
      </c>
      <c r="N39" s="27" t="s">
        <v>1022</v>
      </c>
      <c r="O39" s="27" t="s">
        <v>883</v>
      </c>
      <c r="P39" s="75" t="n">
        <v>53</v>
      </c>
      <c r="Q39" s="75" t="n">
        <v>1</v>
      </c>
      <c r="R39" s="75" t="n">
        <v>0</v>
      </c>
      <c r="S39" s="28" t="str">
        <f aca="false">IF(AND(A39&lt;&gt;"",N39&lt;&gt;"",COUNTIFS(首批固定任务!$A$2:$A$109,A39,首批固定任务!$N$2:$N$109,N39)=1,COUNTIFS($A$2:$A$109,A39)=1),"匹配","缺范围或重复")</f>
        <v>匹配</v>
      </c>
      <c r="T39" s="28" t="s">
        <v>955</v>
      </c>
      <c r="U39" s="75" t="n">
        <v>0</v>
      </c>
      <c r="V39" s="28" t="s">
        <v>1023</v>
      </c>
      <c r="W39" s="28" t="s">
        <v>1024</v>
      </c>
      <c r="X39" s="28" t="s">
        <v>958</v>
      </c>
      <c r="Y39" s="28" t="s">
        <v>959</v>
      </c>
      <c r="Z39" s="28" t="s">
        <v>960</v>
      </c>
      <c r="AA39" s="28" t="s">
        <v>1025</v>
      </c>
      <c r="AB39" s="27" t="s">
        <v>1042</v>
      </c>
    </row>
    <row r="40" customFormat="false" ht="36.4" hidden="false" customHeight="true" outlineLevel="0" collapsed="false">
      <c r="A40" s="88" t="s">
        <v>1043</v>
      </c>
      <c r="B40" s="89" t="s">
        <v>872</v>
      </c>
      <c r="C40" s="89" t="s">
        <v>892</v>
      </c>
      <c r="D40" s="89" t="s">
        <v>1044</v>
      </c>
      <c r="E40" s="90" t="n">
        <v>0</v>
      </c>
      <c r="F40" s="90" t="n">
        <v>0</v>
      </c>
      <c r="G40" s="90" t="n">
        <v>0</v>
      </c>
      <c r="H40" s="90" t="n">
        <v>0</v>
      </c>
      <c r="I40" s="91" t="s">
        <v>824</v>
      </c>
      <c r="J40" s="92" t="s">
        <v>1045</v>
      </c>
      <c r="K40" s="93" t="n">
        <v>46321</v>
      </c>
      <c r="L40" s="89" t="s">
        <v>1046</v>
      </c>
      <c r="M40" s="89" t="str">
        <f aca="false">IF(S40&lt;&gt;"匹配","缺范围任务",IF(I40="通过",IF(AND(J40&lt;&gt;"",ISNUMBER(K40),K40&gt;=DATE(2026,10,26)),"已验收","缺证据或日期"),IF(I40="","缺状态","待复核")))</f>
        <v>已验收</v>
      </c>
      <c r="N40" s="27" t="s">
        <v>1022</v>
      </c>
      <c r="O40" s="28" t="s">
        <v>1047</v>
      </c>
      <c r="P40" s="75" t="n">
        <v>0</v>
      </c>
      <c r="Q40" s="75" t="n">
        <v>0</v>
      </c>
      <c r="R40" s="75" t="n">
        <v>0</v>
      </c>
      <c r="S40" s="28" t="str">
        <f aca="false">IF(AND(A40&lt;&gt;"",N40&lt;&gt;"",COUNTIFS(首批固定任务!$A$2:$A$109,A40,首批固定任务!$N$2:$N$109,N40)=1,COUNTIFS($A$2:$A$109,A40)=1),"匹配","缺范围或重复")</f>
        <v>匹配</v>
      </c>
      <c r="T40" s="28" t="s">
        <v>999</v>
      </c>
      <c r="U40" s="75" t="n">
        <v>0</v>
      </c>
      <c r="V40" s="28" t="s">
        <v>1048</v>
      </c>
      <c r="W40" s="28" t="s">
        <v>1049</v>
      </c>
      <c r="X40" s="28" t="s">
        <v>958</v>
      </c>
      <c r="Y40" s="28" t="s">
        <v>959</v>
      </c>
      <c r="Z40" s="28" t="s">
        <v>960</v>
      </c>
      <c r="AA40" s="28" t="s">
        <v>1050</v>
      </c>
      <c r="AB40" s="27" t="s">
        <v>1051</v>
      </c>
    </row>
    <row r="41" customFormat="false" ht="36.4" hidden="false" customHeight="true" outlineLevel="0" collapsed="false">
      <c r="A41" s="88" t="s">
        <v>1052</v>
      </c>
      <c r="B41" s="89" t="s">
        <v>872</v>
      </c>
      <c r="C41" s="89" t="s">
        <v>892</v>
      </c>
      <c r="D41" s="89" t="s">
        <v>1053</v>
      </c>
      <c r="E41" s="90" t="n">
        <v>0</v>
      </c>
      <c r="F41" s="90" t="n">
        <v>0</v>
      </c>
      <c r="G41" s="90" t="n">
        <v>0</v>
      </c>
      <c r="H41" s="90" t="n">
        <v>0</v>
      </c>
      <c r="I41" s="91" t="s">
        <v>824</v>
      </c>
      <c r="J41" s="92" t="s">
        <v>1054</v>
      </c>
      <c r="K41" s="93" t="n">
        <v>46321</v>
      </c>
      <c r="L41" s="89" t="s">
        <v>1046</v>
      </c>
      <c r="M41" s="89" t="str">
        <f aca="false">IF(S41&lt;&gt;"匹配","缺范围任务",IF(I41="通过",IF(AND(J41&lt;&gt;"",ISNUMBER(K41),K41&gt;=DATE(2026,10,26)),"已验收","缺证据或日期"),IF(I41="","缺状态","待复核")))</f>
        <v>已验收</v>
      </c>
      <c r="N41" s="27" t="s">
        <v>1022</v>
      </c>
      <c r="O41" s="28" t="s">
        <v>1047</v>
      </c>
      <c r="P41" s="75" t="n">
        <v>0</v>
      </c>
      <c r="Q41" s="75" t="n">
        <v>0</v>
      </c>
      <c r="R41" s="75" t="n">
        <v>0</v>
      </c>
      <c r="S41" s="28" t="str">
        <f aca="false">IF(AND(A41&lt;&gt;"",N41&lt;&gt;"",COUNTIFS(首批固定任务!$A$2:$A$109,A41,首批固定任务!$N$2:$N$109,N41)=1,COUNTIFS($A$2:$A$109,A41)=1),"匹配","缺范围或重复")</f>
        <v>匹配</v>
      </c>
      <c r="T41" s="28" t="s">
        <v>999</v>
      </c>
      <c r="U41" s="75" t="n">
        <v>0</v>
      </c>
      <c r="V41" s="28" t="s">
        <v>1048</v>
      </c>
      <c r="W41" s="28" t="s">
        <v>1049</v>
      </c>
      <c r="X41" s="28" t="s">
        <v>958</v>
      </c>
      <c r="Y41" s="28" t="s">
        <v>959</v>
      </c>
      <c r="Z41" s="28" t="s">
        <v>960</v>
      </c>
      <c r="AA41" s="28" t="s">
        <v>1050</v>
      </c>
      <c r="AB41" s="27" t="s">
        <v>1055</v>
      </c>
    </row>
    <row r="42" customFormat="false" ht="36.4" hidden="false" customHeight="true" outlineLevel="0" collapsed="false">
      <c r="A42" s="88" t="s">
        <v>1056</v>
      </c>
      <c r="B42" s="89" t="s">
        <v>1057</v>
      </c>
      <c r="C42" s="89" t="s">
        <v>892</v>
      </c>
      <c r="D42" s="94" t="s">
        <v>1058</v>
      </c>
      <c r="E42" s="90" t="n">
        <v>0</v>
      </c>
      <c r="F42" s="90" t="n">
        <v>0</v>
      </c>
      <c r="G42" s="90" t="n">
        <v>0</v>
      </c>
      <c r="H42" s="90" t="n">
        <v>0</v>
      </c>
      <c r="I42" s="91" t="s">
        <v>824</v>
      </c>
      <c r="J42" s="92" t="s">
        <v>1059</v>
      </c>
      <c r="K42" s="93" t="n">
        <v>46321</v>
      </c>
      <c r="L42" s="89" t="s">
        <v>1060</v>
      </c>
      <c r="M42" s="89" t="str">
        <f aca="false">IF(S42&lt;&gt;"匹配","缺范围任务",IF(I42="通过",IF(AND(J42&lt;&gt;"",ISNUMBER(K42),K42&gt;=DATE(2026,10,26)),"已验收","缺证据或日期"),IF(I42="","缺状态","待复核")))</f>
        <v>已验收</v>
      </c>
      <c r="N42" s="27" t="s">
        <v>1022</v>
      </c>
      <c r="O42" s="27" t="s">
        <v>1061</v>
      </c>
      <c r="P42" s="75" t="n">
        <v>0</v>
      </c>
      <c r="Q42" s="75" t="n">
        <v>0</v>
      </c>
      <c r="R42" s="75" t="n">
        <v>1</v>
      </c>
      <c r="S42" s="28" t="str">
        <f aca="false">IF(AND(A42&lt;&gt;"",N42&lt;&gt;"",COUNTIFS(首批固定任务!$A$2:$A$109,A42,首批固定任务!$N$2:$N$109,N42)=1,COUNTIFS($A$2:$A$109,A42)=1),"匹配","缺范围或重复")</f>
        <v>匹配</v>
      </c>
      <c r="T42" s="28" t="s">
        <v>1014</v>
      </c>
      <c r="U42" s="75" t="n">
        <v>0</v>
      </c>
      <c r="V42" s="28" t="s">
        <v>1062</v>
      </c>
      <c r="W42" s="28" t="s">
        <v>1063</v>
      </c>
      <c r="X42" s="28" t="s">
        <v>958</v>
      </c>
      <c r="Y42" s="28" t="s">
        <v>959</v>
      </c>
      <c r="Z42" s="28" t="s">
        <v>960</v>
      </c>
      <c r="AA42" s="28" t="s">
        <v>1064</v>
      </c>
      <c r="AB42" s="27" t="s">
        <v>1065</v>
      </c>
    </row>
    <row r="43" customFormat="false" ht="36.4" hidden="false" customHeight="true" outlineLevel="0" collapsed="false">
      <c r="A43" s="88" t="s">
        <v>1066</v>
      </c>
      <c r="B43" s="89" t="s">
        <v>1067</v>
      </c>
      <c r="C43" s="89" t="s">
        <v>892</v>
      </c>
      <c r="D43" s="94" t="s">
        <v>1068</v>
      </c>
      <c r="E43" s="90" t="n">
        <v>0</v>
      </c>
      <c r="F43" s="90" t="n">
        <v>1</v>
      </c>
      <c r="G43" s="90" t="n">
        <v>0</v>
      </c>
      <c r="H43" s="90" t="n">
        <v>0</v>
      </c>
      <c r="I43" s="91" t="s">
        <v>824</v>
      </c>
      <c r="J43" s="92" t="s">
        <v>1069</v>
      </c>
      <c r="K43" s="93" t="n">
        <v>46321</v>
      </c>
      <c r="L43" s="89" t="s">
        <v>953</v>
      </c>
      <c r="M43" s="89" t="str">
        <f aca="false">IF(S43&lt;&gt;"匹配","缺范围任务",IF(I43="通过",IF(AND(J43&lt;&gt;"",ISNUMBER(K43),K43&gt;=DATE(2026,10,26)),"已验收","缺证据或日期"),IF(I43="","缺状态","待复核")))</f>
        <v>已验收</v>
      </c>
      <c r="N43" s="27" t="s">
        <v>1022</v>
      </c>
      <c r="O43" s="27" t="s">
        <v>1070</v>
      </c>
      <c r="P43" s="75" t="n">
        <v>2</v>
      </c>
      <c r="Q43" s="75" t="n">
        <v>0</v>
      </c>
      <c r="R43" s="75" t="n">
        <v>0</v>
      </c>
      <c r="S43" s="28" t="str">
        <f aca="false">IF(AND(A43&lt;&gt;"",N43&lt;&gt;"",COUNTIFS(首批固定任务!$A$2:$A$109,A43,首批固定任务!$N$2:$N$109,N43)=1,COUNTIFS($A$2:$A$109,A43)=1),"匹配","缺范围或重复")</f>
        <v>匹配</v>
      </c>
      <c r="T43" s="28" t="s">
        <v>955</v>
      </c>
      <c r="U43" s="75" t="n">
        <v>0</v>
      </c>
      <c r="V43" s="28" t="s">
        <v>1071</v>
      </c>
      <c r="W43" s="28" t="s">
        <v>1072</v>
      </c>
      <c r="X43" s="28" t="s">
        <v>958</v>
      </c>
      <c r="Y43" s="28" t="s">
        <v>959</v>
      </c>
      <c r="Z43" s="28" t="s">
        <v>960</v>
      </c>
      <c r="AA43" s="28" t="s">
        <v>1073</v>
      </c>
      <c r="AB43" s="27" t="s">
        <v>1074</v>
      </c>
    </row>
    <row r="44" customFormat="false" ht="36.4" hidden="false" customHeight="true" outlineLevel="0" collapsed="false">
      <c r="A44" s="88" t="s">
        <v>1075</v>
      </c>
      <c r="B44" s="89" t="s">
        <v>1067</v>
      </c>
      <c r="C44" s="89" t="s">
        <v>892</v>
      </c>
      <c r="D44" s="94" t="s">
        <v>1076</v>
      </c>
      <c r="E44" s="90" t="n">
        <v>0</v>
      </c>
      <c r="F44" s="90" t="n">
        <v>1</v>
      </c>
      <c r="G44" s="90" t="n">
        <v>0</v>
      </c>
      <c r="H44" s="90" t="n">
        <v>0</v>
      </c>
      <c r="I44" s="91" t="s">
        <v>824</v>
      </c>
      <c r="J44" s="92" t="s">
        <v>1077</v>
      </c>
      <c r="K44" s="93" t="n">
        <v>46321</v>
      </c>
      <c r="L44" s="89" t="s">
        <v>953</v>
      </c>
      <c r="M44" s="89" t="str">
        <f aca="false">IF(S44&lt;&gt;"匹配","缺范围任务",IF(I44="通过",IF(AND(J44&lt;&gt;"",ISNUMBER(K44),K44&gt;=DATE(2026,10,26)),"已验收","缺证据或日期"),IF(I44="","缺状态","待复核")))</f>
        <v>已验收</v>
      </c>
      <c r="N44" s="27" t="s">
        <v>1022</v>
      </c>
      <c r="O44" s="27" t="s">
        <v>1070</v>
      </c>
      <c r="P44" s="75" t="n">
        <v>13</v>
      </c>
      <c r="Q44" s="75" t="n">
        <v>0</v>
      </c>
      <c r="R44" s="75" t="n">
        <v>0</v>
      </c>
      <c r="S44" s="28" t="str">
        <f aca="false">IF(AND(A44&lt;&gt;"",N44&lt;&gt;"",COUNTIFS(首批固定任务!$A$2:$A$109,A44,首批固定任务!$N$2:$N$109,N44)=1,COUNTIFS($A$2:$A$109,A44)=1),"匹配","缺范围或重复")</f>
        <v>匹配</v>
      </c>
      <c r="T44" s="28" t="s">
        <v>955</v>
      </c>
      <c r="U44" s="75" t="n">
        <v>0</v>
      </c>
      <c r="V44" s="28" t="s">
        <v>1071</v>
      </c>
      <c r="W44" s="28" t="s">
        <v>1072</v>
      </c>
      <c r="X44" s="28" t="s">
        <v>958</v>
      </c>
      <c r="Y44" s="28" t="s">
        <v>959</v>
      </c>
      <c r="Z44" s="28" t="s">
        <v>960</v>
      </c>
      <c r="AA44" s="28" t="s">
        <v>1073</v>
      </c>
      <c r="AB44" s="27" t="s">
        <v>1078</v>
      </c>
    </row>
    <row r="45" customFormat="false" ht="36.4" hidden="false" customHeight="true" outlineLevel="0" collapsed="false">
      <c r="A45" s="88" t="s">
        <v>1079</v>
      </c>
      <c r="B45" s="89" t="s">
        <v>821</v>
      </c>
      <c r="C45" s="89" t="s">
        <v>892</v>
      </c>
      <c r="D45" s="89" t="s">
        <v>1080</v>
      </c>
      <c r="E45" s="90" t="n">
        <v>0</v>
      </c>
      <c r="F45" s="90" t="n">
        <v>0</v>
      </c>
      <c r="G45" s="90" t="n">
        <v>0</v>
      </c>
      <c r="H45" s="90" t="n">
        <v>0</v>
      </c>
      <c r="I45" s="91" t="s">
        <v>824</v>
      </c>
      <c r="J45" s="92" t="s">
        <v>1081</v>
      </c>
      <c r="K45" s="93" t="n">
        <v>46321</v>
      </c>
      <c r="L45" s="89" t="s">
        <v>982</v>
      </c>
      <c r="M45" s="89" t="str">
        <f aca="false">IF(S45&lt;&gt;"匹配","缺范围任务",IF(I45="通过",IF(AND(J45&lt;&gt;"",ISNUMBER(K45),K45&gt;=DATE(2026,10,26)),"已验收","缺证据或日期"),IF(I45="","缺状态","待复核")))</f>
        <v>已验收</v>
      </c>
      <c r="N45" s="27" t="s">
        <v>1082</v>
      </c>
      <c r="O45" s="27" t="s">
        <v>983</v>
      </c>
      <c r="P45" s="75" t="n">
        <v>0</v>
      </c>
      <c r="Q45" s="75" t="n">
        <v>0</v>
      </c>
      <c r="R45" s="75" t="n">
        <v>0</v>
      </c>
      <c r="S45" s="28" t="str">
        <f aca="false">IF(AND(A45&lt;&gt;"",N45&lt;&gt;"",COUNTIFS(首批固定任务!$A$2:$A$109,A45,首批固定任务!$N$2:$N$109,N45)=1,COUNTIFS($A$2:$A$109,A45)=1),"匹配","缺范围或重复")</f>
        <v>匹配</v>
      </c>
      <c r="T45" s="28" t="s">
        <v>984</v>
      </c>
      <c r="U45" s="75" t="n">
        <v>0</v>
      </c>
      <c r="V45" s="28" t="s">
        <v>985</v>
      </c>
      <c r="W45" s="28" t="s">
        <v>986</v>
      </c>
      <c r="X45" s="28" t="s">
        <v>958</v>
      </c>
      <c r="Y45" s="28" t="s">
        <v>959</v>
      </c>
      <c r="Z45" s="28" t="s">
        <v>1083</v>
      </c>
      <c r="AA45" s="28" t="s">
        <v>988</v>
      </c>
      <c r="AB45" s="27" t="s">
        <v>1084</v>
      </c>
    </row>
    <row r="46" customFormat="false" ht="36.4" hidden="false" customHeight="true" outlineLevel="0" collapsed="false">
      <c r="A46" s="88" t="s">
        <v>1085</v>
      </c>
      <c r="B46" s="89" t="s">
        <v>821</v>
      </c>
      <c r="C46" s="89" t="s">
        <v>892</v>
      </c>
      <c r="D46" s="89" t="s">
        <v>1086</v>
      </c>
      <c r="E46" s="90" t="n">
        <v>0</v>
      </c>
      <c r="F46" s="90" t="n">
        <v>0</v>
      </c>
      <c r="G46" s="90" t="n">
        <v>0</v>
      </c>
      <c r="H46" s="90" t="n">
        <v>0</v>
      </c>
      <c r="I46" s="91" t="s">
        <v>824</v>
      </c>
      <c r="J46" s="92" t="s">
        <v>1087</v>
      </c>
      <c r="K46" s="93" t="n">
        <v>46321</v>
      </c>
      <c r="L46" s="89" t="s">
        <v>982</v>
      </c>
      <c r="M46" s="89" t="str">
        <f aca="false">IF(S46&lt;&gt;"匹配","缺范围任务",IF(I46="通过",IF(AND(J46&lt;&gt;"",ISNUMBER(K46),K46&gt;=DATE(2026,10,26)),"已验收","缺证据或日期"),IF(I46="","缺状态","待复核")))</f>
        <v>已验收</v>
      </c>
      <c r="N46" s="27" t="s">
        <v>1082</v>
      </c>
      <c r="O46" s="27" t="s">
        <v>983</v>
      </c>
      <c r="P46" s="75" t="n">
        <v>0</v>
      </c>
      <c r="Q46" s="75" t="n">
        <v>0</v>
      </c>
      <c r="R46" s="75" t="n">
        <v>0</v>
      </c>
      <c r="S46" s="28" t="str">
        <f aca="false">IF(AND(A46&lt;&gt;"",N46&lt;&gt;"",COUNTIFS(首批固定任务!$A$2:$A$109,A46,首批固定任务!$N$2:$N$109,N46)=1,COUNTIFS($A$2:$A$109,A46)=1),"匹配","缺范围或重复")</f>
        <v>匹配</v>
      </c>
      <c r="T46" s="28" t="s">
        <v>984</v>
      </c>
      <c r="U46" s="75" t="n">
        <v>0</v>
      </c>
      <c r="V46" s="28" t="s">
        <v>985</v>
      </c>
      <c r="W46" s="28" t="s">
        <v>986</v>
      </c>
      <c r="X46" s="28" t="s">
        <v>958</v>
      </c>
      <c r="Y46" s="28" t="s">
        <v>959</v>
      </c>
      <c r="Z46" s="28" t="s">
        <v>1083</v>
      </c>
      <c r="AA46" s="28" t="s">
        <v>988</v>
      </c>
      <c r="AB46" s="27" t="s">
        <v>1088</v>
      </c>
    </row>
    <row r="47" customFormat="false" ht="36.4" hidden="false" customHeight="true" outlineLevel="0" collapsed="false">
      <c r="A47" s="88" t="s">
        <v>1089</v>
      </c>
      <c r="B47" s="89" t="s">
        <v>821</v>
      </c>
      <c r="C47" s="89" t="s">
        <v>892</v>
      </c>
      <c r="D47" s="89" t="s">
        <v>1080</v>
      </c>
      <c r="E47" s="90" t="n">
        <v>0</v>
      </c>
      <c r="F47" s="90" t="n">
        <v>0</v>
      </c>
      <c r="G47" s="90" t="n">
        <v>0</v>
      </c>
      <c r="H47" s="90" t="n">
        <v>0</v>
      </c>
      <c r="I47" s="91" t="s">
        <v>824</v>
      </c>
      <c r="J47" s="92" t="s">
        <v>1090</v>
      </c>
      <c r="K47" s="93" t="n">
        <v>46321</v>
      </c>
      <c r="L47" s="89" t="s">
        <v>982</v>
      </c>
      <c r="M47" s="89" t="str">
        <f aca="false">IF(S47&lt;&gt;"匹配","缺范围任务",IF(I47="通过",IF(AND(J47&lt;&gt;"",ISNUMBER(K47),K47&gt;=DATE(2026,10,26)),"已验收","缺证据或日期"),IF(I47="","缺状态","待复核")))</f>
        <v>已验收</v>
      </c>
      <c r="N47" s="27" t="s">
        <v>1082</v>
      </c>
      <c r="O47" s="27" t="s">
        <v>983</v>
      </c>
      <c r="P47" s="75" t="n">
        <v>0</v>
      </c>
      <c r="Q47" s="75" t="n">
        <v>0</v>
      </c>
      <c r="R47" s="75" t="n">
        <v>0</v>
      </c>
      <c r="S47" s="28" t="str">
        <f aca="false">IF(AND(A47&lt;&gt;"",N47&lt;&gt;"",COUNTIFS(首批固定任务!$A$2:$A$109,A47,首批固定任务!$N$2:$N$109,N47)=1,COUNTIFS($A$2:$A$109,A47)=1),"匹配","缺范围或重复")</f>
        <v>匹配</v>
      </c>
      <c r="T47" s="28" t="s">
        <v>984</v>
      </c>
      <c r="U47" s="75" t="n">
        <v>0</v>
      </c>
      <c r="V47" s="28" t="s">
        <v>985</v>
      </c>
      <c r="W47" s="28" t="s">
        <v>986</v>
      </c>
      <c r="X47" s="28" t="s">
        <v>958</v>
      </c>
      <c r="Y47" s="28" t="s">
        <v>959</v>
      </c>
      <c r="Z47" s="28" t="s">
        <v>1083</v>
      </c>
      <c r="AA47" s="28" t="s">
        <v>988</v>
      </c>
      <c r="AB47" s="27" t="s">
        <v>1091</v>
      </c>
    </row>
    <row r="48" customFormat="false" ht="25" hidden="false" customHeight="true" outlineLevel="0" collapsed="false">
      <c r="A48" s="88" t="s">
        <v>1092</v>
      </c>
      <c r="B48" s="89" t="s">
        <v>821</v>
      </c>
      <c r="C48" s="89" t="s">
        <v>892</v>
      </c>
      <c r="D48" s="89" t="s">
        <v>980</v>
      </c>
      <c r="E48" s="90" t="n">
        <v>0</v>
      </c>
      <c r="F48" s="90" t="n">
        <v>0</v>
      </c>
      <c r="G48" s="90" t="n">
        <v>0</v>
      </c>
      <c r="H48" s="90" t="n">
        <v>0</v>
      </c>
      <c r="I48" s="91" t="s">
        <v>824</v>
      </c>
      <c r="J48" s="92" t="s">
        <v>1093</v>
      </c>
      <c r="K48" s="93" t="n">
        <v>46321</v>
      </c>
      <c r="L48" s="89" t="s">
        <v>982</v>
      </c>
      <c r="M48" s="89" t="str">
        <f aca="false">IF(S48&lt;&gt;"匹配","缺范围任务",IF(I48="通过",IF(AND(J48&lt;&gt;"",ISNUMBER(K48),K48&gt;=DATE(2026,10,26)),"已验收","缺证据或日期"),IF(I48="","缺状态","待复核")))</f>
        <v>已验收</v>
      </c>
      <c r="N48" s="27" t="s">
        <v>1082</v>
      </c>
      <c r="O48" s="27" t="s">
        <v>992</v>
      </c>
      <c r="P48" s="75" t="n">
        <v>0</v>
      </c>
      <c r="Q48" s="75" t="n">
        <v>0</v>
      </c>
      <c r="R48" s="75" t="n">
        <v>0</v>
      </c>
      <c r="S48" s="28" t="str">
        <f aca="false">IF(AND(A48&lt;&gt;"",N48&lt;&gt;"",COUNTIFS(首批固定任务!$A$2:$A$109,A48,首批固定任务!$N$2:$N$109,N48)=1,COUNTIFS($A$2:$A$109,A48)=1),"匹配","缺范围或重复")</f>
        <v>匹配</v>
      </c>
      <c r="T48" s="28" t="s">
        <v>984</v>
      </c>
      <c r="U48" s="75" t="n">
        <v>0</v>
      </c>
      <c r="V48" s="28" t="s">
        <v>985</v>
      </c>
      <c r="W48" s="28" t="s">
        <v>986</v>
      </c>
      <c r="X48" s="28" t="s">
        <v>958</v>
      </c>
      <c r="Y48" s="28" t="s">
        <v>959</v>
      </c>
      <c r="Z48" s="28" t="s">
        <v>1083</v>
      </c>
      <c r="AA48" s="28" t="s">
        <v>988</v>
      </c>
      <c r="AB48" s="27" t="s">
        <v>1094</v>
      </c>
    </row>
    <row r="49" customFormat="false" ht="36.4" hidden="false" customHeight="true" outlineLevel="0" collapsed="false">
      <c r="A49" s="88" t="s">
        <v>1095</v>
      </c>
      <c r="B49" s="89" t="s">
        <v>821</v>
      </c>
      <c r="C49" s="89" t="s">
        <v>892</v>
      </c>
      <c r="D49" s="89" t="s">
        <v>1096</v>
      </c>
      <c r="E49" s="90" t="n">
        <v>0</v>
      </c>
      <c r="F49" s="90" t="n">
        <v>0</v>
      </c>
      <c r="G49" s="90" t="n">
        <v>0</v>
      </c>
      <c r="H49" s="90" t="n">
        <v>0</v>
      </c>
      <c r="I49" s="91" t="s">
        <v>824</v>
      </c>
      <c r="J49" s="92" t="s">
        <v>1097</v>
      </c>
      <c r="K49" s="93" t="n">
        <v>46321</v>
      </c>
      <c r="L49" s="89" t="s">
        <v>982</v>
      </c>
      <c r="M49" s="89" t="str">
        <f aca="false">IF(S49&lt;&gt;"匹配","缺范围任务",IF(I49="通过",IF(AND(J49&lt;&gt;"",ISNUMBER(K49),K49&gt;=DATE(2026,10,26)),"已验收","缺证据或日期"),IF(I49="","缺状态","待复核")))</f>
        <v>已验收</v>
      </c>
      <c r="N49" s="27" t="s">
        <v>1082</v>
      </c>
      <c r="O49" s="27" t="s">
        <v>992</v>
      </c>
      <c r="P49" s="75" t="n">
        <v>0</v>
      </c>
      <c r="Q49" s="75" t="n">
        <v>0</v>
      </c>
      <c r="R49" s="75" t="n">
        <v>0</v>
      </c>
      <c r="S49" s="28" t="str">
        <f aca="false">IF(AND(A49&lt;&gt;"",N49&lt;&gt;"",COUNTIFS(首批固定任务!$A$2:$A$109,A49,首批固定任务!$N$2:$N$109,N49)=1,COUNTIFS($A$2:$A$109,A49)=1),"匹配","缺范围或重复")</f>
        <v>匹配</v>
      </c>
      <c r="T49" s="28" t="s">
        <v>984</v>
      </c>
      <c r="U49" s="75" t="n">
        <v>0</v>
      </c>
      <c r="V49" s="28" t="s">
        <v>985</v>
      </c>
      <c r="W49" s="28" t="s">
        <v>986</v>
      </c>
      <c r="X49" s="28" t="s">
        <v>958</v>
      </c>
      <c r="Y49" s="28" t="s">
        <v>959</v>
      </c>
      <c r="Z49" s="28" t="s">
        <v>1083</v>
      </c>
      <c r="AA49" s="28" t="s">
        <v>988</v>
      </c>
      <c r="AB49" s="27" t="s">
        <v>1098</v>
      </c>
    </row>
    <row r="50" customFormat="false" ht="25" hidden="false" customHeight="true" outlineLevel="0" collapsed="false">
      <c r="A50" s="88" t="s">
        <v>1099</v>
      </c>
      <c r="B50" s="89" t="s">
        <v>821</v>
      </c>
      <c r="C50" s="89" t="s">
        <v>892</v>
      </c>
      <c r="D50" s="89" t="s">
        <v>980</v>
      </c>
      <c r="E50" s="90" t="n">
        <v>0</v>
      </c>
      <c r="F50" s="90" t="n">
        <v>0</v>
      </c>
      <c r="G50" s="90" t="n">
        <v>0</v>
      </c>
      <c r="H50" s="90" t="n">
        <v>0</v>
      </c>
      <c r="I50" s="91" t="s">
        <v>824</v>
      </c>
      <c r="J50" s="92" t="s">
        <v>1100</v>
      </c>
      <c r="K50" s="93" t="n">
        <v>46321</v>
      </c>
      <c r="L50" s="89" t="s">
        <v>982</v>
      </c>
      <c r="M50" s="89" t="str">
        <f aca="false">IF(S50&lt;&gt;"匹配","缺范围任务",IF(I50="通过",IF(AND(J50&lt;&gt;"",ISNUMBER(K50),K50&gt;=DATE(2026,10,26)),"已验收","缺证据或日期"),IF(I50="","缺状态","待复核")))</f>
        <v>已验收</v>
      </c>
      <c r="N50" s="27" t="s">
        <v>1082</v>
      </c>
      <c r="O50" s="27" t="s">
        <v>992</v>
      </c>
      <c r="P50" s="75" t="n">
        <v>0</v>
      </c>
      <c r="Q50" s="75" t="n">
        <v>0</v>
      </c>
      <c r="R50" s="75" t="n">
        <v>0</v>
      </c>
      <c r="S50" s="28" t="str">
        <f aca="false">IF(AND(A50&lt;&gt;"",N50&lt;&gt;"",COUNTIFS(首批固定任务!$A$2:$A$109,A50,首批固定任务!$N$2:$N$109,N50)=1,COUNTIFS($A$2:$A$109,A50)=1),"匹配","缺范围或重复")</f>
        <v>匹配</v>
      </c>
      <c r="T50" s="28" t="s">
        <v>984</v>
      </c>
      <c r="U50" s="75" t="n">
        <v>0</v>
      </c>
      <c r="V50" s="28" t="s">
        <v>985</v>
      </c>
      <c r="W50" s="28" t="s">
        <v>986</v>
      </c>
      <c r="X50" s="28" t="s">
        <v>958</v>
      </c>
      <c r="Y50" s="28" t="s">
        <v>959</v>
      </c>
      <c r="Z50" s="28" t="s">
        <v>1083</v>
      </c>
      <c r="AA50" s="28" t="s">
        <v>988</v>
      </c>
      <c r="AB50" s="27" t="s">
        <v>1101</v>
      </c>
    </row>
    <row r="51" customFormat="false" ht="25" hidden="false" customHeight="true" outlineLevel="0" collapsed="false">
      <c r="A51" s="88" t="s">
        <v>1102</v>
      </c>
      <c r="B51" s="89" t="s">
        <v>821</v>
      </c>
      <c r="C51" s="89" t="s">
        <v>892</v>
      </c>
      <c r="D51" s="89" t="s">
        <v>980</v>
      </c>
      <c r="E51" s="90" t="n">
        <v>0</v>
      </c>
      <c r="F51" s="90" t="n">
        <v>0</v>
      </c>
      <c r="G51" s="90" t="n">
        <v>0</v>
      </c>
      <c r="H51" s="90" t="n">
        <v>0</v>
      </c>
      <c r="I51" s="91" t="s">
        <v>824</v>
      </c>
      <c r="J51" s="92" t="s">
        <v>1103</v>
      </c>
      <c r="K51" s="93" t="n">
        <v>46321</v>
      </c>
      <c r="L51" s="89" t="s">
        <v>982</v>
      </c>
      <c r="M51" s="89" t="str">
        <f aca="false">IF(S51&lt;&gt;"匹配","缺范围任务",IF(I51="通过",IF(AND(J51&lt;&gt;"",ISNUMBER(K51),K51&gt;=DATE(2026,10,26)),"已验收","缺证据或日期"),IF(I51="","缺状态","待复核")))</f>
        <v>已验收</v>
      </c>
      <c r="N51" s="27" t="s">
        <v>1082</v>
      </c>
      <c r="O51" s="27" t="s">
        <v>992</v>
      </c>
      <c r="P51" s="75" t="n">
        <v>0</v>
      </c>
      <c r="Q51" s="75" t="n">
        <v>0</v>
      </c>
      <c r="R51" s="75" t="n">
        <v>0</v>
      </c>
      <c r="S51" s="28" t="str">
        <f aca="false">IF(AND(A51&lt;&gt;"",N51&lt;&gt;"",COUNTIFS(首批固定任务!$A$2:$A$109,A51,首批固定任务!$N$2:$N$109,N51)=1,COUNTIFS($A$2:$A$109,A51)=1),"匹配","缺范围或重复")</f>
        <v>匹配</v>
      </c>
      <c r="T51" s="28" t="s">
        <v>984</v>
      </c>
      <c r="U51" s="75" t="n">
        <v>0</v>
      </c>
      <c r="V51" s="28" t="s">
        <v>985</v>
      </c>
      <c r="W51" s="28" t="s">
        <v>986</v>
      </c>
      <c r="X51" s="28" t="s">
        <v>958</v>
      </c>
      <c r="Y51" s="28" t="s">
        <v>959</v>
      </c>
      <c r="Z51" s="28" t="s">
        <v>1083</v>
      </c>
      <c r="AA51" s="28" t="s">
        <v>988</v>
      </c>
      <c r="AB51" s="27" t="s">
        <v>1104</v>
      </c>
    </row>
    <row r="52" customFormat="false" ht="36.4" hidden="false" customHeight="true" outlineLevel="0" collapsed="false">
      <c r="A52" s="88" t="s">
        <v>1105</v>
      </c>
      <c r="B52" s="89" t="s">
        <v>821</v>
      </c>
      <c r="C52" s="89" t="s">
        <v>892</v>
      </c>
      <c r="D52" s="89" t="s">
        <v>980</v>
      </c>
      <c r="E52" s="90" t="n">
        <v>0</v>
      </c>
      <c r="F52" s="90" t="n">
        <v>0</v>
      </c>
      <c r="G52" s="90" t="n">
        <v>0</v>
      </c>
      <c r="H52" s="90" t="n">
        <v>0</v>
      </c>
      <c r="I52" s="91" t="s">
        <v>824</v>
      </c>
      <c r="J52" s="92" t="s">
        <v>1106</v>
      </c>
      <c r="K52" s="93" t="n">
        <v>46321</v>
      </c>
      <c r="L52" s="89" t="s">
        <v>982</v>
      </c>
      <c r="M52" s="89" t="str">
        <f aca="false">IF(S52&lt;&gt;"匹配","缺范围任务",IF(I52="通过",IF(AND(J52&lt;&gt;"",ISNUMBER(K52),K52&gt;=DATE(2026,10,26)),"已验收","缺证据或日期"),IF(I52="","缺状态","待复核")))</f>
        <v>已验收</v>
      </c>
      <c r="N52" s="27" t="s">
        <v>1082</v>
      </c>
      <c r="O52" s="27" t="s">
        <v>1107</v>
      </c>
      <c r="P52" s="75" t="n">
        <v>0</v>
      </c>
      <c r="Q52" s="75" t="n">
        <v>0</v>
      </c>
      <c r="R52" s="75" t="n">
        <v>0</v>
      </c>
      <c r="S52" s="28" t="str">
        <f aca="false">IF(AND(A52&lt;&gt;"",N52&lt;&gt;"",COUNTIFS(首批固定任务!$A$2:$A$109,A52,首批固定任务!$N$2:$N$109,N52)=1,COUNTIFS($A$2:$A$109,A52)=1),"匹配","缺范围或重复")</f>
        <v>匹配</v>
      </c>
      <c r="T52" s="28" t="s">
        <v>984</v>
      </c>
      <c r="U52" s="75" t="n">
        <v>0</v>
      </c>
      <c r="V52" s="28" t="s">
        <v>985</v>
      </c>
      <c r="W52" s="28" t="s">
        <v>986</v>
      </c>
      <c r="X52" s="28" t="s">
        <v>958</v>
      </c>
      <c r="Y52" s="28" t="s">
        <v>959</v>
      </c>
      <c r="Z52" s="28" t="s">
        <v>1108</v>
      </c>
      <c r="AA52" s="28" t="s">
        <v>1109</v>
      </c>
      <c r="AB52" s="27" t="s">
        <v>1110</v>
      </c>
    </row>
    <row r="53" customFormat="false" ht="36.4" hidden="false" customHeight="true" outlineLevel="0" collapsed="false">
      <c r="A53" s="88" t="s">
        <v>1111</v>
      </c>
      <c r="B53" s="89" t="s">
        <v>821</v>
      </c>
      <c r="C53" s="89" t="s">
        <v>892</v>
      </c>
      <c r="D53" s="89" t="s">
        <v>980</v>
      </c>
      <c r="E53" s="90" t="n">
        <v>0</v>
      </c>
      <c r="F53" s="90" t="n">
        <v>0</v>
      </c>
      <c r="G53" s="90" t="n">
        <v>0</v>
      </c>
      <c r="H53" s="90" t="n">
        <v>0</v>
      </c>
      <c r="I53" s="91" t="s">
        <v>824</v>
      </c>
      <c r="J53" s="92" t="s">
        <v>1112</v>
      </c>
      <c r="K53" s="93" t="n">
        <v>46321</v>
      </c>
      <c r="L53" s="89" t="s">
        <v>982</v>
      </c>
      <c r="M53" s="89" t="str">
        <f aca="false">IF(S53&lt;&gt;"匹配","缺范围任务",IF(I53="通过",IF(AND(J53&lt;&gt;"",ISNUMBER(K53),K53&gt;=DATE(2026,10,26)),"已验收","缺证据或日期"),IF(I53="","缺状态","待复核")))</f>
        <v>已验收</v>
      </c>
      <c r="N53" s="27" t="s">
        <v>1082</v>
      </c>
      <c r="O53" s="27" t="s">
        <v>1107</v>
      </c>
      <c r="P53" s="75" t="n">
        <v>0</v>
      </c>
      <c r="Q53" s="75" t="n">
        <v>0</v>
      </c>
      <c r="R53" s="75" t="n">
        <v>0</v>
      </c>
      <c r="S53" s="28" t="str">
        <f aca="false">IF(AND(A53&lt;&gt;"",N53&lt;&gt;"",COUNTIFS(首批固定任务!$A$2:$A$109,A53,首批固定任务!$N$2:$N$109,N53)=1,COUNTIFS($A$2:$A$109,A53)=1),"匹配","缺范围或重复")</f>
        <v>匹配</v>
      </c>
      <c r="T53" s="28" t="s">
        <v>984</v>
      </c>
      <c r="U53" s="75" t="n">
        <v>0</v>
      </c>
      <c r="V53" s="28" t="s">
        <v>985</v>
      </c>
      <c r="W53" s="28" t="s">
        <v>986</v>
      </c>
      <c r="X53" s="28" t="s">
        <v>958</v>
      </c>
      <c r="Y53" s="28" t="s">
        <v>959</v>
      </c>
      <c r="Z53" s="28" t="s">
        <v>1108</v>
      </c>
      <c r="AA53" s="28" t="s">
        <v>1109</v>
      </c>
      <c r="AB53" s="27" t="s">
        <v>1113</v>
      </c>
    </row>
    <row r="54" customFormat="false" ht="36.4" hidden="false" customHeight="true" outlineLevel="0" collapsed="false">
      <c r="A54" s="88" t="s">
        <v>1114</v>
      </c>
      <c r="B54" s="89" t="s">
        <v>821</v>
      </c>
      <c r="C54" s="89" t="s">
        <v>892</v>
      </c>
      <c r="D54" s="89" t="s">
        <v>1115</v>
      </c>
      <c r="E54" s="90" t="n">
        <v>0</v>
      </c>
      <c r="F54" s="90" t="n">
        <v>0</v>
      </c>
      <c r="G54" s="90" t="n">
        <v>0</v>
      </c>
      <c r="H54" s="90" t="n">
        <v>0</v>
      </c>
      <c r="I54" s="91" t="s">
        <v>824</v>
      </c>
      <c r="J54" s="92" t="s">
        <v>1116</v>
      </c>
      <c r="K54" s="93" t="n">
        <v>46321</v>
      </c>
      <c r="L54" s="89" t="s">
        <v>982</v>
      </c>
      <c r="M54" s="89" t="str">
        <f aca="false">IF(S54&lt;&gt;"匹配","缺范围任务",IF(I54="通过",IF(AND(J54&lt;&gt;"",ISNUMBER(K54),K54&gt;=DATE(2026,10,26)),"已验收","缺证据或日期"),IF(I54="","缺状态","待复核")))</f>
        <v>已验收</v>
      </c>
      <c r="N54" s="27" t="s">
        <v>1082</v>
      </c>
      <c r="O54" s="27" t="s">
        <v>1107</v>
      </c>
      <c r="P54" s="75" t="n">
        <v>0</v>
      </c>
      <c r="Q54" s="75" t="n">
        <v>0</v>
      </c>
      <c r="R54" s="75" t="n">
        <v>0</v>
      </c>
      <c r="S54" s="28" t="str">
        <f aca="false">IF(AND(A54&lt;&gt;"",N54&lt;&gt;"",COUNTIFS(首批固定任务!$A$2:$A$109,A54,首批固定任务!$N$2:$N$109,N54)=1,COUNTIFS($A$2:$A$109,A54)=1),"匹配","缺范围或重复")</f>
        <v>匹配</v>
      </c>
      <c r="T54" s="28" t="s">
        <v>984</v>
      </c>
      <c r="U54" s="75" t="n">
        <v>0</v>
      </c>
      <c r="V54" s="28" t="s">
        <v>985</v>
      </c>
      <c r="W54" s="28" t="s">
        <v>986</v>
      </c>
      <c r="X54" s="28" t="s">
        <v>958</v>
      </c>
      <c r="Y54" s="28" t="s">
        <v>959</v>
      </c>
      <c r="Z54" s="28" t="s">
        <v>1108</v>
      </c>
      <c r="AA54" s="28" t="s">
        <v>1109</v>
      </c>
      <c r="AB54" s="27" t="s">
        <v>1117</v>
      </c>
    </row>
    <row r="55" customFormat="false" ht="36.4" hidden="false" customHeight="true" outlineLevel="0" collapsed="false">
      <c r="A55" s="88" t="s">
        <v>1118</v>
      </c>
      <c r="B55" s="89" t="s">
        <v>821</v>
      </c>
      <c r="C55" s="89" t="s">
        <v>892</v>
      </c>
      <c r="D55" s="89" t="s">
        <v>980</v>
      </c>
      <c r="E55" s="90" t="n">
        <v>0</v>
      </c>
      <c r="F55" s="90" t="n">
        <v>0</v>
      </c>
      <c r="G55" s="90" t="n">
        <v>0</v>
      </c>
      <c r="H55" s="90" t="n">
        <v>0</v>
      </c>
      <c r="I55" s="91" t="s">
        <v>824</v>
      </c>
      <c r="J55" s="92" t="s">
        <v>1119</v>
      </c>
      <c r="K55" s="93" t="n">
        <v>46321</v>
      </c>
      <c r="L55" s="89" t="s">
        <v>982</v>
      </c>
      <c r="M55" s="89" t="str">
        <f aca="false">IF(S55&lt;&gt;"匹配","缺范围任务",IF(I55="通过",IF(AND(J55&lt;&gt;"",ISNUMBER(K55),K55&gt;=DATE(2026,10,26)),"已验收","缺证据或日期"),IF(I55="","缺状态","待复核")))</f>
        <v>已验收</v>
      </c>
      <c r="N55" s="27" t="s">
        <v>1082</v>
      </c>
      <c r="O55" s="27" t="s">
        <v>1107</v>
      </c>
      <c r="P55" s="75" t="n">
        <v>0</v>
      </c>
      <c r="Q55" s="75" t="n">
        <v>0</v>
      </c>
      <c r="R55" s="75" t="n">
        <v>0</v>
      </c>
      <c r="S55" s="28" t="str">
        <f aca="false">IF(AND(A55&lt;&gt;"",N55&lt;&gt;"",COUNTIFS(首批固定任务!$A$2:$A$109,A55,首批固定任务!$N$2:$N$109,N55)=1,COUNTIFS($A$2:$A$109,A55)=1),"匹配","缺范围或重复")</f>
        <v>匹配</v>
      </c>
      <c r="T55" s="28" t="s">
        <v>984</v>
      </c>
      <c r="U55" s="75" t="n">
        <v>0</v>
      </c>
      <c r="V55" s="28" t="s">
        <v>985</v>
      </c>
      <c r="W55" s="28" t="s">
        <v>986</v>
      </c>
      <c r="X55" s="28" t="s">
        <v>958</v>
      </c>
      <c r="Y55" s="28" t="s">
        <v>959</v>
      </c>
      <c r="Z55" s="28" t="s">
        <v>1108</v>
      </c>
      <c r="AA55" s="28" t="s">
        <v>1109</v>
      </c>
      <c r="AB55" s="27" t="s">
        <v>1120</v>
      </c>
    </row>
    <row r="56" customFormat="false" ht="36.4" hidden="false" customHeight="true" outlineLevel="0" collapsed="false">
      <c r="A56" s="88" t="s">
        <v>1121</v>
      </c>
      <c r="B56" s="89" t="s">
        <v>821</v>
      </c>
      <c r="C56" s="89" t="s">
        <v>892</v>
      </c>
      <c r="D56" s="89" t="s">
        <v>980</v>
      </c>
      <c r="E56" s="90" t="n">
        <v>0</v>
      </c>
      <c r="F56" s="90" t="n">
        <v>0</v>
      </c>
      <c r="G56" s="90" t="n">
        <v>0</v>
      </c>
      <c r="H56" s="90" t="n">
        <v>0</v>
      </c>
      <c r="I56" s="91" t="s">
        <v>824</v>
      </c>
      <c r="J56" s="92" t="s">
        <v>1122</v>
      </c>
      <c r="K56" s="93" t="n">
        <v>46321</v>
      </c>
      <c r="L56" s="89" t="s">
        <v>982</v>
      </c>
      <c r="M56" s="89" t="str">
        <f aca="false">IF(S56&lt;&gt;"匹配","缺范围任务",IF(I56="通过",IF(AND(J56&lt;&gt;"",ISNUMBER(K56),K56&gt;=DATE(2026,10,26)),"已验收","缺证据或日期"),IF(I56="","缺状态","待复核")))</f>
        <v>已验收</v>
      </c>
      <c r="N56" s="27" t="s">
        <v>1082</v>
      </c>
      <c r="O56" s="27" t="s">
        <v>1107</v>
      </c>
      <c r="P56" s="75" t="n">
        <v>0</v>
      </c>
      <c r="Q56" s="75" t="n">
        <v>0</v>
      </c>
      <c r="R56" s="75" t="n">
        <v>0</v>
      </c>
      <c r="S56" s="28" t="str">
        <f aca="false">IF(AND(A56&lt;&gt;"",N56&lt;&gt;"",COUNTIFS(首批固定任务!$A$2:$A$109,A56,首批固定任务!$N$2:$N$109,N56)=1,COUNTIFS($A$2:$A$109,A56)=1),"匹配","缺范围或重复")</f>
        <v>匹配</v>
      </c>
      <c r="T56" s="28" t="s">
        <v>984</v>
      </c>
      <c r="U56" s="75" t="n">
        <v>0</v>
      </c>
      <c r="V56" s="28" t="s">
        <v>985</v>
      </c>
      <c r="W56" s="28" t="s">
        <v>986</v>
      </c>
      <c r="X56" s="28" t="s">
        <v>958</v>
      </c>
      <c r="Y56" s="28" t="s">
        <v>959</v>
      </c>
      <c r="Z56" s="28" t="s">
        <v>1108</v>
      </c>
      <c r="AA56" s="28" t="s">
        <v>1109</v>
      </c>
      <c r="AB56" s="27" t="s">
        <v>1123</v>
      </c>
    </row>
    <row r="57" customFormat="false" ht="36.4" hidden="false" customHeight="true" outlineLevel="0" collapsed="false">
      <c r="A57" s="88" t="s">
        <v>1124</v>
      </c>
      <c r="B57" s="89" t="s">
        <v>854</v>
      </c>
      <c r="C57" s="89" t="s">
        <v>892</v>
      </c>
      <c r="D57" s="89" t="s">
        <v>1125</v>
      </c>
      <c r="E57" s="90" t="n">
        <v>0</v>
      </c>
      <c r="F57" s="90" t="n">
        <v>0</v>
      </c>
      <c r="G57" s="90" t="n">
        <v>0</v>
      </c>
      <c r="H57" s="90" t="n">
        <v>0</v>
      </c>
      <c r="I57" s="91" t="s">
        <v>824</v>
      </c>
      <c r="J57" s="92" t="s">
        <v>1126</v>
      </c>
      <c r="K57" s="93" t="n">
        <v>46321</v>
      </c>
      <c r="L57" s="89" t="s">
        <v>982</v>
      </c>
      <c r="M57" s="89" t="str">
        <f aca="false">IF(S57&lt;&gt;"匹配","缺范围任务",IF(I57="通过",IF(AND(J57&lt;&gt;"",ISNUMBER(K57),K57&gt;=DATE(2026,10,26)),"已验收","缺证据或日期"),IF(I57="","缺状态","待复核")))</f>
        <v>已验收</v>
      </c>
      <c r="N57" s="27" t="s">
        <v>1127</v>
      </c>
      <c r="O57" s="27" t="s">
        <v>1128</v>
      </c>
      <c r="P57" s="75" t="n">
        <v>0</v>
      </c>
      <c r="Q57" s="75" t="n">
        <v>0</v>
      </c>
      <c r="R57" s="75" t="n">
        <v>0</v>
      </c>
      <c r="S57" s="28" t="str">
        <f aca="false">IF(AND(A57&lt;&gt;"",N57&lt;&gt;"",COUNTIFS(首批固定任务!$A$2:$A$109,A57,首批固定任务!$N$2:$N$109,N57)=1,COUNTIFS($A$2:$A$109,A57)=1),"匹配","缺范围或重复")</f>
        <v>匹配</v>
      </c>
      <c r="T57" s="28" t="s">
        <v>984</v>
      </c>
      <c r="U57" s="75" t="n">
        <v>0</v>
      </c>
      <c r="V57" s="28" t="s">
        <v>985</v>
      </c>
      <c r="W57" s="28" t="s">
        <v>986</v>
      </c>
      <c r="X57" s="28" t="s">
        <v>958</v>
      </c>
      <c r="Y57" s="28" t="s">
        <v>959</v>
      </c>
      <c r="Z57" s="28" t="s">
        <v>987</v>
      </c>
      <c r="AA57" s="28" t="s">
        <v>1129</v>
      </c>
      <c r="AB57" s="27" t="s">
        <v>1130</v>
      </c>
    </row>
    <row r="58" customFormat="false" ht="36.4" hidden="false" customHeight="true" outlineLevel="0" collapsed="false">
      <c r="A58" s="88" t="s">
        <v>1131</v>
      </c>
      <c r="B58" s="89" t="s">
        <v>854</v>
      </c>
      <c r="C58" s="89" t="s">
        <v>892</v>
      </c>
      <c r="D58" s="89" t="s">
        <v>1125</v>
      </c>
      <c r="E58" s="90" t="n">
        <v>0</v>
      </c>
      <c r="F58" s="90" t="n">
        <v>0</v>
      </c>
      <c r="G58" s="90" t="n">
        <v>0</v>
      </c>
      <c r="H58" s="90" t="n">
        <v>0</v>
      </c>
      <c r="I58" s="91" t="s">
        <v>824</v>
      </c>
      <c r="J58" s="92" t="s">
        <v>1132</v>
      </c>
      <c r="K58" s="93" t="n">
        <v>46321</v>
      </c>
      <c r="L58" s="89" t="s">
        <v>982</v>
      </c>
      <c r="M58" s="89" t="str">
        <f aca="false">IF(S58&lt;&gt;"匹配","缺范围任务",IF(I58="通过",IF(AND(J58&lt;&gt;"",ISNUMBER(K58),K58&gt;=DATE(2026,10,26)),"已验收","缺证据或日期"),IF(I58="","缺状态","待复核")))</f>
        <v>已验收</v>
      </c>
      <c r="N58" s="27" t="s">
        <v>1127</v>
      </c>
      <c r="O58" s="27" t="s">
        <v>1128</v>
      </c>
      <c r="P58" s="75" t="n">
        <v>0</v>
      </c>
      <c r="Q58" s="75" t="n">
        <v>0</v>
      </c>
      <c r="R58" s="75" t="n">
        <v>0</v>
      </c>
      <c r="S58" s="28" t="str">
        <f aca="false">IF(AND(A58&lt;&gt;"",N58&lt;&gt;"",COUNTIFS(首批固定任务!$A$2:$A$109,A58,首批固定任务!$N$2:$N$109,N58)=1,COUNTIFS($A$2:$A$109,A58)=1),"匹配","缺范围或重复")</f>
        <v>匹配</v>
      </c>
      <c r="T58" s="28" t="s">
        <v>984</v>
      </c>
      <c r="U58" s="75" t="n">
        <v>0</v>
      </c>
      <c r="V58" s="28" t="s">
        <v>985</v>
      </c>
      <c r="W58" s="28" t="s">
        <v>986</v>
      </c>
      <c r="X58" s="28" t="s">
        <v>958</v>
      </c>
      <c r="Y58" s="28" t="s">
        <v>959</v>
      </c>
      <c r="Z58" s="28" t="s">
        <v>987</v>
      </c>
      <c r="AA58" s="28" t="s">
        <v>1129</v>
      </c>
      <c r="AB58" s="27" t="s">
        <v>1133</v>
      </c>
    </row>
    <row r="59" customFormat="false" ht="36.4" hidden="false" customHeight="true" outlineLevel="0" collapsed="false">
      <c r="A59" s="88" t="s">
        <v>1134</v>
      </c>
      <c r="B59" s="89" t="s">
        <v>854</v>
      </c>
      <c r="C59" s="89" t="s">
        <v>892</v>
      </c>
      <c r="D59" s="89" t="s">
        <v>1125</v>
      </c>
      <c r="E59" s="90" t="n">
        <v>0</v>
      </c>
      <c r="F59" s="90" t="n">
        <v>0</v>
      </c>
      <c r="G59" s="90" t="n">
        <v>0</v>
      </c>
      <c r="H59" s="90" t="n">
        <v>0</v>
      </c>
      <c r="I59" s="91" t="s">
        <v>824</v>
      </c>
      <c r="J59" s="92" t="s">
        <v>1135</v>
      </c>
      <c r="K59" s="93" t="n">
        <v>46321</v>
      </c>
      <c r="L59" s="89" t="s">
        <v>982</v>
      </c>
      <c r="M59" s="89" t="str">
        <f aca="false">IF(S59&lt;&gt;"匹配","缺范围任务",IF(I59="通过",IF(AND(J59&lt;&gt;"",ISNUMBER(K59),K59&gt;=DATE(2026,10,26)),"已验收","缺证据或日期"),IF(I59="","缺状态","待复核")))</f>
        <v>已验收</v>
      </c>
      <c r="N59" s="27" t="s">
        <v>1127</v>
      </c>
      <c r="O59" s="27" t="s">
        <v>1128</v>
      </c>
      <c r="P59" s="75" t="n">
        <v>0</v>
      </c>
      <c r="Q59" s="75" t="n">
        <v>0</v>
      </c>
      <c r="R59" s="75" t="n">
        <v>0</v>
      </c>
      <c r="S59" s="28" t="str">
        <f aca="false">IF(AND(A59&lt;&gt;"",N59&lt;&gt;"",COUNTIFS(首批固定任务!$A$2:$A$109,A59,首批固定任务!$N$2:$N$109,N59)=1,COUNTIFS($A$2:$A$109,A59)=1),"匹配","缺范围或重复")</f>
        <v>匹配</v>
      </c>
      <c r="T59" s="28" t="s">
        <v>984</v>
      </c>
      <c r="U59" s="75" t="n">
        <v>0</v>
      </c>
      <c r="V59" s="28" t="s">
        <v>985</v>
      </c>
      <c r="W59" s="28" t="s">
        <v>986</v>
      </c>
      <c r="X59" s="28" t="s">
        <v>958</v>
      </c>
      <c r="Y59" s="28" t="s">
        <v>959</v>
      </c>
      <c r="Z59" s="28" t="s">
        <v>987</v>
      </c>
      <c r="AA59" s="28" t="s">
        <v>1129</v>
      </c>
      <c r="AB59" s="27" t="s">
        <v>1136</v>
      </c>
    </row>
    <row r="60" customFormat="false" ht="36.4" hidden="false" customHeight="true" outlineLevel="0" collapsed="false">
      <c r="A60" s="88" t="s">
        <v>1137</v>
      </c>
      <c r="B60" s="89" t="s">
        <v>854</v>
      </c>
      <c r="C60" s="89" t="s">
        <v>892</v>
      </c>
      <c r="D60" s="89" t="s">
        <v>1125</v>
      </c>
      <c r="E60" s="90" t="n">
        <v>0</v>
      </c>
      <c r="F60" s="90" t="n">
        <v>0</v>
      </c>
      <c r="G60" s="90" t="n">
        <v>0</v>
      </c>
      <c r="H60" s="90" t="n">
        <v>0</v>
      </c>
      <c r="I60" s="91" t="s">
        <v>824</v>
      </c>
      <c r="J60" s="92" t="s">
        <v>1138</v>
      </c>
      <c r="K60" s="93" t="n">
        <v>46321</v>
      </c>
      <c r="L60" s="89" t="s">
        <v>982</v>
      </c>
      <c r="M60" s="89" t="str">
        <f aca="false">IF(S60&lt;&gt;"匹配","缺范围任务",IF(I60="通过",IF(AND(J60&lt;&gt;"",ISNUMBER(K60),K60&gt;=DATE(2026,10,26)),"已验收","缺证据或日期"),IF(I60="","缺状态","待复核")))</f>
        <v>已验收</v>
      </c>
      <c r="N60" s="27" t="s">
        <v>1127</v>
      </c>
      <c r="O60" s="27" t="s">
        <v>1128</v>
      </c>
      <c r="P60" s="75" t="n">
        <v>0</v>
      </c>
      <c r="Q60" s="75" t="n">
        <v>0</v>
      </c>
      <c r="R60" s="75" t="n">
        <v>0</v>
      </c>
      <c r="S60" s="28" t="str">
        <f aca="false">IF(AND(A60&lt;&gt;"",N60&lt;&gt;"",COUNTIFS(首批固定任务!$A$2:$A$109,A60,首批固定任务!$N$2:$N$109,N60)=1,COUNTIFS($A$2:$A$109,A60)=1),"匹配","缺范围或重复")</f>
        <v>匹配</v>
      </c>
      <c r="T60" s="28" t="s">
        <v>984</v>
      </c>
      <c r="U60" s="75" t="n">
        <v>0</v>
      </c>
      <c r="V60" s="28" t="s">
        <v>985</v>
      </c>
      <c r="W60" s="28" t="s">
        <v>986</v>
      </c>
      <c r="X60" s="28" t="s">
        <v>958</v>
      </c>
      <c r="Y60" s="28" t="s">
        <v>959</v>
      </c>
      <c r="Z60" s="28" t="s">
        <v>987</v>
      </c>
      <c r="AA60" s="28" t="s">
        <v>1129</v>
      </c>
      <c r="AB60" s="27" t="s">
        <v>1139</v>
      </c>
    </row>
    <row r="61" customFormat="false" ht="36.4" hidden="false" customHeight="true" outlineLevel="0" collapsed="false">
      <c r="A61" s="88" t="s">
        <v>1140</v>
      </c>
      <c r="B61" s="89" t="s">
        <v>854</v>
      </c>
      <c r="C61" s="89" t="s">
        <v>892</v>
      </c>
      <c r="D61" s="89" t="s">
        <v>1125</v>
      </c>
      <c r="E61" s="90" t="n">
        <v>0</v>
      </c>
      <c r="F61" s="90" t="n">
        <v>0</v>
      </c>
      <c r="G61" s="90" t="n">
        <v>0</v>
      </c>
      <c r="H61" s="90" t="n">
        <v>0</v>
      </c>
      <c r="I61" s="91" t="s">
        <v>824</v>
      </c>
      <c r="J61" s="92" t="s">
        <v>1141</v>
      </c>
      <c r="K61" s="93" t="n">
        <v>46321</v>
      </c>
      <c r="L61" s="89" t="s">
        <v>982</v>
      </c>
      <c r="M61" s="89" t="str">
        <f aca="false">IF(S61&lt;&gt;"匹配","缺范围任务",IF(I61="通过",IF(AND(J61&lt;&gt;"",ISNUMBER(K61),K61&gt;=DATE(2026,10,26)),"已验收","缺证据或日期"),IF(I61="","缺状态","待复核")))</f>
        <v>已验收</v>
      </c>
      <c r="N61" s="27" t="s">
        <v>1127</v>
      </c>
      <c r="O61" s="27" t="s">
        <v>1128</v>
      </c>
      <c r="P61" s="75" t="n">
        <v>0</v>
      </c>
      <c r="Q61" s="75" t="n">
        <v>0</v>
      </c>
      <c r="R61" s="75" t="n">
        <v>0</v>
      </c>
      <c r="S61" s="28" t="str">
        <f aca="false">IF(AND(A61&lt;&gt;"",N61&lt;&gt;"",COUNTIFS(首批固定任务!$A$2:$A$109,A61,首批固定任务!$N$2:$N$109,N61)=1,COUNTIFS($A$2:$A$109,A61)=1),"匹配","缺范围或重复")</f>
        <v>匹配</v>
      </c>
      <c r="T61" s="28" t="s">
        <v>984</v>
      </c>
      <c r="U61" s="75" t="n">
        <v>0</v>
      </c>
      <c r="V61" s="28" t="s">
        <v>985</v>
      </c>
      <c r="W61" s="28" t="s">
        <v>986</v>
      </c>
      <c r="X61" s="28" t="s">
        <v>958</v>
      </c>
      <c r="Y61" s="28" t="s">
        <v>959</v>
      </c>
      <c r="Z61" s="28" t="s">
        <v>987</v>
      </c>
      <c r="AA61" s="28" t="s">
        <v>1129</v>
      </c>
      <c r="AB61" s="27" t="s">
        <v>1142</v>
      </c>
    </row>
    <row r="62" customFormat="false" ht="36.4" hidden="false" customHeight="true" outlineLevel="0" collapsed="false">
      <c r="A62" s="88" t="s">
        <v>1143</v>
      </c>
      <c r="B62" s="89" t="s">
        <v>854</v>
      </c>
      <c r="C62" s="89" t="s">
        <v>892</v>
      </c>
      <c r="D62" s="89" t="s">
        <v>1125</v>
      </c>
      <c r="E62" s="90" t="n">
        <v>0</v>
      </c>
      <c r="F62" s="90" t="n">
        <v>0</v>
      </c>
      <c r="G62" s="90" t="n">
        <v>0</v>
      </c>
      <c r="H62" s="90" t="n">
        <v>0</v>
      </c>
      <c r="I62" s="91" t="s">
        <v>824</v>
      </c>
      <c r="J62" s="92" t="s">
        <v>1144</v>
      </c>
      <c r="K62" s="93" t="n">
        <v>46321</v>
      </c>
      <c r="L62" s="89" t="s">
        <v>982</v>
      </c>
      <c r="M62" s="89" t="str">
        <f aca="false">IF(S62&lt;&gt;"匹配","缺范围任务",IF(I62="通过",IF(AND(J62&lt;&gt;"",ISNUMBER(K62),K62&gt;=DATE(2026,10,26)),"已验收","缺证据或日期"),IF(I62="","缺状态","待复核")))</f>
        <v>已验收</v>
      </c>
      <c r="N62" s="27" t="s">
        <v>1127</v>
      </c>
      <c r="O62" s="27" t="s">
        <v>1128</v>
      </c>
      <c r="P62" s="75" t="n">
        <v>0</v>
      </c>
      <c r="Q62" s="75" t="n">
        <v>0</v>
      </c>
      <c r="R62" s="75" t="n">
        <v>0</v>
      </c>
      <c r="S62" s="28" t="str">
        <f aca="false">IF(AND(A62&lt;&gt;"",N62&lt;&gt;"",COUNTIFS(首批固定任务!$A$2:$A$109,A62,首批固定任务!$N$2:$N$109,N62)=1,COUNTIFS($A$2:$A$109,A62)=1),"匹配","缺范围或重复")</f>
        <v>匹配</v>
      </c>
      <c r="T62" s="28" t="s">
        <v>984</v>
      </c>
      <c r="U62" s="75" t="n">
        <v>0</v>
      </c>
      <c r="V62" s="28" t="s">
        <v>985</v>
      </c>
      <c r="W62" s="28" t="s">
        <v>986</v>
      </c>
      <c r="X62" s="28" t="s">
        <v>958</v>
      </c>
      <c r="Y62" s="28" t="s">
        <v>959</v>
      </c>
      <c r="Z62" s="28" t="s">
        <v>987</v>
      </c>
      <c r="AA62" s="28" t="s">
        <v>1129</v>
      </c>
      <c r="AB62" s="27" t="s">
        <v>1145</v>
      </c>
    </row>
    <row r="63" customFormat="false" ht="36.4" hidden="false" customHeight="true" outlineLevel="0" collapsed="false">
      <c r="A63" s="88" t="s">
        <v>1146</v>
      </c>
      <c r="B63" s="89" t="s">
        <v>854</v>
      </c>
      <c r="C63" s="89" t="s">
        <v>892</v>
      </c>
      <c r="D63" s="89" t="s">
        <v>1125</v>
      </c>
      <c r="E63" s="90" t="n">
        <v>0</v>
      </c>
      <c r="F63" s="90" t="n">
        <v>0</v>
      </c>
      <c r="G63" s="90" t="n">
        <v>0</v>
      </c>
      <c r="H63" s="90" t="n">
        <v>0</v>
      </c>
      <c r="I63" s="91" t="s">
        <v>824</v>
      </c>
      <c r="J63" s="92" t="s">
        <v>1147</v>
      </c>
      <c r="K63" s="93" t="n">
        <v>46321</v>
      </c>
      <c r="L63" s="89" t="s">
        <v>982</v>
      </c>
      <c r="M63" s="89" t="str">
        <f aca="false">IF(S63&lt;&gt;"匹配","缺范围任务",IF(I63="通过",IF(AND(J63&lt;&gt;"",ISNUMBER(K63),K63&gt;=DATE(2026,10,26)),"已验收","缺证据或日期"),IF(I63="","缺状态","待复核")))</f>
        <v>已验收</v>
      </c>
      <c r="N63" s="27" t="s">
        <v>1127</v>
      </c>
      <c r="O63" s="27" t="s">
        <v>1148</v>
      </c>
      <c r="P63" s="75" t="n">
        <v>0</v>
      </c>
      <c r="Q63" s="75" t="n">
        <v>0</v>
      </c>
      <c r="R63" s="75" t="n">
        <v>0</v>
      </c>
      <c r="S63" s="28" t="str">
        <f aca="false">IF(AND(A63&lt;&gt;"",N63&lt;&gt;"",COUNTIFS(首批固定任务!$A$2:$A$109,A63,首批固定任务!$N$2:$N$109,N63)=1,COUNTIFS($A$2:$A$109,A63)=1),"匹配","缺范围或重复")</f>
        <v>匹配</v>
      </c>
      <c r="T63" s="28" t="s">
        <v>984</v>
      </c>
      <c r="U63" s="75" t="n">
        <v>0</v>
      </c>
      <c r="V63" s="28" t="s">
        <v>985</v>
      </c>
      <c r="W63" s="28" t="s">
        <v>986</v>
      </c>
      <c r="X63" s="28" t="s">
        <v>958</v>
      </c>
      <c r="Y63" s="28" t="s">
        <v>959</v>
      </c>
      <c r="Z63" s="28" t="s">
        <v>987</v>
      </c>
      <c r="AA63" s="28" t="s">
        <v>1129</v>
      </c>
      <c r="AB63" s="27" t="s">
        <v>1149</v>
      </c>
    </row>
    <row r="64" customFormat="false" ht="36.4" hidden="false" customHeight="true" outlineLevel="0" collapsed="false">
      <c r="A64" s="88" t="s">
        <v>1150</v>
      </c>
      <c r="B64" s="89" t="s">
        <v>854</v>
      </c>
      <c r="C64" s="89" t="s">
        <v>892</v>
      </c>
      <c r="D64" s="89" t="s">
        <v>1125</v>
      </c>
      <c r="E64" s="90" t="n">
        <v>0</v>
      </c>
      <c r="F64" s="90" t="n">
        <v>0</v>
      </c>
      <c r="G64" s="90" t="n">
        <v>0</v>
      </c>
      <c r="H64" s="90" t="n">
        <v>0</v>
      </c>
      <c r="I64" s="91" t="s">
        <v>824</v>
      </c>
      <c r="J64" s="92" t="s">
        <v>1151</v>
      </c>
      <c r="K64" s="93" t="n">
        <v>46321</v>
      </c>
      <c r="L64" s="89" t="s">
        <v>982</v>
      </c>
      <c r="M64" s="89" t="str">
        <f aca="false">IF(S64&lt;&gt;"匹配","缺范围任务",IF(I64="通过",IF(AND(J64&lt;&gt;"",ISNUMBER(K64),K64&gt;=DATE(2026,10,26)),"已验收","缺证据或日期"),IF(I64="","缺状态","待复核")))</f>
        <v>已验收</v>
      </c>
      <c r="N64" s="27" t="s">
        <v>1127</v>
      </c>
      <c r="O64" s="27" t="s">
        <v>1148</v>
      </c>
      <c r="P64" s="75" t="n">
        <v>0</v>
      </c>
      <c r="Q64" s="75" t="n">
        <v>0</v>
      </c>
      <c r="R64" s="75" t="n">
        <v>0</v>
      </c>
      <c r="S64" s="28" t="str">
        <f aca="false">IF(AND(A64&lt;&gt;"",N64&lt;&gt;"",COUNTIFS(首批固定任务!$A$2:$A$109,A64,首批固定任务!$N$2:$N$109,N64)=1,COUNTIFS($A$2:$A$109,A64)=1),"匹配","缺范围或重复")</f>
        <v>匹配</v>
      </c>
      <c r="T64" s="28" t="s">
        <v>984</v>
      </c>
      <c r="U64" s="75" t="n">
        <v>0</v>
      </c>
      <c r="V64" s="28" t="s">
        <v>985</v>
      </c>
      <c r="W64" s="28" t="s">
        <v>986</v>
      </c>
      <c r="X64" s="28" t="s">
        <v>958</v>
      </c>
      <c r="Y64" s="28" t="s">
        <v>959</v>
      </c>
      <c r="Z64" s="28" t="s">
        <v>987</v>
      </c>
      <c r="AA64" s="28" t="s">
        <v>1129</v>
      </c>
      <c r="AB64" s="27" t="s">
        <v>1152</v>
      </c>
    </row>
    <row r="65" customFormat="false" ht="36.4" hidden="false" customHeight="true" outlineLevel="0" collapsed="false">
      <c r="A65" s="88" t="s">
        <v>1153</v>
      </c>
      <c r="B65" s="89" t="s">
        <v>854</v>
      </c>
      <c r="C65" s="89" t="s">
        <v>892</v>
      </c>
      <c r="D65" s="89" t="s">
        <v>1125</v>
      </c>
      <c r="E65" s="90" t="n">
        <v>0</v>
      </c>
      <c r="F65" s="90" t="n">
        <v>0</v>
      </c>
      <c r="G65" s="90" t="n">
        <v>0</v>
      </c>
      <c r="H65" s="90" t="n">
        <v>0</v>
      </c>
      <c r="I65" s="91" t="s">
        <v>824</v>
      </c>
      <c r="J65" s="92" t="s">
        <v>1154</v>
      </c>
      <c r="K65" s="93" t="n">
        <v>46321</v>
      </c>
      <c r="L65" s="89" t="s">
        <v>982</v>
      </c>
      <c r="M65" s="89" t="str">
        <f aca="false">IF(S65&lt;&gt;"匹配","缺范围任务",IF(I65="通过",IF(AND(J65&lt;&gt;"",ISNUMBER(K65),K65&gt;=DATE(2026,10,26)),"已验收","缺证据或日期"),IF(I65="","缺状态","待复核")))</f>
        <v>已验收</v>
      </c>
      <c r="N65" s="27" t="s">
        <v>1127</v>
      </c>
      <c r="O65" s="27" t="s">
        <v>1148</v>
      </c>
      <c r="P65" s="75" t="n">
        <v>0</v>
      </c>
      <c r="Q65" s="75" t="n">
        <v>0</v>
      </c>
      <c r="R65" s="75" t="n">
        <v>0</v>
      </c>
      <c r="S65" s="28" t="str">
        <f aca="false">IF(AND(A65&lt;&gt;"",N65&lt;&gt;"",COUNTIFS(首批固定任务!$A$2:$A$109,A65,首批固定任务!$N$2:$N$109,N65)=1,COUNTIFS($A$2:$A$109,A65)=1),"匹配","缺范围或重复")</f>
        <v>匹配</v>
      </c>
      <c r="T65" s="28" t="s">
        <v>984</v>
      </c>
      <c r="U65" s="75" t="n">
        <v>0</v>
      </c>
      <c r="V65" s="28" t="s">
        <v>985</v>
      </c>
      <c r="W65" s="28" t="s">
        <v>986</v>
      </c>
      <c r="X65" s="28" t="s">
        <v>958</v>
      </c>
      <c r="Y65" s="28" t="s">
        <v>959</v>
      </c>
      <c r="Z65" s="28" t="s">
        <v>987</v>
      </c>
      <c r="AA65" s="28" t="s">
        <v>1129</v>
      </c>
      <c r="AB65" s="27" t="s">
        <v>1155</v>
      </c>
    </row>
    <row r="66" customFormat="false" ht="36.4" hidden="false" customHeight="true" outlineLevel="0" collapsed="false">
      <c r="A66" s="88" t="s">
        <v>1156</v>
      </c>
      <c r="B66" s="89" t="s">
        <v>854</v>
      </c>
      <c r="C66" s="89" t="s">
        <v>892</v>
      </c>
      <c r="D66" s="89" t="s">
        <v>1125</v>
      </c>
      <c r="E66" s="90" t="n">
        <v>0</v>
      </c>
      <c r="F66" s="90" t="n">
        <v>0</v>
      </c>
      <c r="G66" s="90" t="n">
        <v>0</v>
      </c>
      <c r="H66" s="90" t="n">
        <v>0</v>
      </c>
      <c r="I66" s="91" t="s">
        <v>824</v>
      </c>
      <c r="J66" s="92" t="s">
        <v>1157</v>
      </c>
      <c r="K66" s="93" t="n">
        <v>46321</v>
      </c>
      <c r="L66" s="89" t="s">
        <v>982</v>
      </c>
      <c r="M66" s="89" t="str">
        <f aca="false">IF(S66&lt;&gt;"匹配","缺范围任务",IF(I66="通过",IF(AND(J66&lt;&gt;"",ISNUMBER(K66),K66&gt;=DATE(2026,10,26)),"已验收","缺证据或日期"),IF(I66="","缺状态","待复核")))</f>
        <v>已验收</v>
      </c>
      <c r="N66" s="27" t="s">
        <v>1127</v>
      </c>
      <c r="O66" s="27" t="s">
        <v>1148</v>
      </c>
      <c r="P66" s="75" t="n">
        <v>0</v>
      </c>
      <c r="Q66" s="75" t="n">
        <v>0</v>
      </c>
      <c r="R66" s="75" t="n">
        <v>0</v>
      </c>
      <c r="S66" s="28" t="str">
        <f aca="false">IF(AND(A66&lt;&gt;"",N66&lt;&gt;"",COUNTIFS(首批固定任务!$A$2:$A$109,A66,首批固定任务!$N$2:$N$109,N66)=1,COUNTIFS($A$2:$A$109,A66)=1),"匹配","缺范围或重复")</f>
        <v>匹配</v>
      </c>
      <c r="T66" s="28" t="s">
        <v>984</v>
      </c>
      <c r="U66" s="75" t="n">
        <v>0</v>
      </c>
      <c r="V66" s="28" t="s">
        <v>985</v>
      </c>
      <c r="W66" s="28" t="s">
        <v>986</v>
      </c>
      <c r="X66" s="28" t="s">
        <v>958</v>
      </c>
      <c r="Y66" s="28" t="s">
        <v>959</v>
      </c>
      <c r="Z66" s="28" t="s">
        <v>987</v>
      </c>
      <c r="AA66" s="28" t="s">
        <v>1129</v>
      </c>
      <c r="AB66" s="27" t="s">
        <v>1158</v>
      </c>
    </row>
    <row r="67" customFormat="false" ht="36.4" hidden="false" customHeight="true" outlineLevel="0" collapsed="false">
      <c r="A67" s="88" t="s">
        <v>1159</v>
      </c>
      <c r="B67" s="89" t="s">
        <v>854</v>
      </c>
      <c r="C67" s="89" t="s">
        <v>892</v>
      </c>
      <c r="D67" s="89" t="s">
        <v>1125</v>
      </c>
      <c r="E67" s="90" t="n">
        <v>0</v>
      </c>
      <c r="F67" s="90" t="n">
        <v>0</v>
      </c>
      <c r="G67" s="90" t="n">
        <v>0</v>
      </c>
      <c r="H67" s="90" t="n">
        <v>0</v>
      </c>
      <c r="I67" s="91" t="s">
        <v>824</v>
      </c>
      <c r="J67" s="92" t="s">
        <v>1160</v>
      </c>
      <c r="K67" s="93" t="n">
        <v>46321</v>
      </c>
      <c r="L67" s="89" t="s">
        <v>982</v>
      </c>
      <c r="M67" s="89" t="str">
        <f aca="false">IF(S67&lt;&gt;"匹配","缺范围任务",IF(I67="通过",IF(AND(J67&lt;&gt;"",ISNUMBER(K67),K67&gt;=DATE(2026,10,26)),"已验收","缺证据或日期"),IF(I67="","缺状态","待复核")))</f>
        <v>已验收</v>
      </c>
      <c r="N67" s="27" t="s">
        <v>1127</v>
      </c>
      <c r="O67" s="27" t="s">
        <v>1148</v>
      </c>
      <c r="P67" s="75" t="n">
        <v>0</v>
      </c>
      <c r="Q67" s="75" t="n">
        <v>0</v>
      </c>
      <c r="R67" s="75" t="n">
        <v>0</v>
      </c>
      <c r="S67" s="28" t="str">
        <f aca="false">IF(AND(A67&lt;&gt;"",N67&lt;&gt;"",COUNTIFS(首批固定任务!$A$2:$A$109,A67,首批固定任务!$N$2:$N$109,N67)=1,COUNTIFS($A$2:$A$109,A67)=1),"匹配","缺范围或重复")</f>
        <v>匹配</v>
      </c>
      <c r="T67" s="28" t="s">
        <v>984</v>
      </c>
      <c r="U67" s="75" t="n">
        <v>0</v>
      </c>
      <c r="V67" s="28" t="s">
        <v>985</v>
      </c>
      <c r="W67" s="28" t="s">
        <v>986</v>
      </c>
      <c r="X67" s="28" t="s">
        <v>958</v>
      </c>
      <c r="Y67" s="28" t="s">
        <v>959</v>
      </c>
      <c r="Z67" s="28" t="s">
        <v>987</v>
      </c>
      <c r="AA67" s="28" t="s">
        <v>1129</v>
      </c>
      <c r="AB67" s="27" t="s">
        <v>1161</v>
      </c>
    </row>
    <row r="68" customFormat="false" ht="36.4" hidden="false" customHeight="true" outlineLevel="0" collapsed="false">
      <c r="A68" s="88" t="s">
        <v>1162</v>
      </c>
      <c r="B68" s="89" t="s">
        <v>854</v>
      </c>
      <c r="C68" s="89" t="s">
        <v>892</v>
      </c>
      <c r="D68" s="89" t="s">
        <v>1125</v>
      </c>
      <c r="E68" s="90" t="n">
        <v>0</v>
      </c>
      <c r="F68" s="90" t="n">
        <v>0</v>
      </c>
      <c r="G68" s="90" t="n">
        <v>0</v>
      </c>
      <c r="H68" s="90" t="n">
        <v>0</v>
      </c>
      <c r="I68" s="91" t="s">
        <v>824</v>
      </c>
      <c r="J68" s="92" t="s">
        <v>1163</v>
      </c>
      <c r="K68" s="93" t="n">
        <v>46321</v>
      </c>
      <c r="L68" s="89" t="s">
        <v>982</v>
      </c>
      <c r="M68" s="89" t="str">
        <f aca="false">IF(S68&lt;&gt;"匹配","缺范围任务",IF(I68="通过",IF(AND(J68&lt;&gt;"",ISNUMBER(K68),K68&gt;=DATE(2026,10,26)),"已验收","缺证据或日期"),IF(I68="","缺状态","待复核")))</f>
        <v>已验收</v>
      </c>
      <c r="N68" s="27" t="s">
        <v>1127</v>
      </c>
      <c r="O68" s="27" t="s">
        <v>1148</v>
      </c>
      <c r="P68" s="75" t="n">
        <v>0</v>
      </c>
      <c r="Q68" s="75" t="n">
        <v>0</v>
      </c>
      <c r="R68" s="75" t="n">
        <v>0</v>
      </c>
      <c r="S68" s="28" t="str">
        <f aca="false">IF(AND(A68&lt;&gt;"",N68&lt;&gt;"",COUNTIFS(首批固定任务!$A$2:$A$109,A68,首批固定任务!$N$2:$N$109,N68)=1,COUNTIFS($A$2:$A$109,A68)=1),"匹配","缺范围或重复")</f>
        <v>匹配</v>
      </c>
      <c r="T68" s="28" t="s">
        <v>984</v>
      </c>
      <c r="U68" s="75" t="n">
        <v>0</v>
      </c>
      <c r="V68" s="28" t="s">
        <v>985</v>
      </c>
      <c r="W68" s="28" t="s">
        <v>986</v>
      </c>
      <c r="X68" s="28" t="s">
        <v>958</v>
      </c>
      <c r="Y68" s="28" t="s">
        <v>959</v>
      </c>
      <c r="Z68" s="28" t="s">
        <v>987</v>
      </c>
      <c r="AA68" s="28" t="s">
        <v>1129</v>
      </c>
      <c r="AB68" s="27" t="s">
        <v>1164</v>
      </c>
    </row>
    <row r="69" customFormat="false" ht="38.4" hidden="false" customHeight="true" outlineLevel="0" collapsed="false">
      <c r="A69" s="95" t="s">
        <v>1165</v>
      </c>
      <c r="B69" s="96" t="s">
        <v>872</v>
      </c>
      <c r="C69" s="96" t="s">
        <v>892</v>
      </c>
      <c r="D69" s="97" t="s">
        <v>1166</v>
      </c>
      <c r="E69" s="98" t="n">
        <v>0</v>
      </c>
      <c r="F69" s="98" t="n">
        <v>1</v>
      </c>
      <c r="G69" s="98" t="n">
        <v>0</v>
      </c>
      <c r="H69" s="98" t="n">
        <v>0</v>
      </c>
      <c r="I69" s="99" t="s">
        <v>824</v>
      </c>
      <c r="J69" s="100" t="s">
        <v>1167</v>
      </c>
      <c r="K69" s="101" t="n">
        <v>46321</v>
      </c>
      <c r="L69" s="96" t="s">
        <v>1168</v>
      </c>
      <c r="M69" s="96" t="str">
        <f aca="false">IF(S69&lt;&gt;"匹配","缺范围任务",IF(I69="通过",IF(AND(J69&lt;&gt;"",ISNUMBER(K69),K69&gt;=DATE(2026,10,26)),"已验收","缺证据或日期"),IF(I69="","缺状态","待复核")))</f>
        <v>已验收</v>
      </c>
      <c r="N69" s="33" t="s">
        <v>145</v>
      </c>
      <c r="O69" s="33" t="s">
        <v>876</v>
      </c>
      <c r="P69" s="102" t="n">
        <v>21</v>
      </c>
      <c r="Q69" s="102" t="n">
        <v>1</v>
      </c>
      <c r="R69" s="102" t="n">
        <v>0</v>
      </c>
      <c r="S69" s="34" t="str">
        <f aca="false">IF(AND(A69&lt;&gt;"",N69&lt;&gt;"",COUNTIFS(首批固定任务!$A$2:$A$109,A69,首批固定任务!$N$2:$N$109,N69)=1,COUNTIFS($A$2:$A$109,A69)=1),"匹配","缺范围或重复")</f>
        <v>匹配</v>
      </c>
      <c r="T69" s="34" t="s">
        <v>1169</v>
      </c>
      <c r="U69" s="102" t="n">
        <v>0</v>
      </c>
      <c r="V69" s="34" t="s">
        <v>1170</v>
      </c>
      <c r="W69" s="34" t="s">
        <v>1171</v>
      </c>
      <c r="X69" s="34" t="s">
        <v>958</v>
      </c>
      <c r="Y69" s="34" t="s">
        <v>959</v>
      </c>
      <c r="Z69" s="34" t="s">
        <v>1172</v>
      </c>
      <c r="AA69" s="34" t="s">
        <v>1173</v>
      </c>
      <c r="AB69" s="33" t="s">
        <v>1174</v>
      </c>
    </row>
    <row r="70" customFormat="false" ht="38.4" hidden="false" customHeight="true" outlineLevel="0" collapsed="false">
      <c r="A70" s="95" t="s">
        <v>1175</v>
      </c>
      <c r="B70" s="96" t="s">
        <v>872</v>
      </c>
      <c r="C70" s="96" t="s">
        <v>892</v>
      </c>
      <c r="D70" s="97" t="s">
        <v>1176</v>
      </c>
      <c r="E70" s="98" t="n">
        <v>0</v>
      </c>
      <c r="F70" s="98" t="n">
        <v>1</v>
      </c>
      <c r="G70" s="98" t="n">
        <v>0</v>
      </c>
      <c r="H70" s="98" t="n">
        <v>0</v>
      </c>
      <c r="I70" s="99" t="s">
        <v>824</v>
      </c>
      <c r="J70" s="100" t="s">
        <v>1177</v>
      </c>
      <c r="K70" s="101" t="n">
        <v>46321</v>
      </c>
      <c r="L70" s="96" t="s">
        <v>1168</v>
      </c>
      <c r="M70" s="96" t="str">
        <f aca="false">IF(S70&lt;&gt;"匹配","缺范围任务",IF(I70="通过",IF(AND(J70&lt;&gt;"",ISNUMBER(K70),K70&gt;=DATE(2026,10,26)),"已验收","缺证据或日期"),IF(I70="","缺状态","待复核")))</f>
        <v>已验收</v>
      </c>
      <c r="N70" s="33" t="s">
        <v>145</v>
      </c>
      <c r="O70" s="33" t="s">
        <v>876</v>
      </c>
      <c r="P70" s="102" t="n">
        <v>19</v>
      </c>
      <c r="Q70" s="102" t="n">
        <v>1</v>
      </c>
      <c r="R70" s="102" t="n">
        <v>0</v>
      </c>
      <c r="S70" s="34" t="str">
        <f aca="false">IF(AND(A70&lt;&gt;"",N70&lt;&gt;"",COUNTIFS(首批固定任务!$A$2:$A$109,A70,首批固定任务!$N$2:$N$109,N70)=1,COUNTIFS($A$2:$A$109,A70)=1),"匹配","缺范围或重复")</f>
        <v>匹配</v>
      </c>
      <c r="T70" s="34" t="s">
        <v>1169</v>
      </c>
      <c r="U70" s="102" t="n">
        <v>0</v>
      </c>
      <c r="V70" s="34" t="s">
        <v>1170</v>
      </c>
      <c r="W70" s="34" t="s">
        <v>1171</v>
      </c>
      <c r="X70" s="34" t="s">
        <v>958</v>
      </c>
      <c r="Y70" s="34" t="s">
        <v>959</v>
      </c>
      <c r="Z70" s="34" t="s">
        <v>1172</v>
      </c>
      <c r="AA70" s="34" t="s">
        <v>1173</v>
      </c>
      <c r="AB70" s="33" t="s">
        <v>1178</v>
      </c>
    </row>
    <row r="71" customFormat="false" ht="38.4" hidden="false" customHeight="true" outlineLevel="0" collapsed="false">
      <c r="A71" s="95" t="s">
        <v>1179</v>
      </c>
      <c r="B71" s="96" t="s">
        <v>872</v>
      </c>
      <c r="C71" s="96" t="s">
        <v>892</v>
      </c>
      <c r="D71" s="97" t="s">
        <v>1180</v>
      </c>
      <c r="E71" s="98" t="n">
        <v>0</v>
      </c>
      <c r="F71" s="98" t="n">
        <v>1</v>
      </c>
      <c r="G71" s="98" t="n">
        <v>0</v>
      </c>
      <c r="H71" s="98" t="n">
        <v>0</v>
      </c>
      <c r="I71" s="99" t="s">
        <v>824</v>
      </c>
      <c r="J71" s="100" t="s">
        <v>1181</v>
      </c>
      <c r="K71" s="101" t="n">
        <v>46321</v>
      </c>
      <c r="L71" s="96" t="s">
        <v>1168</v>
      </c>
      <c r="M71" s="96" t="str">
        <f aca="false">IF(S71&lt;&gt;"匹配","缺范围任务",IF(I71="通过",IF(AND(J71&lt;&gt;"",ISNUMBER(K71),K71&gt;=DATE(2026,10,26)),"已验收","缺证据或日期"),IF(I71="","缺状态","待复核")))</f>
        <v>已验收</v>
      </c>
      <c r="N71" s="33" t="s">
        <v>145</v>
      </c>
      <c r="O71" s="33" t="s">
        <v>883</v>
      </c>
      <c r="P71" s="102" t="n">
        <v>45</v>
      </c>
      <c r="Q71" s="102" t="n">
        <v>1</v>
      </c>
      <c r="R71" s="102" t="n">
        <v>0</v>
      </c>
      <c r="S71" s="34" t="str">
        <f aca="false">IF(AND(A71&lt;&gt;"",N71&lt;&gt;"",COUNTIFS(首批固定任务!$A$2:$A$109,A71,首批固定任务!$N$2:$N$109,N71)=1,COUNTIFS($A$2:$A$109,A71)=1),"匹配","缺范围或重复")</f>
        <v>匹配</v>
      </c>
      <c r="T71" s="34" t="s">
        <v>1169</v>
      </c>
      <c r="U71" s="102" t="n">
        <v>0</v>
      </c>
      <c r="V71" s="34" t="s">
        <v>1170</v>
      </c>
      <c r="W71" s="34" t="s">
        <v>1171</v>
      </c>
      <c r="X71" s="34" t="s">
        <v>958</v>
      </c>
      <c r="Y71" s="34" t="s">
        <v>959</v>
      </c>
      <c r="Z71" s="34" t="s">
        <v>1172</v>
      </c>
      <c r="AA71" s="34" t="s">
        <v>1173</v>
      </c>
      <c r="AB71" s="33" t="s">
        <v>1182</v>
      </c>
    </row>
    <row r="72" customFormat="false" ht="38.4" hidden="false" customHeight="true" outlineLevel="0" collapsed="false">
      <c r="A72" s="95" t="s">
        <v>1183</v>
      </c>
      <c r="B72" s="96" t="s">
        <v>1067</v>
      </c>
      <c r="C72" s="96" t="s">
        <v>892</v>
      </c>
      <c r="D72" s="97" t="s">
        <v>1184</v>
      </c>
      <c r="E72" s="98" t="n">
        <v>0</v>
      </c>
      <c r="F72" s="98" t="n">
        <v>1</v>
      </c>
      <c r="G72" s="98" t="n">
        <v>0</v>
      </c>
      <c r="H72" s="98" t="n">
        <v>0</v>
      </c>
      <c r="I72" s="99" t="s">
        <v>824</v>
      </c>
      <c r="J72" s="100" t="s">
        <v>1185</v>
      </c>
      <c r="K72" s="101" t="n">
        <v>46321</v>
      </c>
      <c r="L72" s="96" t="s">
        <v>1168</v>
      </c>
      <c r="M72" s="96" t="str">
        <f aca="false">IF(S72&lt;&gt;"匹配","缺范围任务",IF(I72="通过",IF(AND(J72&lt;&gt;"",ISNUMBER(K72),K72&gt;=DATE(2026,10,26)),"已验收","缺证据或日期"),IF(I72="","缺状态","待复核")))</f>
        <v>已验收</v>
      </c>
      <c r="N72" s="33" t="s">
        <v>145</v>
      </c>
      <c r="O72" s="33" t="s">
        <v>1070</v>
      </c>
      <c r="P72" s="102" t="n">
        <v>7</v>
      </c>
      <c r="Q72" s="102" t="n">
        <v>0</v>
      </c>
      <c r="R72" s="102" t="n">
        <v>0</v>
      </c>
      <c r="S72" s="34" t="str">
        <f aca="false">IF(AND(A72&lt;&gt;"",N72&lt;&gt;"",COUNTIFS(首批固定任务!$A$2:$A$109,A72,首批固定任务!$N$2:$N$109,N72)=1,COUNTIFS($A$2:$A$109,A72)=1),"匹配","缺范围或重复")</f>
        <v>匹配</v>
      </c>
      <c r="T72" s="34" t="s">
        <v>1169</v>
      </c>
      <c r="U72" s="102" t="n">
        <v>0</v>
      </c>
      <c r="V72" s="34" t="s">
        <v>1186</v>
      </c>
      <c r="W72" s="34" t="s">
        <v>1187</v>
      </c>
      <c r="X72" s="34" t="s">
        <v>958</v>
      </c>
      <c r="Y72" s="34" t="s">
        <v>959</v>
      </c>
      <c r="Z72" s="34" t="s">
        <v>1172</v>
      </c>
      <c r="AA72" s="34" t="s">
        <v>1173</v>
      </c>
      <c r="AB72" s="33" t="s">
        <v>1188</v>
      </c>
    </row>
    <row r="73" customFormat="false" ht="38.4" hidden="false" customHeight="true" outlineLevel="0" collapsed="false">
      <c r="A73" s="95" t="s">
        <v>1189</v>
      </c>
      <c r="B73" s="96" t="s">
        <v>1067</v>
      </c>
      <c r="C73" s="96" t="s">
        <v>892</v>
      </c>
      <c r="D73" s="97" t="s">
        <v>1190</v>
      </c>
      <c r="E73" s="98" t="n">
        <v>0</v>
      </c>
      <c r="F73" s="98" t="n">
        <v>1</v>
      </c>
      <c r="G73" s="98" t="n">
        <v>0</v>
      </c>
      <c r="H73" s="98" t="n">
        <v>0</v>
      </c>
      <c r="I73" s="99" t="s">
        <v>824</v>
      </c>
      <c r="J73" s="100" t="s">
        <v>1191</v>
      </c>
      <c r="K73" s="101" t="n">
        <v>46321</v>
      </c>
      <c r="L73" s="96" t="s">
        <v>1168</v>
      </c>
      <c r="M73" s="96" t="str">
        <f aca="false">IF(S73&lt;&gt;"匹配","缺范围任务",IF(I73="通过",IF(AND(J73&lt;&gt;"",ISNUMBER(K73),K73&gt;=DATE(2026,10,26)),"已验收","缺证据或日期"),IF(I73="","缺状态","待复核")))</f>
        <v>已验收</v>
      </c>
      <c r="N73" s="33" t="s">
        <v>145</v>
      </c>
      <c r="O73" s="33" t="s">
        <v>1070</v>
      </c>
      <c r="P73" s="102" t="n">
        <v>5</v>
      </c>
      <c r="Q73" s="102" t="n">
        <v>0</v>
      </c>
      <c r="R73" s="102" t="n">
        <v>0</v>
      </c>
      <c r="S73" s="34" t="str">
        <f aca="false">IF(AND(A73&lt;&gt;"",N73&lt;&gt;"",COUNTIFS(首批固定任务!$A$2:$A$109,A73,首批固定任务!$N$2:$N$109,N73)=1,COUNTIFS($A$2:$A$109,A73)=1),"匹配","缺范围或重复")</f>
        <v>匹配</v>
      </c>
      <c r="T73" s="34" t="s">
        <v>1169</v>
      </c>
      <c r="U73" s="102" t="n">
        <v>0</v>
      </c>
      <c r="V73" s="34" t="s">
        <v>1186</v>
      </c>
      <c r="W73" s="34" t="s">
        <v>1187</v>
      </c>
      <c r="X73" s="34" t="s">
        <v>958</v>
      </c>
      <c r="Y73" s="34" t="s">
        <v>959</v>
      </c>
      <c r="Z73" s="34" t="s">
        <v>1172</v>
      </c>
      <c r="AA73" s="34" t="s">
        <v>1173</v>
      </c>
      <c r="AB73" s="33" t="s">
        <v>1192</v>
      </c>
    </row>
    <row r="74" customFormat="false" ht="38.4" hidden="false" customHeight="true" outlineLevel="0" collapsed="false">
      <c r="A74" s="95" t="s">
        <v>1193</v>
      </c>
      <c r="B74" s="96" t="s">
        <v>1067</v>
      </c>
      <c r="C74" s="96" t="s">
        <v>892</v>
      </c>
      <c r="D74" s="97" t="s">
        <v>1194</v>
      </c>
      <c r="E74" s="98" t="n">
        <v>0</v>
      </c>
      <c r="F74" s="98" t="n">
        <v>1</v>
      </c>
      <c r="G74" s="98" t="n">
        <v>0</v>
      </c>
      <c r="H74" s="98" t="n">
        <v>0</v>
      </c>
      <c r="I74" s="99" t="s">
        <v>824</v>
      </c>
      <c r="J74" s="100" t="s">
        <v>1195</v>
      </c>
      <c r="K74" s="101" t="n">
        <v>46321</v>
      </c>
      <c r="L74" s="96" t="s">
        <v>1168</v>
      </c>
      <c r="M74" s="96" t="str">
        <f aca="false">IF(S74&lt;&gt;"匹配","缺范围任务",IF(I74="通过",IF(AND(J74&lt;&gt;"",ISNUMBER(K74),K74&gt;=DATE(2026,10,26)),"已验收","缺证据或日期"),IF(I74="","缺状态","待复核")))</f>
        <v>已验收</v>
      </c>
      <c r="N74" s="33" t="s">
        <v>145</v>
      </c>
      <c r="O74" s="33" t="s">
        <v>1070</v>
      </c>
      <c r="P74" s="102" t="n">
        <v>6</v>
      </c>
      <c r="Q74" s="102" t="n">
        <v>0</v>
      </c>
      <c r="R74" s="102" t="n">
        <v>0</v>
      </c>
      <c r="S74" s="34" t="str">
        <f aca="false">IF(AND(A74&lt;&gt;"",N74&lt;&gt;"",COUNTIFS(首批固定任务!$A$2:$A$109,A74,首批固定任务!$N$2:$N$109,N74)=1,COUNTIFS($A$2:$A$109,A74)=1),"匹配","缺范围或重复")</f>
        <v>匹配</v>
      </c>
      <c r="T74" s="34" t="s">
        <v>1169</v>
      </c>
      <c r="U74" s="102" t="n">
        <v>0</v>
      </c>
      <c r="V74" s="34" t="s">
        <v>1186</v>
      </c>
      <c r="W74" s="34" t="s">
        <v>1187</v>
      </c>
      <c r="X74" s="34" t="s">
        <v>958</v>
      </c>
      <c r="Y74" s="34" t="s">
        <v>959</v>
      </c>
      <c r="Z74" s="34" t="s">
        <v>1172</v>
      </c>
      <c r="AA74" s="34" t="s">
        <v>1173</v>
      </c>
      <c r="AB74" s="33" t="s">
        <v>1196</v>
      </c>
    </row>
    <row r="75" customFormat="false" ht="38.4" hidden="false" customHeight="true" outlineLevel="0" collapsed="false">
      <c r="A75" s="95" t="s">
        <v>1197</v>
      </c>
      <c r="B75" s="96" t="s">
        <v>1067</v>
      </c>
      <c r="C75" s="96" t="s">
        <v>892</v>
      </c>
      <c r="D75" s="97" t="s">
        <v>1198</v>
      </c>
      <c r="E75" s="98" t="n">
        <v>0</v>
      </c>
      <c r="F75" s="98" t="n">
        <v>1</v>
      </c>
      <c r="G75" s="98" t="n">
        <v>0</v>
      </c>
      <c r="H75" s="98" t="n">
        <v>0</v>
      </c>
      <c r="I75" s="99" t="s">
        <v>824</v>
      </c>
      <c r="J75" s="100" t="s">
        <v>1199</v>
      </c>
      <c r="K75" s="101" t="n">
        <v>46321</v>
      </c>
      <c r="L75" s="96" t="s">
        <v>1168</v>
      </c>
      <c r="M75" s="96" t="str">
        <f aca="false">IF(S75&lt;&gt;"匹配","缺范围任务",IF(I75="通过",IF(AND(J75&lt;&gt;"",ISNUMBER(K75),K75&gt;=DATE(2026,10,26)),"已验收","缺证据或日期"),IF(I75="","缺状态","待复核")))</f>
        <v>已验收</v>
      </c>
      <c r="N75" s="33" t="s">
        <v>145</v>
      </c>
      <c r="O75" s="33" t="s">
        <v>1070</v>
      </c>
      <c r="P75" s="102" t="n">
        <v>12</v>
      </c>
      <c r="Q75" s="102" t="n">
        <v>0</v>
      </c>
      <c r="R75" s="102" t="n">
        <v>0</v>
      </c>
      <c r="S75" s="34" t="str">
        <f aca="false">IF(AND(A75&lt;&gt;"",N75&lt;&gt;"",COUNTIFS(首批固定任务!$A$2:$A$109,A75,首批固定任务!$N$2:$N$109,N75)=1,COUNTIFS($A$2:$A$109,A75)=1),"匹配","缺范围或重复")</f>
        <v>匹配</v>
      </c>
      <c r="T75" s="34" t="s">
        <v>1169</v>
      </c>
      <c r="U75" s="102" t="n">
        <v>0</v>
      </c>
      <c r="V75" s="34" t="s">
        <v>1186</v>
      </c>
      <c r="W75" s="34" t="s">
        <v>1187</v>
      </c>
      <c r="X75" s="34" t="s">
        <v>958</v>
      </c>
      <c r="Y75" s="34" t="s">
        <v>959</v>
      </c>
      <c r="Z75" s="34" t="s">
        <v>1172</v>
      </c>
      <c r="AA75" s="34" t="s">
        <v>1173</v>
      </c>
      <c r="AB75" s="33" t="s">
        <v>1200</v>
      </c>
    </row>
    <row r="76" customFormat="false" ht="38.4" hidden="false" customHeight="true" outlineLevel="0" collapsed="false">
      <c r="A76" s="95" t="s">
        <v>1201</v>
      </c>
      <c r="B76" s="96" t="s">
        <v>1067</v>
      </c>
      <c r="C76" s="96" t="s">
        <v>892</v>
      </c>
      <c r="D76" s="97" t="s">
        <v>1202</v>
      </c>
      <c r="E76" s="98" t="n">
        <v>0</v>
      </c>
      <c r="F76" s="98" t="n">
        <v>1</v>
      </c>
      <c r="G76" s="98" t="n">
        <v>0</v>
      </c>
      <c r="H76" s="98" t="n">
        <v>0</v>
      </c>
      <c r="I76" s="99" t="s">
        <v>824</v>
      </c>
      <c r="J76" s="100" t="s">
        <v>1203</v>
      </c>
      <c r="K76" s="101" t="n">
        <v>46321</v>
      </c>
      <c r="L76" s="96" t="s">
        <v>1168</v>
      </c>
      <c r="M76" s="96" t="str">
        <f aca="false">IF(S76&lt;&gt;"匹配","缺范围任务",IF(I76="通过",IF(AND(J76&lt;&gt;"",ISNUMBER(K76),K76&gt;=DATE(2026,10,26)),"已验收","缺证据或日期"),IF(I76="","缺状态","待复核")))</f>
        <v>已验收</v>
      </c>
      <c r="N76" s="33" t="s">
        <v>145</v>
      </c>
      <c r="O76" s="33" t="s">
        <v>1070</v>
      </c>
      <c r="P76" s="102" t="n">
        <v>10</v>
      </c>
      <c r="Q76" s="102" t="n">
        <v>0</v>
      </c>
      <c r="R76" s="102" t="n">
        <v>0</v>
      </c>
      <c r="S76" s="34" t="str">
        <f aca="false">IF(AND(A76&lt;&gt;"",N76&lt;&gt;"",COUNTIFS(首批固定任务!$A$2:$A$109,A76,首批固定任务!$N$2:$N$109,N76)=1,COUNTIFS($A$2:$A$109,A76)=1),"匹配","缺范围或重复")</f>
        <v>匹配</v>
      </c>
      <c r="T76" s="34" t="s">
        <v>1169</v>
      </c>
      <c r="U76" s="102" t="n">
        <v>0</v>
      </c>
      <c r="V76" s="34" t="s">
        <v>1186</v>
      </c>
      <c r="W76" s="34" t="s">
        <v>1187</v>
      </c>
      <c r="X76" s="34" t="s">
        <v>958</v>
      </c>
      <c r="Y76" s="34" t="s">
        <v>959</v>
      </c>
      <c r="Z76" s="34" t="s">
        <v>1172</v>
      </c>
      <c r="AA76" s="34" t="s">
        <v>1173</v>
      </c>
      <c r="AB76" s="33" t="s">
        <v>1204</v>
      </c>
    </row>
    <row r="77" customFormat="false" ht="38.4" hidden="false" customHeight="true" outlineLevel="0" collapsed="false">
      <c r="A77" s="95" t="s">
        <v>1205</v>
      </c>
      <c r="B77" s="96" t="s">
        <v>872</v>
      </c>
      <c r="C77" s="96" t="s">
        <v>892</v>
      </c>
      <c r="D77" s="97" t="s">
        <v>1206</v>
      </c>
      <c r="E77" s="98" t="n">
        <v>0</v>
      </c>
      <c r="F77" s="98" t="n">
        <v>1</v>
      </c>
      <c r="G77" s="98" t="n">
        <v>0</v>
      </c>
      <c r="H77" s="98" t="n">
        <v>0</v>
      </c>
      <c r="I77" s="99" t="s">
        <v>824</v>
      </c>
      <c r="J77" s="100" t="s">
        <v>1207</v>
      </c>
      <c r="K77" s="101" t="n">
        <v>46321</v>
      </c>
      <c r="L77" s="96" t="s">
        <v>1168</v>
      </c>
      <c r="M77" s="96" t="str">
        <f aca="false">IF(S77&lt;&gt;"匹配","缺范围任务",IF(I77="通过",IF(AND(J77&lt;&gt;"",ISNUMBER(K77),K77&gt;=DATE(2026,10,26)),"已验收","缺证据或日期"),IF(I77="","缺状态","待复核")))</f>
        <v>已验收</v>
      </c>
      <c r="N77" s="33" t="s">
        <v>147</v>
      </c>
      <c r="O77" s="33" t="s">
        <v>883</v>
      </c>
      <c r="P77" s="102" t="n">
        <v>14</v>
      </c>
      <c r="Q77" s="102" t="n">
        <v>1</v>
      </c>
      <c r="R77" s="102" t="n">
        <v>0</v>
      </c>
      <c r="S77" s="34" t="str">
        <f aca="false">IF(AND(A77&lt;&gt;"",N77&lt;&gt;"",COUNTIFS(首批固定任务!$A$2:$A$109,A77,首批固定任务!$N$2:$N$109,N77)=1,COUNTIFS($A$2:$A$109,A77)=1),"匹配","缺范围或重复")</f>
        <v>匹配</v>
      </c>
      <c r="T77" s="34" t="s">
        <v>1169</v>
      </c>
      <c r="U77" s="102" t="n">
        <v>0</v>
      </c>
      <c r="V77" s="34" t="s">
        <v>1170</v>
      </c>
      <c r="W77" s="34" t="s">
        <v>1171</v>
      </c>
      <c r="X77" s="34" t="s">
        <v>958</v>
      </c>
      <c r="Y77" s="34" t="s">
        <v>959</v>
      </c>
      <c r="Z77" s="34" t="s">
        <v>1172</v>
      </c>
      <c r="AA77" s="34" t="s">
        <v>1173</v>
      </c>
      <c r="AB77" s="33" t="s">
        <v>1208</v>
      </c>
    </row>
    <row r="78" customFormat="false" ht="38.4" hidden="false" customHeight="true" outlineLevel="0" collapsed="false">
      <c r="A78" s="95" t="s">
        <v>1209</v>
      </c>
      <c r="B78" s="96" t="s">
        <v>872</v>
      </c>
      <c r="C78" s="96" t="s">
        <v>892</v>
      </c>
      <c r="D78" s="97" t="s">
        <v>1210</v>
      </c>
      <c r="E78" s="98" t="n">
        <v>0</v>
      </c>
      <c r="F78" s="98" t="n">
        <v>1</v>
      </c>
      <c r="G78" s="98" t="n">
        <v>1</v>
      </c>
      <c r="H78" s="98" t="n">
        <v>0</v>
      </c>
      <c r="I78" s="99" t="s">
        <v>824</v>
      </c>
      <c r="J78" s="100" t="s">
        <v>1211</v>
      </c>
      <c r="K78" s="101" t="n">
        <v>46321</v>
      </c>
      <c r="L78" s="96" t="s">
        <v>1212</v>
      </c>
      <c r="M78" s="96" t="str">
        <f aca="false">IF(S78&lt;&gt;"匹配","缺范围任务",IF(I78="通过",IF(AND(J78&lt;&gt;"",ISNUMBER(K78),K78&gt;=DATE(2026,10,26)),"已验收","缺证据或日期"),IF(I78="","缺状态","待复核")))</f>
        <v>已验收</v>
      </c>
      <c r="N78" s="33" t="s">
        <v>147</v>
      </c>
      <c r="O78" s="33" t="s">
        <v>883</v>
      </c>
      <c r="P78" s="102" t="n">
        <v>15</v>
      </c>
      <c r="Q78" s="102" t="n">
        <v>1</v>
      </c>
      <c r="R78" s="102" t="n">
        <v>0</v>
      </c>
      <c r="S78" s="34" t="str">
        <f aca="false">IF(AND(A78&lt;&gt;"",N78&lt;&gt;"",COUNTIFS(首批固定任务!$A$2:$A$109,A78,首批固定任务!$N$2:$N$109,N78)=1,COUNTIFS($A$2:$A$109,A78)=1),"匹配","缺范围或重复")</f>
        <v>匹配</v>
      </c>
      <c r="T78" s="34" t="s">
        <v>1213</v>
      </c>
      <c r="U78" s="102" t="n">
        <v>0</v>
      </c>
      <c r="V78" s="34" t="s">
        <v>1170</v>
      </c>
      <c r="W78" s="34" t="s">
        <v>1171</v>
      </c>
      <c r="X78" s="34" t="s">
        <v>958</v>
      </c>
      <c r="Y78" s="34" t="s">
        <v>959</v>
      </c>
      <c r="Z78" s="34" t="s">
        <v>1172</v>
      </c>
      <c r="AA78" s="34" t="s">
        <v>1173</v>
      </c>
      <c r="AB78" s="33" t="s">
        <v>1214</v>
      </c>
    </row>
    <row r="79" customFormat="false" ht="38.4" hidden="false" customHeight="true" outlineLevel="0" collapsed="false">
      <c r="A79" s="95" t="s">
        <v>1215</v>
      </c>
      <c r="B79" s="96" t="s">
        <v>872</v>
      </c>
      <c r="C79" s="96" t="s">
        <v>892</v>
      </c>
      <c r="D79" s="97" t="s">
        <v>1216</v>
      </c>
      <c r="E79" s="98" t="n">
        <v>0</v>
      </c>
      <c r="F79" s="98" t="n">
        <v>1</v>
      </c>
      <c r="G79" s="98" t="n">
        <v>0</v>
      </c>
      <c r="H79" s="98" t="n">
        <v>0</v>
      </c>
      <c r="I79" s="99" t="s">
        <v>824</v>
      </c>
      <c r="J79" s="100" t="s">
        <v>1217</v>
      </c>
      <c r="K79" s="101" t="n">
        <v>46321</v>
      </c>
      <c r="L79" s="96" t="s">
        <v>1168</v>
      </c>
      <c r="M79" s="96" t="str">
        <f aca="false">IF(S79&lt;&gt;"匹配","缺范围任务",IF(I79="通过",IF(AND(J79&lt;&gt;"",ISNUMBER(K79),K79&gt;=DATE(2026,10,26)),"已验收","缺证据或日期"),IF(I79="","缺状态","待复核")))</f>
        <v>已验收</v>
      </c>
      <c r="N79" s="33" t="s">
        <v>147</v>
      </c>
      <c r="O79" s="33" t="s">
        <v>883</v>
      </c>
      <c r="P79" s="102" t="n">
        <v>23</v>
      </c>
      <c r="Q79" s="102" t="n">
        <v>1</v>
      </c>
      <c r="R79" s="102" t="n">
        <v>0</v>
      </c>
      <c r="S79" s="34" t="str">
        <f aca="false">IF(AND(A79&lt;&gt;"",N79&lt;&gt;"",COUNTIFS(首批固定任务!$A$2:$A$109,A79,首批固定任务!$N$2:$N$109,N79)=1,COUNTIFS($A$2:$A$109,A79)=1),"匹配","缺范围或重复")</f>
        <v>匹配</v>
      </c>
      <c r="T79" s="34" t="s">
        <v>1169</v>
      </c>
      <c r="U79" s="102" t="n">
        <v>0</v>
      </c>
      <c r="V79" s="34" t="s">
        <v>1170</v>
      </c>
      <c r="W79" s="34" t="s">
        <v>1171</v>
      </c>
      <c r="X79" s="34" t="s">
        <v>958</v>
      </c>
      <c r="Y79" s="34" t="s">
        <v>959</v>
      </c>
      <c r="Z79" s="34" t="s">
        <v>1172</v>
      </c>
      <c r="AA79" s="34" t="s">
        <v>1173</v>
      </c>
      <c r="AB79" s="33" t="s">
        <v>1218</v>
      </c>
    </row>
    <row r="80" customFormat="false" ht="38.4" hidden="false" customHeight="true" outlineLevel="0" collapsed="false">
      <c r="A80" s="95" t="s">
        <v>1219</v>
      </c>
      <c r="B80" s="96" t="s">
        <v>872</v>
      </c>
      <c r="C80" s="96" t="s">
        <v>892</v>
      </c>
      <c r="D80" s="97" t="s">
        <v>1220</v>
      </c>
      <c r="E80" s="98" t="n">
        <v>0</v>
      </c>
      <c r="F80" s="98" t="n">
        <v>1</v>
      </c>
      <c r="G80" s="98" t="n">
        <v>1</v>
      </c>
      <c r="H80" s="98" t="n">
        <v>0</v>
      </c>
      <c r="I80" s="99" t="s">
        <v>824</v>
      </c>
      <c r="J80" s="100" t="s">
        <v>1221</v>
      </c>
      <c r="K80" s="101" t="n">
        <v>46321</v>
      </c>
      <c r="L80" s="96" t="s">
        <v>1212</v>
      </c>
      <c r="M80" s="96" t="str">
        <f aca="false">IF(S80&lt;&gt;"匹配","缺范围任务",IF(I80="通过",IF(AND(J80&lt;&gt;"",ISNUMBER(K80),K80&gt;=DATE(2026,10,26)),"已验收","缺证据或日期"),IF(I80="","缺状态","待复核")))</f>
        <v>已验收</v>
      </c>
      <c r="N80" s="33" t="s">
        <v>147</v>
      </c>
      <c r="O80" s="33" t="s">
        <v>883</v>
      </c>
      <c r="P80" s="102" t="n">
        <v>26</v>
      </c>
      <c r="Q80" s="102" t="n">
        <v>1</v>
      </c>
      <c r="R80" s="102" t="n">
        <v>0</v>
      </c>
      <c r="S80" s="34" t="str">
        <f aca="false">IF(AND(A80&lt;&gt;"",N80&lt;&gt;"",COUNTIFS(首批固定任务!$A$2:$A$109,A80,首批固定任务!$N$2:$N$109,N80)=1,COUNTIFS($A$2:$A$109,A80)=1),"匹配","缺范围或重复")</f>
        <v>匹配</v>
      </c>
      <c r="T80" s="34" t="s">
        <v>1213</v>
      </c>
      <c r="U80" s="102" t="n">
        <v>0</v>
      </c>
      <c r="V80" s="34" t="s">
        <v>1170</v>
      </c>
      <c r="W80" s="34" t="s">
        <v>1171</v>
      </c>
      <c r="X80" s="34" t="s">
        <v>958</v>
      </c>
      <c r="Y80" s="34" t="s">
        <v>959</v>
      </c>
      <c r="Z80" s="34" t="s">
        <v>1172</v>
      </c>
      <c r="AA80" s="34" t="s">
        <v>1173</v>
      </c>
      <c r="AB80" s="33" t="s">
        <v>1222</v>
      </c>
    </row>
    <row r="81" customFormat="false" ht="38.4" hidden="false" customHeight="true" outlineLevel="0" collapsed="false">
      <c r="A81" s="95" t="s">
        <v>1223</v>
      </c>
      <c r="B81" s="96" t="s">
        <v>872</v>
      </c>
      <c r="C81" s="96" t="s">
        <v>892</v>
      </c>
      <c r="D81" s="97" t="s">
        <v>1224</v>
      </c>
      <c r="E81" s="98" t="n">
        <v>0</v>
      </c>
      <c r="F81" s="98" t="n">
        <v>1</v>
      </c>
      <c r="G81" s="98" t="n">
        <v>0</v>
      </c>
      <c r="H81" s="98" t="n">
        <v>0</v>
      </c>
      <c r="I81" s="99" t="s">
        <v>824</v>
      </c>
      <c r="J81" s="100" t="s">
        <v>1225</v>
      </c>
      <c r="K81" s="101" t="n">
        <v>46321</v>
      </c>
      <c r="L81" s="96" t="s">
        <v>1168</v>
      </c>
      <c r="M81" s="96" t="str">
        <f aca="false">IF(S81&lt;&gt;"匹配","缺范围任务",IF(I81="通过",IF(AND(J81&lt;&gt;"",ISNUMBER(K81),K81&gt;=DATE(2026,10,26)),"已验收","缺证据或日期"),IF(I81="","缺状态","待复核")))</f>
        <v>已验收</v>
      </c>
      <c r="N81" s="33" t="s">
        <v>147</v>
      </c>
      <c r="O81" s="33" t="s">
        <v>883</v>
      </c>
      <c r="P81" s="102" t="n">
        <v>26</v>
      </c>
      <c r="Q81" s="102" t="n">
        <v>1</v>
      </c>
      <c r="R81" s="102" t="n">
        <v>0</v>
      </c>
      <c r="S81" s="34" t="str">
        <f aca="false">IF(AND(A81&lt;&gt;"",N81&lt;&gt;"",COUNTIFS(首批固定任务!$A$2:$A$109,A81,首批固定任务!$N$2:$N$109,N81)=1,COUNTIFS($A$2:$A$109,A81)=1),"匹配","缺范围或重复")</f>
        <v>匹配</v>
      </c>
      <c r="T81" s="34" t="s">
        <v>1169</v>
      </c>
      <c r="U81" s="102" t="n">
        <v>0</v>
      </c>
      <c r="V81" s="34" t="s">
        <v>1170</v>
      </c>
      <c r="W81" s="34" t="s">
        <v>1171</v>
      </c>
      <c r="X81" s="34" t="s">
        <v>958</v>
      </c>
      <c r="Y81" s="34" t="s">
        <v>959</v>
      </c>
      <c r="Z81" s="34" t="s">
        <v>1172</v>
      </c>
      <c r="AA81" s="34" t="s">
        <v>1173</v>
      </c>
      <c r="AB81" s="33" t="s">
        <v>1226</v>
      </c>
    </row>
    <row r="82" customFormat="false" ht="38.4" hidden="false" customHeight="true" outlineLevel="0" collapsed="false">
      <c r="A82" s="95" t="s">
        <v>1227</v>
      </c>
      <c r="B82" s="96" t="s">
        <v>821</v>
      </c>
      <c r="C82" s="96" t="s">
        <v>892</v>
      </c>
      <c r="D82" s="96" t="s">
        <v>1228</v>
      </c>
      <c r="E82" s="98" t="n">
        <v>0</v>
      </c>
      <c r="F82" s="98" t="n">
        <v>0</v>
      </c>
      <c r="G82" s="98" t="n">
        <v>0</v>
      </c>
      <c r="H82" s="98" t="n">
        <v>0</v>
      </c>
      <c r="I82" s="99" t="s">
        <v>824</v>
      </c>
      <c r="J82" s="100" t="s">
        <v>1229</v>
      </c>
      <c r="K82" s="101" t="n">
        <v>46321</v>
      </c>
      <c r="L82" s="96" t="s">
        <v>1230</v>
      </c>
      <c r="M82" s="96" t="str">
        <f aca="false">IF(S82&lt;&gt;"匹配","缺范围任务",IF(I82="通过",IF(AND(J82&lt;&gt;"",ISNUMBER(K82),K82&gt;=DATE(2026,10,26)),"已验收","缺证据或日期"),IF(I82="","缺状态","待复核")))</f>
        <v>已验收</v>
      </c>
      <c r="N82" s="33" t="s">
        <v>149</v>
      </c>
      <c r="O82" s="33" t="s">
        <v>1231</v>
      </c>
      <c r="P82" s="102" t="n">
        <v>0</v>
      </c>
      <c r="Q82" s="102" t="n">
        <v>0</v>
      </c>
      <c r="R82" s="102" t="n">
        <v>0</v>
      </c>
      <c r="S82" s="34" t="str">
        <f aca="false">IF(AND(A82&lt;&gt;"",N82&lt;&gt;"",COUNTIFS(首批固定任务!$A$2:$A$109,A82,首批固定任务!$N$2:$N$109,N82)=1,COUNTIFS($A$2:$A$109,A82)=1),"匹配","缺范围或重复")</f>
        <v>匹配</v>
      </c>
      <c r="T82" s="34" t="s">
        <v>1232</v>
      </c>
      <c r="U82" s="102" t="n">
        <v>0</v>
      </c>
      <c r="V82" s="34" t="s">
        <v>1233</v>
      </c>
      <c r="W82" s="34" t="s">
        <v>1187</v>
      </c>
      <c r="X82" s="34" t="s">
        <v>958</v>
      </c>
      <c r="Y82" s="34" t="s">
        <v>959</v>
      </c>
      <c r="Z82" s="34" t="s">
        <v>1234</v>
      </c>
      <c r="AA82" s="34" t="s">
        <v>1235</v>
      </c>
      <c r="AB82" s="33" t="s">
        <v>1236</v>
      </c>
    </row>
    <row r="83" customFormat="false" ht="38.4" hidden="false" customHeight="true" outlineLevel="0" collapsed="false">
      <c r="A83" s="95" t="s">
        <v>1237</v>
      </c>
      <c r="B83" s="96" t="s">
        <v>821</v>
      </c>
      <c r="C83" s="96" t="s">
        <v>892</v>
      </c>
      <c r="D83" s="96" t="s">
        <v>1238</v>
      </c>
      <c r="E83" s="98" t="n">
        <v>0</v>
      </c>
      <c r="F83" s="98" t="n">
        <v>0</v>
      </c>
      <c r="G83" s="98" t="n">
        <v>0</v>
      </c>
      <c r="H83" s="98" t="n">
        <v>0</v>
      </c>
      <c r="I83" s="99" t="s">
        <v>824</v>
      </c>
      <c r="J83" s="100" t="s">
        <v>1239</v>
      </c>
      <c r="K83" s="101" t="n">
        <v>46321</v>
      </c>
      <c r="L83" s="96" t="s">
        <v>1230</v>
      </c>
      <c r="M83" s="96" t="str">
        <f aca="false">IF(S83&lt;&gt;"匹配","缺范围任务",IF(I83="通过",IF(AND(J83&lt;&gt;"",ISNUMBER(K83),K83&gt;=DATE(2026,10,26)),"已验收","缺证据或日期"),IF(I83="","缺状态","待复核")))</f>
        <v>已验收</v>
      </c>
      <c r="N83" s="33" t="s">
        <v>149</v>
      </c>
      <c r="O83" s="33" t="s">
        <v>1231</v>
      </c>
      <c r="P83" s="102" t="n">
        <v>0</v>
      </c>
      <c r="Q83" s="102" t="n">
        <v>0</v>
      </c>
      <c r="R83" s="102" t="n">
        <v>0</v>
      </c>
      <c r="S83" s="34" t="str">
        <f aca="false">IF(AND(A83&lt;&gt;"",N83&lt;&gt;"",COUNTIFS(首批固定任务!$A$2:$A$109,A83,首批固定任务!$N$2:$N$109,N83)=1,COUNTIFS($A$2:$A$109,A83)=1),"匹配","缺范围或重复")</f>
        <v>匹配</v>
      </c>
      <c r="T83" s="34" t="s">
        <v>1232</v>
      </c>
      <c r="U83" s="102" t="n">
        <v>0</v>
      </c>
      <c r="V83" s="34" t="s">
        <v>1233</v>
      </c>
      <c r="W83" s="34" t="s">
        <v>1187</v>
      </c>
      <c r="X83" s="34" t="s">
        <v>958</v>
      </c>
      <c r="Y83" s="34" t="s">
        <v>959</v>
      </c>
      <c r="Z83" s="34" t="s">
        <v>1234</v>
      </c>
      <c r="AA83" s="34" t="s">
        <v>1235</v>
      </c>
      <c r="AB83" s="33" t="s">
        <v>1240</v>
      </c>
    </row>
    <row r="84" customFormat="false" ht="38.4" hidden="false" customHeight="true" outlineLevel="0" collapsed="false">
      <c r="A84" s="95" t="s">
        <v>1241</v>
      </c>
      <c r="B84" s="96" t="s">
        <v>821</v>
      </c>
      <c r="C84" s="96" t="s">
        <v>892</v>
      </c>
      <c r="D84" s="96" t="s">
        <v>1242</v>
      </c>
      <c r="E84" s="98" t="n">
        <v>0</v>
      </c>
      <c r="F84" s="98" t="n">
        <v>0</v>
      </c>
      <c r="G84" s="98" t="n">
        <v>0</v>
      </c>
      <c r="H84" s="98" t="n">
        <v>0</v>
      </c>
      <c r="I84" s="99" t="s">
        <v>824</v>
      </c>
      <c r="J84" s="100" t="s">
        <v>1243</v>
      </c>
      <c r="K84" s="101" t="n">
        <v>46321</v>
      </c>
      <c r="L84" s="96" t="s">
        <v>1230</v>
      </c>
      <c r="M84" s="96" t="str">
        <f aca="false">IF(S84&lt;&gt;"匹配","缺范围任务",IF(I84="通过",IF(AND(J84&lt;&gt;"",ISNUMBER(K84),K84&gt;=DATE(2026,10,26)),"已验收","缺证据或日期"),IF(I84="","缺状态","待复核")))</f>
        <v>已验收</v>
      </c>
      <c r="N84" s="33" t="s">
        <v>149</v>
      </c>
      <c r="O84" s="33" t="s">
        <v>1231</v>
      </c>
      <c r="P84" s="102" t="n">
        <v>0</v>
      </c>
      <c r="Q84" s="102" t="n">
        <v>0</v>
      </c>
      <c r="R84" s="102" t="n">
        <v>0</v>
      </c>
      <c r="S84" s="34" t="str">
        <f aca="false">IF(AND(A84&lt;&gt;"",N84&lt;&gt;"",COUNTIFS(首批固定任务!$A$2:$A$109,A84,首批固定任务!$N$2:$N$109,N84)=1,COUNTIFS($A$2:$A$109,A84)=1),"匹配","缺范围或重复")</f>
        <v>匹配</v>
      </c>
      <c r="T84" s="34" t="s">
        <v>1232</v>
      </c>
      <c r="U84" s="102" t="n">
        <v>0</v>
      </c>
      <c r="V84" s="34" t="s">
        <v>1233</v>
      </c>
      <c r="W84" s="34" t="s">
        <v>1187</v>
      </c>
      <c r="X84" s="34" t="s">
        <v>958</v>
      </c>
      <c r="Y84" s="34" t="s">
        <v>959</v>
      </c>
      <c r="Z84" s="34" t="s">
        <v>1234</v>
      </c>
      <c r="AA84" s="34" t="s">
        <v>1235</v>
      </c>
      <c r="AB84" s="33" t="s">
        <v>1244</v>
      </c>
    </row>
    <row r="85" customFormat="false" ht="38.4" hidden="false" customHeight="true" outlineLevel="0" collapsed="false">
      <c r="A85" s="95" t="s">
        <v>1245</v>
      </c>
      <c r="B85" s="96" t="s">
        <v>821</v>
      </c>
      <c r="C85" s="96" t="s">
        <v>892</v>
      </c>
      <c r="D85" s="96" t="s">
        <v>1246</v>
      </c>
      <c r="E85" s="98" t="n">
        <v>0</v>
      </c>
      <c r="F85" s="98" t="n">
        <v>0</v>
      </c>
      <c r="G85" s="98" t="n">
        <v>0</v>
      </c>
      <c r="H85" s="98" t="n">
        <v>0</v>
      </c>
      <c r="I85" s="99" t="s">
        <v>824</v>
      </c>
      <c r="J85" s="100" t="s">
        <v>1247</v>
      </c>
      <c r="K85" s="101" t="n">
        <v>46321</v>
      </c>
      <c r="L85" s="96" t="s">
        <v>1230</v>
      </c>
      <c r="M85" s="96" t="str">
        <f aca="false">IF(S85&lt;&gt;"匹配","缺范围任务",IF(I85="通过",IF(AND(J85&lt;&gt;"",ISNUMBER(K85),K85&gt;=DATE(2026,10,26)),"已验收","缺证据或日期"),IF(I85="","缺状态","待复核")))</f>
        <v>已验收</v>
      </c>
      <c r="N85" s="33" t="s">
        <v>149</v>
      </c>
      <c r="O85" s="33" t="s">
        <v>1231</v>
      </c>
      <c r="P85" s="102" t="n">
        <v>0</v>
      </c>
      <c r="Q85" s="102" t="n">
        <v>0</v>
      </c>
      <c r="R85" s="102" t="n">
        <v>0</v>
      </c>
      <c r="S85" s="34" t="str">
        <f aca="false">IF(AND(A85&lt;&gt;"",N85&lt;&gt;"",COUNTIFS(首批固定任务!$A$2:$A$109,A85,首批固定任务!$N$2:$N$109,N85)=1,COUNTIFS($A$2:$A$109,A85)=1),"匹配","缺范围或重复")</f>
        <v>匹配</v>
      </c>
      <c r="T85" s="34" t="s">
        <v>1232</v>
      </c>
      <c r="U85" s="102" t="n">
        <v>0</v>
      </c>
      <c r="V85" s="34" t="s">
        <v>1233</v>
      </c>
      <c r="W85" s="34" t="s">
        <v>1187</v>
      </c>
      <c r="X85" s="34" t="s">
        <v>958</v>
      </c>
      <c r="Y85" s="34" t="s">
        <v>959</v>
      </c>
      <c r="Z85" s="34" t="s">
        <v>1234</v>
      </c>
      <c r="AA85" s="34" t="s">
        <v>1235</v>
      </c>
      <c r="AB85" s="33" t="s">
        <v>1248</v>
      </c>
    </row>
    <row r="86" customFormat="false" ht="38.4" hidden="false" customHeight="true" outlineLevel="0" collapsed="false">
      <c r="A86" s="95" t="s">
        <v>1249</v>
      </c>
      <c r="B86" s="96" t="s">
        <v>821</v>
      </c>
      <c r="C86" s="96" t="s">
        <v>892</v>
      </c>
      <c r="D86" s="96" t="s">
        <v>1228</v>
      </c>
      <c r="E86" s="98" t="n">
        <v>0</v>
      </c>
      <c r="F86" s="98" t="n">
        <v>0</v>
      </c>
      <c r="G86" s="98" t="n">
        <v>0</v>
      </c>
      <c r="H86" s="98" t="n">
        <v>0</v>
      </c>
      <c r="I86" s="99" t="s">
        <v>824</v>
      </c>
      <c r="J86" s="100" t="s">
        <v>1250</v>
      </c>
      <c r="K86" s="101" t="n">
        <v>46321</v>
      </c>
      <c r="L86" s="96" t="s">
        <v>1230</v>
      </c>
      <c r="M86" s="96" t="str">
        <f aca="false">IF(S86&lt;&gt;"匹配","缺范围任务",IF(I86="通过",IF(AND(J86&lt;&gt;"",ISNUMBER(K86),K86&gt;=DATE(2026,10,26)),"已验收","缺证据或日期"),IF(I86="","缺状态","待复核")))</f>
        <v>已验收</v>
      </c>
      <c r="N86" s="33" t="s">
        <v>149</v>
      </c>
      <c r="O86" s="33" t="s">
        <v>1231</v>
      </c>
      <c r="P86" s="102" t="n">
        <v>0</v>
      </c>
      <c r="Q86" s="102" t="n">
        <v>0</v>
      </c>
      <c r="R86" s="102" t="n">
        <v>0</v>
      </c>
      <c r="S86" s="34" t="str">
        <f aca="false">IF(AND(A86&lt;&gt;"",N86&lt;&gt;"",COUNTIFS(首批固定任务!$A$2:$A$109,A86,首批固定任务!$N$2:$N$109,N86)=1,COUNTIFS($A$2:$A$109,A86)=1),"匹配","缺范围或重复")</f>
        <v>匹配</v>
      </c>
      <c r="T86" s="34" t="s">
        <v>1232</v>
      </c>
      <c r="U86" s="102" t="n">
        <v>0</v>
      </c>
      <c r="V86" s="34" t="s">
        <v>1233</v>
      </c>
      <c r="W86" s="34" t="s">
        <v>1187</v>
      </c>
      <c r="X86" s="34" t="s">
        <v>958</v>
      </c>
      <c r="Y86" s="34" t="s">
        <v>959</v>
      </c>
      <c r="Z86" s="34" t="s">
        <v>1234</v>
      </c>
      <c r="AA86" s="34" t="s">
        <v>1235</v>
      </c>
      <c r="AB86" s="33" t="s">
        <v>1251</v>
      </c>
    </row>
    <row r="87" customFormat="false" ht="38.4" hidden="false" customHeight="true" outlineLevel="0" collapsed="false">
      <c r="A87" s="95" t="s">
        <v>1252</v>
      </c>
      <c r="B87" s="96" t="s">
        <v>821</v>
      </c>
      <c r="C87" s="96" t="s">
        <v>892</v>
      </c>
      <c r="D87" s="96" t="s">
        <v>1253</v>
      </c>
      <c r="E87" s="98" t="n">
        <v>0</v>
      </c>
      <c r="F87" s="98" t="n">
        <v>0</v>
      </c>
      <c r="G87" s="98" t="n">
        <v>0</v>
      </c>
      <c r="H87" s="98" t="n">
        <v>0</v>
      </c>
      <c r="I87" s="99" t="s">
        <v>824</v>
      </c>
      <c r="J87" s="100" t="s">
        <v>1254</v>
      </c>
      <c r="K87" s="101" t="n">
        <v>46321</v>
      </c>
      <c r="L87" s="96" t="s">
        <v>1230</v>
      </c>
      <c r="M87" s="96" t="str">
        <f aca="false">IF(S87&lt;&gt;"匹配","缺范围任务",IF(I87="通过",IF(AND(J87&lt;&gt;"",ISNUMBER(K87),K87&gt;=DATE(2026,10,26)),"已验收","缺证据或日期"),IF(I87="","缺状态","待复核")))</f>
        <v>已验收</v>
      </c>
      <c r="N87" s="33" t="s">
        <v>149</v>
      </c>
      <c r="O87" s="33" t="s">
        <v>1231</v>
      </c>
      <c r="P87" s="102" t="n">
        <v>0</v>
      </c>
      <c r="Q87" s="102" t="n">
        <v>0</v>
      </c>
      <c r="R87" s="102" t="n">
        <v>0</v>
      </c>
      <c r="S87" s="34" t="str">
        <f aca="false">IF(AND(A87&lt;&gt;"",N87&lt;&gt;"",COUNTIFS(首批固定任务!$A$2:$A$109,A87,首批固定任务!$N$2:$N$109,N87)=1,COUNTIFS($A$2:$A$109,A87)=1),"匹配","缺范围或重复")</f>
        <v>匹配</v>
      </c>
      <c r="T87" s="34" t="s">
        <v>1232</v>
      </c>
      <c r="U87" s="102" t="n">
        <v>0</v>
      </c>
      <c r="V87" s="34" t="s">
        <v>1233</v>
      </c>
      <c r="W87" s="34" t="s">
        <v>1187</v>
      </c>
      <c r="X87" s="34" t="s">
        <v>958</v>
      </c>
      <c r="Y87" s="34" t="s">
        <v>959</v>
      </c>
      <c r="Z87" s="34" t="s">
        <v>1234</v>
      </c>
      <c r="AA87" s="34" t="s">
        <v>1235</v>
      </c>
      <c r="AB87" s="33" t="s">
        <v>1255</v>
      </c>
    </row>
    <row r="88" customFormat="false" ht="38.4" hidden="false" customHeight="true" outlineLevel="0" collapsed="false">
      <c r="A88" s="95" t="s">
        <v>1256</v>
      </c>
      <c r="B88" s="96" t="s">
        <v>821</v>
      </c>
      <c r="C88" s="96" t="s">
        <v>892</v>
      </c>
      <c r="D88" s="96" t="s">
        <v>1257</v>
      </c>
      <c r="E88" s="98" t="n">
        <v>0</v>
      </c>
      <c r="F88" s="98" t="n">
        <v>0</v>
      </c>
      <c r="G88" s="98" t="n">
        <v>0</v>
      </c>
      <c r="H88" s="98" t="n">
        <v>0</v>
      </c>
      <c r="I88" s="99" t="s">
        <v>824</v>
      </c>
      <c r="J88" s="100" t="s">
        <v>1258</v>
      </c>
      <c r="K88" s="101" t="n">
        <v>46321</v>
      </c>
      <c r="L88" s="96" t="s">
        <v>1230</v>
      </c>
      <c r="M88" s="96" t="str">
        <f aca="false">IF(S88&lt;&gt;"匹配","缺范围任务",IF(I88="通过",IF(AND(J88&lt;&gt;"",ISNUMBER(K88),K88&gt;=DATE(2026,10,26)),"已验收","缺证据或日期"),IF(I88="","缺状态","待复核")))</f>
        <v>已验收</v>
      </c>
      <c r="N88" s="33" t="s">
        <v>149</v>
      </c>
      <c r="O88" s="33" t="s">
        <v>1231</v>
      </c>
      <c r="P88" s="102" t="n">
        <v>0</v>
      </c>
      <c r="Q88" s="102" t="n">
        <v>0</v>
      </c>
      <c r="R88" s="102" t="n">
        <v>0</v>
      </c>
      <c r="S88" s="34" t="str">
        <f aca="false">IF(AND(A88&lt;&gt;"",N88&lt;&gt;"",COUNTIFS(首批固定任务!$A$2:$A$109,A88,首批固定任务!$N$2:$N$109,N88)=1,COUNTIFS($A$2:$A$109,A88)=1),"匹配","缺范围或重复")</f>
        <v>匹配</v>
      </c>
      <c r="T88" s="34" t="s">
        <v>1232</v>
      </c>
      <c r="U88" s="102" t="n">
        <v>0</v>
      </c>
      <c r="V88" s="34" t="s">
        <v>1233</v>
      </c>
      <c r="W88" s="34" t="s">
        <v>1187</v>
      </c>
      <c r="X88" s="34" t="s">
        <v>958</v>
      </c>
      <c r="Y88" s="34" t="s">
        <v>959</v>
      </c>
      <c r="Z88" s="34" t="s">
        <v>1234</v>
      </c>
      <c r="AA88" s="34" t="s">
        <v>1235</v>
      </c>
      <c r="AB88" s="33" t="s">
        <v>1259</v>
      </c>
    </row>
    <row r="89" customFormat="false" ht="38.4" hidden="false" customHeight="true" outlineLevel="0" collapsed="false">
      <c r="A89" s="95" t="s">
        <v>1260</v>
      </c>
      <c r="B89" s="96" t="s">
        <v>821</v>
      </c>
      <c r="C89" s="96" t="s">
        <v>892</v>
      </c>
      <c r="D89" s="96" t="s">
        <v>1261</v>
      </c>
      <c r="E89" s="98" t="n">
        <v>0</v>
      </c>
      <c r="F89" s="98" t="n">
        <v>0</v>
      </c>
      <c r="G89" s="98" t="n">
        <v>0</v>
      </c>
      <c r="H89" s="98" t="n">
        <v>0</v>
      </c>
      <c r="I89" s="99" t="s">
        <v>824</v>
      </c>
      <c r="J89" s="100" t="s">
        <v>1262</v>
      </c>
      <c r="K89" s="101" t="n">
        <v>46321</v>
      </c>
      <c r="L89" s="96" t="s">
        <v>1230</v>
      </c>
      <c r="M89" s="96" t="str">
        <f aca="false">IF(S89&lt;&gt;"匹配","缺范围任务",IF(I89="通过",IF(AND(J89&lt;&gt;"",ISNUMBER(K89),K89&gt;=DATE(2026,10,26)),"已验收","缺证据或日期"),IF(I89="","缺状态","待复核")))</f>
        <v>已验收</v>
      </c>
      <c r="N89" s="33" t="s">
        <v>149</v>
      </c>
      <c r="O89" s="33" t="s">
        <v>1263</v>
      </c>
      <c r="P89" s="102" t="n">
        <v>0</v>
      </c>
      <c r="Q89" s="102" t="n">
        <v>0</v>
      </c>
      <c r="R89" s="102" t="n">
        <v>0</v>
      </c>
      <c r="S89" s="34" t="str">
        <f aca="false">IF(AND(A89&lt;&gt;"",N89&lt;&gt;"",COUNTIFS(首批固定任务!$A$2:$A$109,A89,首批固定任务!$N$2:$N$109,N89)=1,COUNTIFS($A$2:$A$109,A89)=1),"匹配","缺范围或重复")</f>
        <v>匹配</v>
      </c>
      <c r="T89" s="34" t="s">
        <v>1232</v>
      </c>
      <c r="U89" s="102" t="n">
        <v>0</v>
      </c>
      <c r="V89" s="34" t="s">
        <v>1233</v>
      </c>
      <c r="W89" s="34" t="s">
        <v>1187</v>
      </c>
      <c r="X89" s="34" t="s">
        <v>958</v>
      </c>
      <c r="Y89" s="34" t="s">
        <v>959</v>
      </c>
      <c r="Z89" s="34" t="s">
        <v>1234</v>
      </c>
      <c r="AA89" s="34" t="s">
        <v>1235</v>
      </c>
      <c r="AB89" s="33" t="s">
        <v>1264</v>
      </c>
    </row>
    <row r="90" customFormat="false" ht="38.4" hidden="false" customHeight="true" outlineLevel="0" collapsed="false">
      <c r="A90" s="95" t="s">
        <v>1265</v>
      </c>
      <c r="B90" s="96" t="s">
        <v>821</v>
      </c>
      <c r="C90" s="96" t="s">
        <v>892</v>
      </c>
      <c r="D90" s="96" t="s">
        <v>1266</v>
      </c>
      <c r="E90" s="98" t="n">
        <v>0</v>
      </c>
      <c r="F90" s="98" t="n">
        <v>0</v>
      </c>
      <c r="G90" s="98" t="n">
        <v>0</v>
      </c>
      <c r="H90" s="98" t="n">
        <v>0</v>
      </c>
      <c r="I90" s="99" t="s">
        <v>824</v>
      </c>
      <c r="J90" s="100" t="s">
        <v>1267</v>
      </c>
      <c r="K90" s="101" t="n">
        <v>46321</v>
      </c>
      <c r="L90" s="96" t="s">
        <v>1230</v>
      </c>
      <c r="M90" s="96" t="str">
        <f aca="false">IF(S90&lt;&gt;"匹配","缺范围任务",IF(I90="通过",IF(AND(J90&lt;&gt;"",ISNUMBER(K90),K90&gt;=DATE(2026,10,26)),"已验收","缺证据或日期"),IF(I90="","缺状态","待复核")))</f>
        <v>已验收</v>
      </c>
      <c r="N90" s="33" t="s">
        <v>149</v>
      </c>
      <c r="O90" s="33" t="s">
        <v>1263</v>
      </c>
      <c r="P90" s="102" t="n">
        <v>0</v>
      </c>
      <c r="Q90" s="102" t="n">
        <v>0</v>
      </c>
      <c r="R90" s="102" t="n">
        <v>0</v>
      </c>
      <c r="S90" s="34" t="str">
        <f aca="false">IF(AND(A90&lt;&gt;"",N90&lt;&gt;"",COUNTIFS(首批固定任务!$A$2:$A$109,A90,首批固定任务!$N$2:$N$109,N90)=1,COUNTIFS($A$2:$A$109,A90)=1),"匹配","缺范围或重复")</f>
        <v>匹配</v>
      </c>
      <c r="T90" s="34" t="s">
        <v>1232</v>
      </c>
      <c r="U90" s="102" t="n">
        <v>0</v>
      </c>
      <c r="V90" s="34" t="s">
        <v>1233</v>
      </c>
      <c r="W90" s="34" t="s">
        <v>1187</v>
      </c>
      <c r="X90" s="34" t="s">
        <v>958</v>
      </c>
      <c r="Y90" s="34" t="s">
        <v>959</v>
      </c>
      <c r="Z90" s="34" t="s">
        <v>1234</v>
      </c>
      <c r="AA90" s="34" t="s">
        <v>1235</v>
      </c>
      <c r="AB90" s="33" t="s">
        <v>1268</v>
      </c>
    </row>
    <row r="91" customFormat="false" ht="38.4" hidden="false" customHeight="true" outlineLevel="0" collapsed="false">
      <c r="A91" s="95" t="s">
        <v>1269</v>
      </c>
      <c r="B91" s="96" t="s">
        <v>821</v>
      </c>
      <c r="C91" s="96" t="s">
        <v>892</v>
      </c>
      <c r="D91" s="96" t="s">
        <v>1228</v>
      </c>
      <c r="E91" s="98" t="n">
        <v>0</v>
      </c>
      <c r="F91" s="98" t="n">
        <v>0</v>
      </c>
      <c r="G91" s="98" t="n">
        <v>0</v>
      </c>
      <c r="H91" s="98" t="n">
        <v>0</v>
      </c>
      <c r="I91" s="99" t="s">
        <v>824</v>
      </c>
      <c r="J91" s="100" t="s">
        <v>1270</v>
      </c>
      <c r="K91" s="101" t="n">
        <v>46321</v>
      </c>
      <c r="L91" s="96" t="s">
        <v>1230</v>
      </c>
      <c r="M91" s="96" t="str">
        <f aca="false">IF(S91&lt;&gt;"匹配","缺范围任务",IF(I91="通过",IF(AND(J91&lt;&gt;"",ISNUMBER(K91),K91&gt;=DATE(2026,10,26)),"已验收","缺证据或日期"),IF(I91="","缺状态","待复核")))</f>
        <v>已验收</v>
      </c>
      <c r="N91" s="33" t="s">
        <v>149</v>
      </c>
      <c r="O91" s="33" t="s">
        <v>1263</v>
      </c>
      <c r="P91" s="102" t="n">
        <v>0</v>
      </c>
      <c r="Q91" s="102" t="n">
        <v>0</v>
      </c>
      <c r="R91" s="102" t="n">
        <v>0</v>
      </c>
      <c r="S91" s="34" t="str">
        <f aca="false">IF(AND(A91&lt;&gt;"",N91&lt;&gt;"",COUNTIFS(首批固定任务!$A$2:$A$109,A91,首批固定任务!$N$2:$N$109,N91)=1,COUNTIFS($A$2:$A$109,A91)=1),"匹配","缺范围或重复")</f>
        <v>匹配</v>
      </c>
      <c r="T91" s="34" t="s">
        <v>1232</v>
      </c>
      <c r="U91" s="102" t="n">
        <v>0</v>
      </c>
      <c r="V91" s="34" t="s">
        <v>1233</v>
      </c>
      <c r="W91" s="34" t="s">
        <v>1187</v>
      </c>
      <c r="X91" s="34" t="s">
        <v>958</v>
      </c>
      <c r="Y91" s="34" t="s">
        <v>959</v>
      </c>
      <c r="Z91" s="34" t="s">
        <v>1234</v>
      </c>
      <c r="AA91" s="34" t="s">
        <v>1235</v>
      </c>
      <c r="AB91" s="33" t="s">
        <v>1271</v>
      </c>
    </row>
    <row r="92" customFormat="false" ht="38.4" hidden="false" customHeight="true" outlineLevel="0" collapsed="false">
      <c r="A92" s="95" t="s">
        <v>1272</v>
      </c>
      <c r="B92" s="96" t="s">
        <v>821</v>
      </c>
      <c r="C92" s="96" t="s">
        <v>892</v>
      </c>
      <c r="D92" s="96" t="s">
        <v>1228</v>
      </c>
      <c r="E92" s="98" t="n">
        <v>0</v>
      </c>
      <c r="F92" s="98" t="n">
        <v>0</v>
      </c>
      <c r="G92" s="98" t="n">
        <v>0</v>
      </c>
      <c r="H92" s="98" t="n">
        <v>0</v>
      </c>
      <c r="I92" s="99" t="s">
        <v>824</v>
      </c>
      <c r="J92" s="100" t="s">
        <v>1273</v>
      </c>
      <c r="K92" s="101" t="n">
        <v>46321</v>
      </c>
      <c r="L92" s="96" t="s">
        <v>1230</v>
      </c>
      <c r="M92" s="96" t="str">
        <f aca="false">IF(S92&lt;&gt;"匹配","缺范围任务",IF(I92="通过",IF(AND(J92&lt;&gt;"",ISNUMBER(K92),K92&gt;=DATE(2026,10,26)),"已验收","缺证据或日期"),IF(I92="","缺状态","待复核")))</f>
        <v>已验收</v>
      </c>
      <c r="N92" s="33" t="s">
        <v>149</v>
      </c>
      <c r="O92" s="33" t="s">
        <v>1263</v>
      </c>
      <c r="P92" s="102" t="n">
        <v>0</v>
      </c>
      <c r="Q92" s="102" t="n">
        <v>0</v>
      </c>
      <c r="R92" s="102" t="n">
        <v>0</v>
      </c>
      <c r="S92" s="34" t="str">
        <f aca="false">IF(AND(A92&lt;&gt;"",N92&lt;&gt;"",COUNTIFS(首批固定任务!$A$2:$A$109,A92,首批固定任务!$N$2:$N$109,N92)=1,COUNTIFS($A$2:$A$109,A92)=1),"匹配","缺范围或重复")</f>
        <v>匹配</v>
      </c>
      <c r="T92" s="34" t="s">
        <v>1232</v>
      </c>
      <c r="U92" s="102" t="n">
        <v>0</v>
      </c>
      <c r="V92" s="34" t="s">
        <v>1233</v>
      </c>
      <c r="W92" s="34" t="s">
        <v>1187</v>
      </c>
      <c r="X92" s="34" t="s">
        <v>958</v>
      </c>
      <c r="Y92" s="34" t="s">
        <v>959</v>
      </c>
      <c r="Z92" s="34" t="s">
        <v>1234</v>
      </c>
      <c r="AA92" s="34" t="s">
        <v>1235</v>
      </c>
      <c r="AB92" s="33" t="s">
        <v>1274</v>
      </c>
    </row>
    <row r="93" customFormat="false" ht="38.4" hidden="false" customHeight="true" outlineLevel="0" collapsed="false">
      <c r="A93" s="95" t="s">
        <v>1275</v>
      </c>
      <c r="B93" s="96" t="s">
        <v>821</v>
      </c>
      <c r="C93" s="96" t="s">
        <v>892</v>
      </c>
      <c r="D93" s="96" t="s">
        <v>1228</v>
      </c>
      <c r="E93" s="98" t="n">
        <v>0</v>
      </c>
      <c r="F93" s="98" t="n">
        <v>0</v>
      </c>
      <c r="G93" s="98" t="n">
        <v>0</v>
      </c>
      <c r="H93" s="98" t="n">
        <v>0</v>
      </c>
      <c r="I93" s="99" t="s">
        <v>824</v>
      </c>
      <c r="J93" s="100" t="s">
        <v>1276</v>
      </c>
      <c r="K93" s="101" t="n">
        <v>46321</v>
      </c>
      <c r="L93" s="96" t="s">
        <v>1230</v>
      </c>
      <c r="M93" s="96" t="str">
        <f aca="false">IF(S93&lt;&gt;"匹配","缺范围任务",IF(I93="通过",IF(AND(J93&lt;&gt;"",ISNUMBER(K93),K93&gt;=DATE(2026,10,26)),"已验收","缺证据或日期"),IF(I93="","缺状态","待复核")))</f>
        <v>已验收</v>
      </c>
      <c r="N93" s="33" t="s">
        <v>149</v>
      </c>
      <c r="O93" s="33" t="s">
        <v>1263</v>
      </c>
      <c r="P93" s="102" t="n">
        <v>0</v>
      </c>
      <c r="Q93" s="102" t="n">
        <v>0</v>
      </c>
      <c r="R93" s="102" t="n">
        <v>0</v>
      </c>
      <c r="S93" s="34" t="str">
        <f aca="false">IF(AND(A93&lt;&gt;"",N93&lt;&gt;"",COUNTIFS(首批固定任务!$A$2:$A$109,A93,首批固定任务!$N$2:$N$109,N93)=1,COUNTIFS($A$2:$A$109,A93)=1),"匹配","缺范围或重复")</f>
        <v>匹配</v>
      </c>
      <c r="T93" s="34" t="s">
        <v>1232</v>
      </c>
      <c r="U93" s="102" t="n">
        <v>0</v>
      </c>
      <c r="V93" s="34" t="s">
        <v>1233</v>
      </c>
      <c r="W93" s="34" t="s">
        <v>1187</v>
      </c>
      <c r="X93" s="34" t="s">
        <v>958</v>
      </c>
      <c r="Y93" s="34" t="s">
        <v>959</v>
      </c>
      <c r="Z93" s="34" t="s">
        <v>1234</v>
      </c>
      <c r="AA93" s="34" t="s">
        <v>1235</v>
      </c>
      <c r="AB93" s="33" t="s">
        <v>1277</v>
      </c>
    </row>
    <row r="94" customFormat="false" ht="38.4" hidden="false" customHeight="true" outlineLevel="0" collapsed="false">
      <c r="A94" s="95" t="s">
        <v>1278</v>
      </c>
      <c r="B94" s="96" t="s">
        <v>821</v>
      </c>
      <c r="C94" s="96" t="s">
        <v>892</v>
      </c>
      <c r="D94" s="96" t="s">
        <v>1279</v>
      </c>
      <c r="E94" s="98" t="n">
        <v>0</v>
      </c>
      <c r="F94" s="98" t="n">
        <v>0</v>
      </c>
      <c r="G94" s="98" t="n">
        <v>0</v>
      </c>
      <c r="H94" s="98" t="n">
        <v>0</v>
      </c>
      <c r="I94" s="99" t="s">
        <v>824</v>
      </c>
      <c r="J94" s="100" t="s">
        <v>1280</v>
      </c>
      <c r="K94" s="101" t="n">
        <v>46321</v>
      </c>
      <c r="L94" s="96" t="s">
        <v>1230</v>
      </c>
      <c r="M94" s="96" t="str">
        <f aca="false">IF(S94&lt;&gt;"匹配","缺范围任务",IF(I94="通过",IF(AND(J94&lt;&gt;"",ISNUMBER(K94),K94&gt;=DATE(2026,10,26)),"已验收","缺证据或日期"),IF(I94="","缺状态","待复核")))</f>
        <v>已验收</v>
      </c>
      <c r="N94" s="33" t="s">
        <v>151</v>
      </c>
      <c r="O94" s="33" t="s">
        <v>1281</v>
      </c>
      <c r="P94" s="102" t="n">
        <v>0</v>
      </c>
      <c r="Q94" s="102" t="n">
        <v>0</v>
      </c>
      <c r="R94" s="102" t="n">
        <v>0</v>
      </c>
      <c r="S94" s="34" t="str">
        <f aca="false">IF(AND(A94&lt;&gt;"",N94&lt;&gt;"",COUNTIFS(首批固定任务!$A$2:$A$109,A94,首批固定任务!$N$2:$N$109,N94)=1,COUNTIFS($A$2:$A$109,A94)=1),"匹配","缺范围或重复")</f>
        <v>匹配</v>
      </c>
      <c r="T94" s="34" t="s">
        <v>1232</v>
      </c>
      <c r="U94" s="102" t="n">
        <v>0</v>
      </c>
      <c r="V94" s="34" t="s">
        <v>1233</v>
      </c>
      <c r="W94" s="34" t="s">
        <v>1187</v>
      </c>
      <c r="X94" s="34" t="s">
        <v>958</v>
      </c>
      <c r="Y94" s="34" t="s">
        <v>959</v>
      </c>
      <c r="Z94" s="34" t="s">
        <v>1282</v>
      </c>
      <c r="AA94" s="34" t="s">
        <v>1283</v>
      </c>
      <c r="AB94" s="34" t="s">
        <v>1284</v>
      </c>
    </row>
    <row r="95" customFormat="false" ht="38.4" hidden="false" customHeight="true" outlineLevel="0" collapsed="false">
      <c r="A95" s="95" t="s">
        <v>1285</v>
      </c>
      <c r="B95" s="96" t="s">
        <v>872</v>
      </c>
      <c r="C95" s="96" t="s">
        <v>892</v>
      </c>
      <c r="D95" s="97" t="s">
        <v>1286</v>
      </c>
      <c r="E95" s="98" t="n">
        <v>0</v>
      </c>
      <c r="F95" s="98" t="n">
        <v>1</v>
      </c>
      <c r="G95" s="98" t="n">
        <v>0</v>
      </c>
      <c r="H95" s="98" t="n">
        <v>0</v>
      </c>
      <c r="I95" s="99" t="s">
        <v>824</v>
      </c>
      <c r="J95" s="100" t="s">
        <v>1287</v>
      </c>
      <c r="K95" s="101" t="n">
        <v>46321</v>
      </c>
      <c r="L95" s="96" t="s">
        <v>1168</v>
      </c>
      <c r="M95" s="96" t="str">
        <f aca="false">IF(S95&lt;&gt;"匹配","缺范围任务",IF(I95="通过",IF(AND(J95&lt;&gt;"",ISNUMBER(K95),K95&gt;=DATE(2026,10,26)),"已验收","缺证据或日期"),IF(I95="","缺状态","待复核")))</f>
        <v>已验收</v>
      </c>
      <c r="N95" s="33" t="s">
        <v>153</v>
      </c>
      <c r="O95" s="33" t="s">
        <v>883</v>
      </c>
      <c r="P95" s="102" t="n">
        <v>30</v>
      </c>
      <c r="Q95" s="102" t="n">
        <v>0</v>
      </c>
      <c r="R95" s="102" t="n">
        <v>0</v>
      </c>
      <c r="S95" s="34" t="str">
        <f aca="false">IF(AND(A95&lt;&gt;"",N95&lt;&gt;"",COUNTIFS(首批固定任务!$A$2:$A$109,A95,首批固定任务!$N$2:$N$109,N95)=1,COUNTIFS($A$2:$A$109,A95)=1),"匹配","缺范围或重复")</f>
        <v>匹配</v>
      </c>
      <c r="T95" s="34" t="s">
        <v>1169</v>
      </c>
      <c r="U95" s="102" t="n">
        <v>0</v>
      </c>
      <c r="V95" s="34" t="s">
        <v>1288</v>
      </c>
      <c r="W95" s="34" t="s">
        <v>1187</v>
      </c>
      <c r="X95" s="34" t="s">
        <v>958</v>
      </c>
      <c r="Y95" s="34" t="s">
        <v>959</v>
      </c>
      <c r="Z95" s="34" t="s">
        <v>1172</v>
      </c>
      <c r="AA95" s="34" t="s">
        <v>1289</v>
      </c>
      <c r="AB95" s="33" t="s">
        <v>1290</v>
      </c>
    </row>
    <row r="96" customFormat="false" ht="38.4" hidden="false" customHeight="true" outlineLevel="0" collapsed="false">
      <c r="A96" s="95" t="s">
        <v>1291</v>
      </c>
      <c r="B96" s="96" t="s">
        <v>872</v>
      </c>
      <c r="C96" s="96" t="s">
        <v>892</v>
      </c>
      <c r="D96" s="97" t="s">
        <v>1292</v>
      </c>
      <c r="E96" s="98" t="n">
        <v>0</v>
      </c>
      <c r="F96" s="98" t="n">
        <v>1</v>
      </c>
      <c r="G96" s="98" t="n">
        <v>0</v>
      </c>
      <c r="H96" s="98" t="n">
        <v>0</v>
      </c>
      <c r="I96" s="99" t="s">
        <v>824</v>
      </c>
      <c r="J96" s="100" t="s">
        <v>1293</v>
      </c>
      <c r="K96" s="101" t="n">
        <v>46321</v>
      </c>
      <c r="L96" s="96" t="s">
        <v>1168</v>
      </c>
      <c r="M96" s="96" t="str">
        <f aca="false">IF(S96&lt;&gt;"匹配","缺范围任务",IF(I96="通过",IF(AND(J96&lt;&gt;"",ISNUMBER(K96),K96&gt;=DATE(2026,10,26)),"已验收","缺证据或日期"),IF(I96="","缺状态","待复核")))</f>
        <v>已验收</v>
      </c>
      <c r="N96" s="33" t="s">
        <v>153</v>
      </c>
      <c r="O96" s="33" t="s">
        <v>883</v>
      </c>
      <c r="P96" s="102" t="n">
        <v>17</v>
      </c>
      <c r="Q96" s="102" t="n">
        <v>0</v>
      </c>
      <c r="R96" s="102" t="n">
        <v>0</v>
      </c>
      <c r="S96" s="34" t="str">
        <f aca="false">IF(AND(A96&lt;&gt;"",N96&lt;&gt;"",COUNTIFS(首批固定任务!$A$2:$A$109,A96,首批固定任务!$N$2:$N$109,N96)=1,COUNTIFS($A$2:$A$109,A96)=1),"匹配","缺范围或重复")</f>
        <v>匹配</v>
      </c>
      <c r="T96" s="34" t="s">
        <v>1169</v>
      </c>
      <c r="U96" s="102" t="n">
        <v>0</v>
      </c>
      <c r="V96" s="34" t="s">
        <v>1288</v>
      </c>
      <c r="W96" s="34" t="s">
        <v>1187</v>
      </c>
      <c r="X96" s="34" t="s">
        <v>958</v>
      </c>
      <c r="Y96" s="34" t="s">
        <v>959</v>
      </c>
      <c r="Z96" s="34" t="s">
        <v>1172</v>
      </c>
      <c r="AA96" s="34" t="s">
        <v>1289</v>
      </c>
      <c r="AB96" s="33" t="s">
        <v>1294</v>
      </c>
    </row>
    <row r="97" customFormat="false" ht="38.4" hidden="false" customHeight="true" outlineLevel="0" collapsed="false">
      <c r="A97" s="95" t="s">
        <v>1295</v>
      </c>
      <c r="B97" s="96" t="s">
        <v>872</v>
      </c>
      <c r="C97" s="96" t="s">
        <v>892</v>
      </c>
      <c r="D97" s="97" t="s">
        <v>1296</v>
      </c>
      <c r="E97" s="98" t="n">
        <v>0</v>
      </c>
      <c r="F97" s="98" t="n">
        <v>1</v>
      </c>
      <c r="G97" s="98" t="n">
        <v>0</v>
      </c>
      <c r="H97" s="98" t="n">
        <v>0</v>
      </c>
      <c r="I97" s="99" t="s">
        <v>824</v>
      </c>
      <c r="J97" s="100" t="s">
        <v>1297</v>
      </c>
      <c r="K97" s="101" t="n">
        <v>46321</v>
      </c>
      <c r="L97" s="96" t="s">
        <v>1168</v>
      </c>
      <c r="M97" s="96" t="str">
        <f aca="false">IF(S97&lt;&gt;"匹配","缺范围任务",IF(I97="通过",IF(AND(J97&lt;&gt;"",ISNUMBER(K97),K97&gt;=DATE(2026,10,26)),"已验收","缺证据或日期"),IF(I97="","缺状态","待复核")))</f>
        <v>已验收</v>
      </c>
      <c r="N97" s="33" t="s">
        <v>153</v>
      </c>
      <c r="O97" s="33" t="s">
        <v>883</v>
      </c>
      <c r="P97" s="102" t="n">
        <v>35</v>
      </c>
      <c r="Q97" s="102" t="n">
        <v>0</v>
      </c>
      <c r="R97" s="102" t="n">
        <v>0</v>
      </c>
      <c r="S97" s="34" t="str">
        <f aca="false">IF(AND(A97&lt;&gt;"",N97&lt;&gt;"",COUNTIFS(首批固定任务!$A$2:$A$109,A97,首批固定任务!$N$2:$N$109,N97)=1,COUNTIFS($A$2:$A$109,A97)=1),"匹配","缺范围或重复")</f>
        <v>匹配</v>
      </c>
      <c r="T97" s="34" t="s">
        <v>1169</v>
      </c>
      <c r="U97" s="102" t="n">
        <v>0</v>
      </c>
      <c r="V97" s="34" t="s">
        <v>1288</v>
      </c>
      <c r="W97" s="34" t="s">
        <v>1187</v>
      </c>
      <c r="X97" s="34" t="s">
        <v>958</v>
      </c>
      <c r="Y97" s="34" t="s">
        <v>959</v>
      </c>
      <c r="Z97" s="34" t="s">
        <v>1172</v>
      </c>
      <c r="AA97" s="34" t="s">
        <v>1289</v>
      </c>
      <c r="AB97" s="33" t="s">
        <v>1298</v>
      </c>
    </row>
    <row r="98" customFormat="false" ht="38.4" hidden="false" customHeight="true" outlineLevel="0" collapsed="false">
      <c r="A98" s="95" t="s">
        <v>1299</v>
      </c>
      <c r="B98" s="96" t="s">
        <v>872</v>
      </c>
      <c r="C98" s="96" t="s">
        <v>892</v>
      </c>
      <c r="D98" s="97" t="s">
        <v>1300</v>
      </c>
      <c r="E98" s="98" t="n">
        <v>0</v>
      </c>
      <c r="F98" s="98" t="n">
        <v>1</v>
      </c>
      <c r="G98" s="98" t="n">
        <v>0</v>
      </c>
      <c r="H98" s="98" t="n">
        <v>0</v>
      </c>
      <c r="I98" s="99" t="s">
        <v>824</v>
      </c>
      <c r="J98" s="100" t="s">
        <v>1301</v>
      </c>
      <c r="K98" s="101" t="n">
        <v>46321</v>
      </c>
      <c r="L98" s="96" t="s">
        <v>1168</v>
      </c>
      <c r="M98" s="96" t="str">
        <f aca="false">IF(S98&lt;&gt;"匹配","缺范围任务",IF(I98="通过",IF(AND(J98&lt;&gt;"",ISNUMBER(K98),K98&gt;=DATE(2026,10,26)),"已验收","缺证据或日期"),IF(I98="","缺状态","待复核")))</f>
        <v>已验收</v>
      </c>
      <c r="N98" s="33" t="s">
        <v>153</v>
      </c>
      <c r="O98" s="33" t="s">
        <v>883</v>
      </c>
      <c r="P98" s="102" t="n">
        <v>21</v>
      </c>
      <c r="Q98" s="102" t="n">
        <v>0</v>
      </c>
      <c r="R98" s="102" t="n">
        <v>0</v>
      </c>
      <c r="S98" s="34" t="str">
        <f aca="false">IF(AND(A98&lt;&gt;"",N98&lt;&gt;"",COUNTIFS(首批固定任务!$A$2:$A$109,A98,首批固定任务!$N$2:$N$109,N98)=1,COUNTIFS($A$2:$A$109,A98)=1),"匹配","缺范围或重复")</f>
        <v>匹配</v>
      </c>
      <c r="T98" s="34" t="s">
        <v>1169</v>
      </c>
      <c r="U98" s="102" t="n">
        <v>0</v>
      </c>
      <c r="V98" s="34" t="s">
        <v>1288</v>
      </c>
      <c r="W98" s="34" t="s">
        <v>1187</v>
      </c>
      <c r="X98" s="34" t="s">
        <v>958</v>
      </c>
      <c r="Y98" s="34" t="s">
        <v>959</v>
      </c>
      <c r="Z98" s="34" t="s">
        <v>1172</v>
      </c>
      <c r="AA98" s="34" t="s">
        <v>1289</v>
      </c>
      <c r="AB98" s="33" t="s">
        <v>1302</v>
      </c>
    </row>
    <row r="99" customFormat="false" ht="38.4" hidden="false" customHeight="true" outlineLevel="0" collapsed="false">
      <c r="A99" s="95" t="s">
        <v>1303</v>
      </c>
      <c r="B99" s="96" t="s">
        <v>872</v>
      </c>
      <c r="C99" s="96" t="s">
        <v>892</v>
      </c>
      <c r="D99" s="97" t="s">
        <v>1304</v>
      </c>
      <c r="E99" s="98" t="n">
        <v>0</v>
      </c>
      <c r="F99" s="98" t="n">
        <v>1</v>
      </c>
      <c r="G99" s="98" t="n">
        <v>0</v>
      </c>
      <c r="H99" s="98" t="n">
        <v>0</v>
      </c>
      <c r="I99" s="99" t="s">
        <v>824</v>
      </c>
      <c r="J99" s="100" t="s">
        <v>1305</v>
      </c>
      <c r="K99" s="101" t="n">
        <v>46321</v>
      </c>
      <c r="L99" s="96" t="s">
        <v>1168</v>
      </c>
      <c r="M99" s="96" t="str">
        <f aca="false">IF(S99&lt;&gt;"匹配","缺范围任务",IF(I99="通过",IF(AND(J99&lt;&gt;"",ISNUMBER(K99),K99&gt;=DATE(2026,10,26)),"已验收","缺证据或日期"),IF(I99="","缺状态","待复核")))</f>
        <v>已验收</v>
      </c>
      <c r="N99" s="33" t="s">
        <v>155</v>
      </c>
      <c r="O99" s="33" t="s">
        <v>883</v>
      </c>
      <c r="P99" s="102" t="n">
        <v>38</v>
      </c>
      <c r="Q99" s="102" t="n">
        <v>1</v>
      </c>
      <c r="R99" s="102" t="n">
        <v>0</v>
      </c>
      <c r="S99" s="34" t="str">
        <f aca="false">IF(AND(A99&lt;&gt;"",N99&lt;&gt;"",COUNTIFS(首批固定任务!$A$2:$A$109,A99,首批固定任务!$N$2:$N$109,N99)=1,COUNTIFS($A$2:$A$109,A99)=1),"匹配","缺范围或重复")</f>
        <v>匹配</v>
      </c>
      <c r="T99" s="34" t="s">
        <v>1169</v>
      </c>
      <c r="U99" s="102" t="n">
        <v>0</v>
      </c>
      <c r="V99" s="34" t="s">
        <v>1170</v>
      </c>
      <c r="W99" s="34" t="s">
        <v>1171</v>
      </c>
      <c r="X99" s="34" t="s">
        <v>958</v>
      </c>
      <c r="Y99" s="34" t="s">
        <v>959</v>
      </c>
      <c r="Z99" s="34" t="s">
        <v>1172</v>
      </c>
      <c r="AA99" s="34" t="s">
        <v>1173</v>
      </c>
      <c r="AB99" s="33" t="s">
        <v>1306</v>
      </c>
    </row>
    <row r="100" customFormat="false" ht="38.4" hidden="false" customHeight="true" outlineLevel="0" collapsed="false">
      <c r="A100" s="95" t="s">
        <v>1307</v>
      </c>
      <c r="B100" s="96" t="s">
        <v>872</v>
      </c>
      <c r="C100" s="96" t="s">
        <v>892</v>
      </c>
      <c r="D100" s="97" t="s">
        <v>1308</v>
      </c>
      <c r="E100" s="98" t="n">
        <v>0</v>
      </c>
      <c r="F100" s="98" t="n">
        <v>1</v>
      </c>
      <c r="G100" s="98" t="n">
        <v>0</v>
      </c>
      <c r="H100" s="98" t="n">
        <v>0</v>
      </c>
      <c r="I100" s="99" t="s">
        <v>824</v>
      </c>
      <c r="J100" s="100" t="s">
        <v>1309</v>
      </c>
      <c r="K100" s="101" t="n">
        <v>46321</v>
      </c>
      <c r="L100" s="96" t="s">
        <v>1168</v>
      </c>
      <c r="M100" s="96" t="str">
        <f aca="false">IF(S100&lt;&gt;"匹配","缺范围任务",IF(I100="通过",IF(AND(J100&lt;&gt;"",ISNUMBER(K100),K100&gt;=DATE(2026,10,26)),"已验收","缺证据或日期"),IF(I100="","缺状态","待复核")))</f>
        <v>已验收</v>
      </c>
      <c r="N100" s="33" t="s">
        <v>155</v>
      </c>
      <c r="O100" s="33" t="s">
        <v>883</v>
      </c>
      <c r="P100" s="102" t="n">
        <v>58</v>
      </c>
      <c r="Q100" s="102" t="n">
        <v>1</v>
      </c>
      <c r="R100" s="102" t="n">
        <v>0</v>
      </c>
      <c r="S100" s="34" t="str">
        <f aca="false">IF(AND(A100&lt;&gt;"",N100&lt;&gt;"",COUNTIFS(首批固定任务!$A$2:$A$109,A100,首批固定任务!$N$2:$N$109,N100)=1,COUNTIFS($A$2:$A$109,A100)=1),"匹配","缺范围或重复")</f>
        <v>匹配</v>
      </c>
      <c r="T100" s="34" t="s">
        <v>1169</v>
      </c>
      <c r="U100" s="102" t="n">
        <v>0</v>
      </c>
      <c r="V100" s="34" t="s">
        <v>1170</v>
      </c>
      <c r="W100" s="34" t="s">
        <v>1171</v>
      </c>
      <c r="X100" s="34" t="s">
        <v>958</v>
      </c>
      <c r="Y100" s="34" t="s">
        <v>959</v>
      </c>
      <c r="Z100" s="34" t="s">
        <v>1172</v>
      </c>
      <c r="AA100" s="34" t="s">
        <v>1173</v>
      </c>
      <c r="AB100" s="33" t="s">
        <v>1310</v>
      </c>
    </row>
    <row r="101" customFormat="false" ht="38.4" hidden="false" customHeight="true" outlineLevel="0" collapsed="false">
      <c r="A101" s="95" t="s">
        <v>1311</v>
      </c>
      <c r="B101" s="96" t="s">
        <v>872</v>
      </c>
      <c r="C101" s="96" t="s">
        <v>892</v>
      </c>
      <c r="D101" s="97" t="s">
        <v>1312</v>
      </c>
      <c r="E101" s="98" t="n">
        <v>0</v>
      </c>
      <c r="F101" s="98" t="n">
        <v>1</v>
      </c>
      <c r="G101" s="98" t="n">
        <v>1</v>
      </c>
      <c r="H101" s="98" t="n">
        <v>0</v>
      </c>
      <c r="I101" s="99" t="s">
        <v>824</v>
      </c>
      <c r="J101" s="100" t="s">
        <v>1313</v>
      </c>
      <c r="K101" s="101" t="n">
        <v>46321</v>
      </c>
      <c r="L101" s="96" t="s">
        <v>1212</v>
      </c>
      <c r="M101" s="96" t="str">
        <f aca="false">IF(S101&lt;&gt;"匹配","缺范围任务",IF(I101="通过",IF(AND(J101&lt;&gt;"",ISNUMBER(K101),K101&gt;=DATE(2026,10,26)),"已验收","缺证据或日期"),IF(I101="","缺状态","待复核")))</f>
        <v>已验收</v>
      </c>
      <c r="N101" s="33" t="s">
        <v>155</v>
      </c>
      <c r="O101" s="33" t="s">
        <v>883</v>
      </c>
      <c r="P101" s="102" t="n">
        <v>25</v>
      </c>
      <c r="Q101" s="102" t="n">
        <v>1</v>
      </c>
      <c r="R101" s="102" t="n">
        <v>0</v>
      </c>
      <c r="S101" s="34" t="str">
        <f aca="false">IF(AND(A101&lt;&gt;"",N101&lt;&gt;"",COUNTIFS(首批固定任务!$A$2:$A$109,A101,首批固定任务!$N$2:$N$109,N101)=1,COUNTIFS($A$2:$A$109,A101)=1),"匹配","缺范围或重复")</f>
        <v>匹配</v>
      </c>
      <c r="T101" s="34" t="s">
        <v>1213</v>
      </c>
      <c r="U101" s="102" t="n">
        <v>0</v>
      </c>
      <c r="V101" s="34" t="s">
        <v>1170</v>
      </c>
      <c r="W101" s="34" t="s">
        <v>1171</v>
      </c>
      <c r="X101" s="34" t="s">
        <v>958</v>
      </c>
      <c r="Y101" s="34" t="s">
        <v>959</v>
      </c>
      <c r="Z101" s="34" t="s">
        <v>1172</v>
      </c>
      <c r="AA101" s="34" t="s">
        <v>1173</v>
      </c>
      <c r="AB101" s="33" t="s">
        <v>1314</v>
      </c>
    </row>
    <row r="102" customFormat="false" ht="38.4" hidden="false" customHeight="true" outlineLevel="0" collapsed="false">
      <c r="A102" s="95" t="s">
        <v>1315</v>
      </c>
      <c r="B102" s="96" t="s">
        <v>872</v>
      </c>
      <c r="C102" s="96" t="s">
        <v>892</v>
      </c>
      <c r="D102" s="97" t="s">
        <v>1316</v>
      </c>
      <c r="E102" s="98" t="n">
        <v>0</v>
      </c>
      <c r="F102" s="98" t="n">
        <v>1</v>
      </c>
      <c r="G102" s="98" t="n">
        <v>0</v>
      </c>
      <c r="H102" s="98" t="n">
        <v>0</v>
      </c>
      <c r="I102" s="99" t="s">
        <v>824</v>
      </c>
      <c r="J102" s="100" t="s">
        <v>1317</v>
      </c>
      <c r="K102" s="101" t="n">
        <v>46321</v>
      </c>
      <c r="L102" s="96" t="s">
        <v>1168</v>
      </c>
      <c r="M102" s="96" t="str">
        <f aca="false">IF(S102&lt;&gt;"匹配","缺范围任务",IF(I102="通过",IF(AND(J102&lt;&gt;"",ISNUMBER(K102),K102&gt;=DATE(2026,10,26)),"已验收","缺证据或日期"),IF(I102="","缺状态","待复核")))</f>
        <v>已验收</v>
      </c>
      <c r="N102" s="33" t="s">
        <v>155</v>
      </c>
      <c r="O102" s="33" t="s">
        <v>883</v>
      </c>
      <c r="P102" s="102" t="n">
        <v>40</v>
      </c>
      <c r="Q102" s="102" t="n">
        <v>1</v>
      </c>
      <c r="R102" s="102" t="n">
        <v>0</v>
      </c>
      <c r="S102" s="34" t="str">
        <f aca="false">IF(AND(A102&lt;&gt;"",N102&lt;&gt;"",COUNTIFS(首批固定任务!$A$2:$A$109,A102,首批固定任务!$N$2:$N$109,N102)=1,COUNTIFS($A$2:$A$109,A102)=1),"匹配","缺范围或重复")</f>
        <v>匹配</v>
      </c>
      <c r="T102" s="34" t="s">
        <v>1169</v>
      </c>
      <c r="U102" s="102" t="n">
        <v>0</v>
      </c>
      <c r="V102" s="34" t="s">
        <v>1170</v>
      </c>
      <c r="W102" s="34" t="s">
        <v>1171</v>
      </c>
      <c r="X102" s="34" t="s">
        <v>958</v>
      </c>
      <c r="Y102" s="34" t="s">
        <v>959</v>
      </c>
      <c r="Z102" s="34" t="s">
        <v>1172</v>
      </c>
      <c r="AA102" s="34" t="s">
        <v>1173</v>
      </c>
      <c r="AB102" s="33" t="s">
        <v>1318</v>
      </c>
    </row>
    <row r="103" customFormat="false" ht="38.4" hidden="false" customHeight="true" outlineLevel="0" collapsed="false">
      <c r="A103" s="95" t="s">
        <v>1319</v>
      </c>
      <c r="B103" s="96" t="s">
        <v>872</v>
      </c>
      <c r="C103" s="96" t="s">
        <v>892</v>
      </c>
      <c r="D103" s="97" t="s">
        <v>1320</v>
      </c>
      <c r="E103" s="98" t="n">
        <v>0</v>
      </c>
      <c r="F103" s="98" t="n">
        <v>1</v>
      </c>
      <c r="G103" s="98" t="n">
        <v>0</v>
      </c>
      <c r="H103" s="98" t="n">
        <v>0</v>
      </c>
      <c r="I103" s="99" t="s">
        <v>824</v>
      </c>
      <c r="J103" s="100" t="s">
        <v>1321</v>
      </c>
      <c r="K103" s="101" t="n">
        <v>46321</v>
      </c>
      <c r="L103" s="96" t="s">
        <v>1168</v>
      </c>
      <c r="M103" s="96" t="str">
        <f aca="false">IF(S103&lt;&gt;"匹配","缺范围任务",IF(I103="通过",IF(AND(J103&lt;&gt;"",ISNUMBER(K103),K103&gt;=DATE(2026,10,26)),"已验收","缺证据或日期"),IF(I103="","缺状态","待复核")))</f>
        <v>已验收</v>
      </c>
      <c r="N103" s="33" t="s">
        <v>155</v>
      </c>
      <c r="O103" s="33" t="s">
        <v>883</v>
      </c>
      <c r="P103" s="102" t="n">
        <v>34</v>
      </c>
      <c r="Q103" s="102" t="n">
        <v>1</v>
      </c>
      <c r="R103" s="102" t="n">
        <v>0</v>
      </c>
      <c r="S103" s="34" t="str">
        <f aca="false">IF(AND(A103&lt;&gt;"",N103&lt;&gt;"",COUNTIFS(首批固定任务!$A$2:$A$109,A103,首批固定任务!$N$2:$N$109,N103)=1,COUNTIFS($A$2:$A$109,A103)=1),"匹配","缺范围或重复")</f>
        <v>匹配</v>
      </c>
      <c r="T103" s="34" t="s">
        <v>1169</v>
      </c>
      <c r="U103" s="102" t="n">
        <v>0</v>
      </c>
      <c r="V103" s="34" t="s">
        <v>1170</v>
      </c>
      <c r="W103" s="34" t="s">
        <v>1171</v>
      </c>
      <c r="X103" s="34" t="s">
        <v>958</v>
      </c>
      <c r="Y103" s="34" t="s">
        <v>959</v>
      </c>
      <c r="Z103" s="34" t="s">
        <v>1172</v>
      </c>
      <c r="AA103" s="34" t="s">
        <v>1173</v>
      </c>
      <c r="AB103" s="33" t="s">
        <v>1322</v>
      </c>
    </row>
    <row r="104" customFormat="false" ht="38.4" hidden="false" customHeight="true" outlineLevel="0" collapsed="false">
      <c r="A104" s="95" t="s">
        <v>1323</v>
      </c>
      <c r="B104" s="96" t="s">
        <v>821</v>
      </c>
      <c r="C104" s="96" t="s">
        <v>892</v>
      </c>
      <c r="D104" s="97" t="s">
        <v>1324</v>
      </c>
      <c r="E104" s="98" t="n">
        <v>0</v>
      </c>
      <c r="F104" s="98" t="n">
        <v>0</v>
      </c>
      <c r="G104" s="98" t="n">
        <v>0</v>
      </c>
      <c r="H104" s="98" t="n">
        <v>0</v>
      </c>
      <c r="I104" s="99" t="s">
        <v>824</v>
      </c>
      <c r="J104" s="100" t="s">
        <v>1325</v>
      </c>
      <c r="K104" s="101" t="n">
        <v>46321</v>
      </c>
      <c r="L104" s="96" t="s">
        <v>1230</v>
      </c>
      <c r="M104" s="96" t="str">
        <f aca="false">IF(S104&lt;&gt;"匹配","缺范围任务",IF(I104="通过",IF(AND(J104&lt;&gt;"",ISNUMBER(K104),K104&gt;=DATE(2026,10,26)),"已验收","缺证据或日期"),IF(I104="","缺状态","待复核")))</f>
        <v>已验收</v>
      </c>
      <c r="N104" s="33" t="s">
        <v>157</v>
      </c>
      <c r="O104" s="33" t="s">
        <v>1326</v>
      </c>
      <c r="P104" s="102" t="n">
        <v>0</v>
      </c>
      <c r="Q104" s="102" t="n">
        <v>0</v>
      </c>
      <c r="R104" s="102" t="n">
        <v>0</v>
      </c>
      <c r="S104" s="34" t="str">
        <f aca="false">IF(AND(A104&lt;&gt;"",N104&lt;&gt;"",COUNTIFS(首批固定任务!$A$2:$A$109,A104,首批固定任务!$N$2:$N$109,N104)=1,COUNTIFS($A$2:$A$109,A104)=1),"匹配","缺范围或重复")</f>
        <v>匹配</v>
      </c>
      <c r="T104" s="34" t="s">
        <v>1232</v>
      </c>
      <c r="U104" s="102" t="n">
        <v>0</v>
      </c>
      <c r="V104" s="34" t="s">
        <v>1233</v>
      </c>
      <c r="W104" s="34" t="s">
        <v>1187</v>
      </c>
      <c r="X104" s="34" t="s">
        <v>958</v>
      </c>
      <c r="Y104" s="34" t="s">
        <v>959</v>
      </c>
      <c r="Z104" s="34" t="s">
        <v>1327</v>
      </c>
      <c r="AA104" s="34" t="s">
        <v>1328</v>
      </c>
      <c r="AB104" s="33" t="s">
        <v>1329</v>
      </c>
    </row>
    <row r="105" customFormat="false" ht="38.4" hidden="false" customHeight="true" outlineLevel="0" collapsed="false">
      <c r="A105" s="95" t="s">
        <v>1330</v>
      </c>
      <c r="B105" s="96" t="s">
        <v>821</v>
      </c>
      <c r="C105" s="96" t="s">
        <v>892</v>
      </c>
      <c r="D105" s="97" t="s">
        <v>1331</v>
      </c>
      <c r="E105" s="98" t="n">
        <v>0</v>
      </c>
      <c r="F105" s="98" t="n">
        <v>0</v>
      </c>
      <c r="G105" s="98" t="n">
        <v>0</v>
      </c>
      <c r="H105" s="98" t="n">
        <v>0</v>
      </c>
      <c r="I105" s="99" t="s">
        <v>824</v>
      </c>
      <c r="J105" s="100" t="s">
        <v>1332</v>
      </c>
      <c r="K105" s="101" t="n">
        <v>46321</v>
      </c>
      <c r="L105" s="96" t="s">
        <v>1230</v>
      </c>
      <c r="M105" s="96" t="str">
        <f aca="false">IF(S105&lt;&gt;"匹配","缺范围任务",IF(I105="通过",IF(AND(J105&lt;&gt;"",ISNUMBER(K105),K105&gt;=DATE(2026,10,26)),"已验收","缺证据或日期"),IF(I105="","缺状态","待复核")))</f>
        <v>已验收</v>
      </c>
      <c r="N105" s="33" t="s">
        <v>157</v>
      </c>
      <c r="O105" s="33" t="s">
        <v>1333</v>
      </c>
      <c r="P105" s="102" t="n">
        <v>0</v>
      </c>
      <c r="Q105" s="102" t="n">
        <v>0</v>
      </c>
      <c r="R105" s="102" t="n">
        <v>0</v>
      </c>
      <c r="S105" s="34" t="str">
        <f aca="false">IF(AND(A105&lt;&gt;"",N105&lt;&gt;"",COUNTIFS(首批固定任务!$A$2:$A$109,A105,首批固定任务!$N$2:$N$109,N105)=1,COUNTIFS($A$2:$A$109,A105)=1),"匹配","缺范围或重复")</f>
        <v>匹配</v>
      </c>
      <c r="T105" s="34" t="s">
        <v>1232</v>
      </c>
      <c r="U105" s="102" t="n">
        <v>0</v>
      </c>
      <c r="V105" s="34" t="s">
        <v>1233</v>
      </c>
      <c r="W105" s="34" t="s">
        <v>1187</v>
      </c>
      <c r="X105" s="34" t="s">
        <v>958</v>
      </c>
      <c r="Y105" s="34" t="s">
        <v>959</v>
      </c>
      <c r="Z105" s="34" t="s">
        <v>1327</v>
      </c>
      <c r="AA105" s="34" t="s">
        <v>1328</v>
      </c>
      <c r="AB105" s="33" t="s">
        <v>1334</v>
      </c>
    </row>
    <row r="106" customFormat="false" ht="38.4" hidden="false" customHeight="true" outlineLevel="0" collapsed="false">
      <c r="A106" s="95" t="s">
        <v>1335</v>
      </c>
      <c r="B106" s="96" t="s">
        <v>821</v>
      </c>
      <c r="C106" s="96" t="s">
        <v>892</v>
      </c>
      <c r="D106" s="97" t="s">
        <v>1336</v>
      </c>
      <c r="E106" s="98" t="n">
        <v>0</v>
      </c>
      <c r="F106" s="98" t="n">
        <v>0</v>
      </c>
      <c r="G106" s="98" t="n">
        <v>0</v>
      </c>
      <c r="H106" s="98" t="n">
        <v>0</v>
      </c>
      <c r="I106" s="99" t="s">
        <v>824</v>
      </c>
      <c r="J106" s="100" t="s">
        <v>1337</v>
      </c>
      <c r="K106" s="101" t="n">
        <v>46321</v>
      </c>
      <c r="L106" s="96" t="s">
        <v>1230</v>
      </c>
      <c r="M106" s="96" t="str">
        <f aca="false">IF(S106&lt;&gt;"匹配","缺范围任务",IF(I106="通过",IF(AND(J106&lt;&gt;"",ISNUMBER(K106),K106&gt;=DATE(2026,10,26)),"已验收","缺证据或日期"),IF(I106="","缺状态","待复核")))</f>
        <v>已验收</v>
      </c>
      <c r="N106" s="33" t="s">
        <v>157</v>
      </c>
      <c r="O106" s="33" t="s">
        <v>1333</v>
      </c>
      <c r="P106" s="102" t="n">
        <v>0</v>
      </c>
      <c r="Q106" s="102" t="n">
        <v>0</v>
      </c>
      <c r="R106" s="102" t="n">
        <v>0</v>
      </c>
      <c r="S106" s="34" t="str">
        <f aca="false">IF(AND(A106&lt;&gt;"",N106&lt;&gt;"",COUNTIFS(首批固定任务!$A$2:$A$109,A106,首批固定任务!$N$2:$N$109,N106)=1,COUNTIFS($A$2:$A$109,A106)=1),"匹配","缺范围或重复")</f>
        <v>匹配</v>
      </c>
      <c r="T106" s="34" t="s">
        <v>1232</v>
      </c>
      <c r="U106" s="102" t="n">
        <v>0</v>
      </c>
      <c r="V106" s="34" t="s">
        <v>1233</v>
      </c>
      <c r="W106" s="34" t="s">
        <v>1187</v>
      </c>
      <c r="X106" s="34" t="s">
        <v>958</v>
      </c>
      <c r="Y106" s="34" t="s">
        <v>959</v>
      </c>
      <c r="Z106" s="34" t="s">
        <v>1327</v>
      </c>
      <c r="AA106" s="34" t="s">
        <v>1328</v>
      </c>
      <c r="AB106" s="33" t="s">
        <v>1338</v>
      </c>
    </row>
    <row r="107" customFormat="false" ht="51.6" hidden="false" customHeight="true" outlineLevel="0" collapsed="false">
      <c r="A107" s="95" t="s">
        <v>1339</v>
      </c>
      <c r="B107" s="96" t="s">
        <v>1340</v>
      </c>
      <c r="C107" s="96" t="s">
        <v>892</v>
      </c>
      <c r="D107" s="97" t="s">
        <v>1341</v>
      </c>
      <c r="E107" s="98" t="n">
        <v>0</v>
      </c>
      <c r="F107" s="98" t="n">
        <v>0</v>
      </c>
      <c r="G107" s="98" t="n">
        <v>0</v>
      </c>
      <c r="H107" s="98" t="n">
        <v>0</v>
      </c>
      <c r="I107" s="99" t="s">
        <v>824</v>
      </c>
      <c r="J107" s="100" t="s">
        <v>1342</v>
      </c>
      <c r="K107" s="101" t="n">
        <v>46321</v>
      </c>
      <c r="L107" s="96" t="s">
        <v>1230</v>
      </c>
      <c r="M107" s="96" t="str">
        <f aca="false">IF(S107&lt;&gt;"匹配","缺范围任务",IF(I107="通过",IF(AND(J107&lt;&gt;"",ISNUMBER(K107),K107&gt;=DATE(2026,10,26)),"已验收","缺证据或日期"),IF(I107="","缺状态","待复核")))</f>
        <v>已验收</v>
      </c>
      <c r="N107" s="33" t="s">
        <v>157</v>
      </c>
      <c r="O107" s="33" t="s">
        <v>1343</v>
      </c>
      <c r="P107" s="102" t="n">
        <v>0</v>
      </c>
      <c r="Q107" s="102" t="n">
        <v>0</v>
      </c>
      <c r="R107" s="102" t="n">
        <v>0</v>
      </c>
      <c r="S107" s="34" t="str">
        <f aca="false">IF(AND(A107&lt;&gt;"",N107&lt;&gt;"",COUNTIFS(首批固定任务!$A$2:$A$109,A107,首批固定任务!$N$2:$N$109,N107)=1,COUNTIFS($A$2:$A$109,A107)=1),"匹配","缺范围或重复")</f>
        <v>匹配</v>
      </c>
      <c r="T107" s="34" t="s">
        <v>1232</v>
      </c>
      <c r="U107" s="102" t="n">
        <v>0</v>
      </c>
      <c r="V107" s="34" t="s">
        <v>1233</v>
      </c>
      <c r="W107" s="34" t="s">
        <v>1187</v>
      </c>
      <c r="X107" s="34" t="s">
        <v>958</v>
      </c>
      <c r="Y107" s="34" t="s">
        <v>959</v>
      </c>
      <c r="Z107" s="34" t="s">
        <v>1327</v>
      </c>
      <c r="AA107" s="34" t="s">
        <v>1328</v>
      </c>
      <c r="AB107" s="33" t="s">
        <v>1344</v>
      </c>
    </row>
    <row r="108" customFormat="false" ht="38.4" hidden="false" customHeight="true" outlineLevel="0" collapsed="false">
      <c r="A108" s="95" t="s">
        <v>1345</v>
      </c>
      <c r="B108" s="96" t="s">
        <v>821</v>
      </c>
      <c r="C108" s="96" t="s">
        <v>892</v>
      </c>
      <c r="D108" s="97" t="s">
        <v>1346</v>
      </c>
      <c r="E108" s="98" t="n">
        <v>0</v>
      </c>
      <c r="F108" s="98" t="n">
        <v>0</v>
      </c>
      <c r="G108" s="98" t="n">
        <v>0</v>
      </c>
      <c r="H108" s="98" t="n">
        <v>0</v>
      </c>
      <c r="I108" s="99" t="s">
        <v>824</v>
      </c>
      <c r="J108" s="100" t="s">
        <v>1347</v>
      </c>
      <c r="K108" s="101" t="n">
        <v>46321</v>
      </c>
      <c r="L108" s="96" t="s">
        <v>1230</v>
      </c>
      <c r="M108" s="96" t="str">
        <f aca="false">IF(S108&lt;&gt;"匹配","缺范围任务",IF(I108="通过",IF(AND(J108&lt;&gt;"",ISNUMBER(K108),K108&gt;=DATE(2026,10,26)),"已验收","缺证据或日期"),IF(I108="","缺状态","待复核")))</f>
        <v>已验收</v>
      </c>
      <c r="N108" s="33" t="s">
        <v>159</v>
      </c>
      <c r="O108" s="33" t="s">
        <v>1333</v>
      </c>
      <c r="P108" s="102" t="n">
        <v>0</v>
      </c>
      <c r="Q108" s="102" t="n">
        <v>0</v>
      </c>
      <c r="R108" s="102" t="n">
        <v>0</v>
      </c>
      <c r="S108" s="34" t="str">
        <f aca="false">IF(AND(A108&lt;&gt;"",N108&lt;&gt;"",COUNTIFS(首批固定任务!$A$2:$A$109,A108,首批固定任务!$N$2:$N$109,N108)=1,COUNTIFS($A$2:$A$109,A108)=1),"匹配","缺范围或重复")</f>
        <v>匹配</v>
      </c>
      <c r="T108" s="34" t="s">
        <v>1232</v>
      </c>
      <c r="U108" s="102" t="n">
        <v>0</v>
      </c>
      <c r="V108" s="34" t="s">
        <v>1233</v>
      </c>
      <c r="W108" s="34" t="s">
        <v>1187</v>
      </c>
      <c r="X108" s="34" t="s">
        <v>958</v>
      </c>
      <c r="Y108" s="34" t="s">
        <v>959</v>
      </c>
      <c r="Z108" s="34" t="s">
        <v>1348</v>
      </c>
      <c r="AA108" s="34" t="s">
        <v>1349</v>
      </c>
      <c r="AB108" s="33" t="s">
        <v>1334</v>
      </c>
    </row>
    <row r="109" customFormat="false" ht="38.4" hidden="false" customHeight="true" outlineLevel="0" collapsed="false">
      <c r="A109" s="95" t="s">
        <v>1350</v>
      </c>
      <c r="B109" s="96" t="s">
        <v>821</v>
      </c>
      <c r="C109" s="96" t="s">
        <v>892</v>
      </c>
      <c r="D109" s="97" t="s">
        <v>1351</v>
      </c>
      <c r="E109" s="98" t="n">
        <v>0</v>
      </c>
      <c r="F109" s="98" t="n">
        <v>0</v>
      </c>
      <c r="G109" s="98" t="n">
        <v>0</v>
      </c>
      <c r="H109" s="98" t="n">
        <v>0</v>
      </c>
      <c r="I109" s="99" t="s">
        <v>824</v>
      </c>
      <c r="J109" s="100" t="s">
        <v>1352</v>
      </c>
      <c r="K109" s="101" t="n">
        <v>46321</v>
      </c>
      <c r="L109" s="96" t="s">
        <v>1230</v>
      </c>
      <c r="M109" s="96" t="str">
        <f aca="false">IF(S109&lt;&gt;"匹配","缺范围任务",IF(I109="通过",IF(AND(J109&lt;&gt;"",ISNUMBER(K109),K109&gt;=DATE(2026,10,26)),"已验收","缺证据或日期"),IF(I109="","缺状态","待复核")))</f>
        <v>已验收</v>
      </c>
      <c r="N109" s="33" t="s">
        <v>159</v>
      </c>
      <c r="O109" s="33" t="s">
        <v>1333</v>
      </c>
      <c r="P109" s="102" t="n">
        <v>0</v>
      </c>
      <c r="Q109" s="102" t="n">
        <v>0</v>
      </c>
      <c r="R109" s="102" t="n">
        <v>0</v>
      </c>
      <c r="S109" s="34" t="str">
        <f aca="false">IF(AND(A109&lt;&gt;"",N109&lt;&gt;"",COUNTIFS(首批固定任务!$A$2:$A$109,A109,首批固定任务!$N$2:$N$109,N109)=1,COUNTIFS($A$2:$A$109,A109)=1),"匹配","缺范围或重复")</f>
        <v>匹配</v>
      </c>
      <c r="T109" s="34" t="s">
        <v>1232</v>
      </c>
      <c r="U109" s="102" t="n">
        <v>0</v>
      </c>
      <c r="V109" s="34" t="s">
        <v>1233</v>
      </c>
      <c r="W109" s="34" t="s">
        <v>1187</v>
      </c>
      <c r="X109" s="34" t="s">
        <v>958</v>
      </c>
      <c r="Y109" s="34" t="s">
        <v>959</v>
      </c>
      <c r="Z109" s="34" t="s">
        <v>1348</v>
      </c>
      <c r="AA109" s="34" t="s">
        <v>1349</v>
      </c>
      <c r="AB109" s="33" t="s">
        <v>1338</v>
      </c>
    </row>
  </sheetData>
  <conditionalFormatting sqref="I2:I13">
    <cfRule type="containsText" priority="2" operator="containsText" aboveAverage="0" equalAverage="0" bottom="0" percent="0" rank="0" text="通过" dxfId="9">
      <formula>NOT(ISERROR(SEARCH("通过",I2)))</formula>
    </cfRule>
    <cfRule type="containsText" priority="3" operator="containsText" aboveAverage="0" equalAverage="0" bottom="0" percent="0" rank="0" text="需修正" dxfId="10">
      <formula>NOT(ISERROR(SEARCH("需修正",I2)))</formula>
    </cfRule>
  </conditionalFormatting>
  <conditionalFormatting sqref="M2:M13">
    <cfRule type="containsText" priority="4" operator="containsText" aboveAverage="0" equalAverage="0" bottom="0" percent="0" rank="0" text="缺" dxfId="11">
      <formula>NOT(ISERROR(SEARCH("缺",M2)))</formula>
    </cfRule>
  </conditionalFormatting>
  <conditionalFormatting sqref="M2:M24">
    <cfRule type="containsText" priority="5" operator="containsText" aboveAverage="0" equalAverage="0" bottom="0" percent="0" rank="0" text="缺" dxfId="12">
      <formula>NOT(ISERROR(SEARCH("缺",M2)))</formula>
    </cfRule>
  </conditionalFormatting>
  <conditionalFormatting sqref="S2:S24">
    <cfRule type="containsText" priority="6" operator="containsText" aboveAverage="0" equalAverage="0" bottom="0" percent="0" rank="0" text="缺" dxfId="13">
      <formula>NOT(ISERROR(SEARCH("缺",S2)))</formula>
    </cfRule>
  </conditionalFormatting>
  <conditionalFormatting sqref="M25:M68">
    <cfRule type="containsText" priority="7" operator="containsText" aboveAverage="0" equalAverage="0" bottom="0" percent="0" rank="0" text="缺" dxfId="14">
      <formula>NOT(ISERROR(SEARCH("缺",M25)))</formula>
    </cfRule>
  </conditionalFormatting>
  <conditionalFormatting sqref="S25:S68">
    <cfRule type="containsText" priority="8" operator="containsText" aboveAverage="0" equalAverage="0" bottom="0" percent="0" rank="0" text="缺" dxfId="15">
      <formula>NOT(ISERROR(SEARCH("缺",S25)))</formula>
    </cfRule>
  </conditionalFormatting>
  <conditionalFormatting sqref="M69:M109">
    <cfRule type="containsText" priority="9" operator="containsText" aboveAverage="0" equalAverage="0" bottom="0" percent="0" rank="0" text="缺" dxfId="16">
      <formula>NOT(ISERROR(SEARCH("缺",M69)))</formula>
    </cfRule>
  </conditionalFormatting>
  <conditionalFormatting sqref="S69:S109">
    <cfRule type="containsText" priority="10" operator="containsText" aboveAverage="0" equalAverage="0" bottom="0" percent="0" rank="0" text="缺" dxfId="17">
      <formula>NOT(ISERROR(SEARCH("缺",S69)))</formula>
    </cfRule>
  </conditionalFormatting>
  <dataValidations count="3">
    <dataValidation allowBlank="false" errorStyle="stop" operator="between" showDropDown="false" showErrorMessage="false" showInputMessage="false" sqref="I2:I24" type="list">
      <formula1>"待复核,通过,需修正"</formula1>
      <formula2>0</formula2>
    </dataValidation>
    <dataValidation allowBlank="false" errorStyle="stop" operator="between" showDropDown="false" showErrorMessage="false" showInputMessage="false" sqref="I25:I68" type="list">
      <formula1>"待复核,通过,需修正"</formula1>
      <formula2>0</formula2>
    </dataValidation>
    <dataValidation allowBlank="false" errorStyle="stop" operator="between" showDropDown="false" showErrorMessage="false" showInputMessage="false" sqref="I69:I109" type="list">
      <formula1>"待复核,通过,需修正"</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10"/>
    <col collapsed="false" customWidth="true" hidden="false" outlineLevel="0" max="3" min="3" style="0" width="24"/>
    <col collapsed="false" customWidth="true" hidden="false" outlineLevel="0" max="4" min="4" style="0" width="43"/>
    <col collapsed="false" customWidth="true" hidden="false" outlineLevel="0" max="5" min="5" style="0" width="28"/>
    <col collapsed="false" customWidth="true" hidden="false" outlineLevel="0" max="6" min="6" style="0" width="16"/>
    <col collapsed="false" customWidth="true" hidden="false" outlineLevel="0" max="7" min="7" style="0" width="55"/>
    <col collapsed="false" customWidth="true" hidden="false" outlineLevel="0" max="8" min="8" style="0" width="13"/>
    <col collapsed="false" customWidth="true" hidden="false" outlineLevel="0" max="9" min="9" style="0" width="55"/>
    <col collapsed="false" customWidth="true" hidden="false" outlineLevel="0" max="10" min="10" style="0" width="18"/>
    <col collapsed="false" customWidth="true" hidden="false" outlineLevel="0" max="11" min="11" style="0" width="45"/>
    <col collapsed="false" customWidth="true" hidden="false" outlineLevel="0" max="12" min="12" style="0" width="14"/>
    <col collapsed="false" customWidth="true" hidden="false" outlineLevel="0" max="13" min="13" style="0" width="17"/>
    <col collapsed="false" customWidth="true" hidden="false" outlineLevel="0" max="14" min="14" style="0" width="10"/>
  </cols>
  <sheetData>
    <row r="1" customFormat="false" ht="36" hidden="false" customHeight="true" outlineLevel="0" collapsed="false">
      <c r="A1" s="69" t="s">
        <v>796</v>
      </c>
      <c r="B1" s="69" t="s">
        <v>797</v>
      </c>
      <c r="C1" s="69" t="s">
        <v>809</v>
      </c>
      <c r="D1" s="69" t="s">
        <v>1353</v>
      </c>
      <c r="E1" s="69" t="s">
        <v>1354</v>
      </c>
      <c r="F1" s="69" t="s">
        <v>1355</v>
      </c>
      <c r="G1" s="69" t="s">
        <v>1356</v>
      </c>
      <c r="H1" s="69" t="s">
        <v>1357</v>
      </c>
      <c r="I1" s="69" t="s">
        <v>1358</v>
      </c>
      <c r="J1" s="69" t="s">
        <v>1359</v>
      </c>
      <c r="K1" s="69" t="s">
        <v>1360</v>
      </c>
      <c r="L1" s="69" t="s">
        <v>1361</v>
      </c>
      <c r="M1" s="69" t="s">
        <v>1362</v>
      </c>
      <c r="N1" s="26" t="s">
        <v>52</v>
      </c>
    </row>
    <row r="2" customFormat="false" ht="40" hidden="false" customHeight="true" outlineLevel="0" collapsed="false">
      <c r="A2" s="70" t="s">
        <v>820</v>
      </c>
      <c r="B2" s="71" t="s">
        <v>821</v>
      </c>
      <c r="C2" s="70" t="s">
        <v>1363</v>
      </c>
      <c r="D2" s="71" t="s">
        <v>1364</v>
      </c>
      <c r="E2" s="70" t="s">
        <v>836</v>
      </c>
      <c r="F2" s="71" t="s">
        <v>31</v>
      </c>
      <c r="G2" s="71" t="s">
        <v>1365</v>
      </c>
      <c r="H2" s="103" t="s">
        <v>1366</v>
      </c>
      <c r="I2" s="71" t="s">
        <v>1367</v>
      </c>
      <c r="J2" s="70" t="s">
        <v>1368</v>
      </c>
      <c r="K2" s="70"/>
      <c r="L2" s="74"/>
      <c r="M2" s="71" t="str">
        <f aca="false">IF(H2="已验收",IF(AND(K2&lt;&gt;"",ISNUMBER(L2)),"已验收","缺证据或日期"),IF(H2="","缺状态","未验收"))</f>
        <v>未验收</v>
      </c>
      <c r="N2" s="19" t="s">
        <v>827</v>
      </c>
    </row>
    <row r="3" customFormat="false" ht="40" hidden="false" customHeight="true" outlineLevel="0" collapsed="false">
      <c r="A3" s="76" t="s">
        <v>837</v>
      </c>
      <c r="B3" s="77" t="s">
        <v>821</v>
      </c>
      <c r="C3" s="76" t="s">
        <v>1369</v>
      </c>
      <c r="D3" s="77" t="s">
        <v>1370</v>
      </c>
      <c r="E3" s="76" t="s">
        <v>842</v>
      </c>
      <c r="F3" s="77" t="s">
        <v>31</v>
      </c>
      <c r="G3" s="77" t="s">
        <v>1365</v>
      </c>
      <c r="H3" s="103" t="s">
        <v>1366</v>
      </c>
      <c r="I3" s="77" t="s">
        <v>1367</v>
      </c>
      <c r="J3" s="76" t="s">
        <v>1371</v>
      </c>
      <c r="K3" s="70"/>
      <c r="L3" s="74"/>
      <c r="M3" s="71" t="str">
        <f aca="false">IF(H3="已验收",IF(AND(K3&lt;&gt;"",ISNUMBER(L3)),"已验收","缺证据或日期"),IF(H3="","缺状态","未验收"))</f>
        <v>未验收</v>
      </c>
      <c r="N3" s="19" t="s">
        <v>827</v>
      </c>
    </row>
    <row r="4" customFormat="false" ht="40" hidden="false" customHeight="true" outlineLevel="0" collapsed="false">
      <c r="A4" s="70" t="s">
        <v>843</v>
      </c>
      <c r="B4" s="71" t="s">
        <v>821</v>
      </c>
      <c r="C4" s="70" t="s">
        <v>1372</v>
      </c>
      <c r="D4" s="70" t="s">
        <v>1373</v>
      </c>
      <c r="E4" s="70" t="s">
        <v>847</v>
      </c>
      <c r="F4" s="71" t="s">
        <v>31</v>
      </c>
      <c r="G4" s="71" t="s">
        <v>1365</v>
      </c>
      <c r="H4" s="103" t="s">
        <v>1366</v>
      </c>
      <c r="I4" s="71" t="s">
        <v>1367</v>
      </c>
      <c r="J4" s="70" t="s">
        <v>1374</v>
      </c>
      <c r="K4" s="70"/>
      <c r="L4" s="74"/>
      <c r="M4" s="71" t="str">
        <f aca="false">IF(H4="已验收",IF(AND(K4&lt;&gt;"",ISNUMBER(L4)),"已验收","缺证据或日期"),IF(H4="","缺状态","未验收"))</f>
        <v>未验收</v>
      </c>
      <c r="N4" s="19" t="s">
        <v>827</v>
      </c>
    </row>
    <row r="5" customFormat="false" ht="40" hidden="false" customHeight="true" outlineLevel="0" collapsed="false">
      <c r="A5" s="76" t="s">
        <v>848</v>
      </c>
      <c r="B5" s="77" t="s">
        <v>821</v>
      </c>
      <c r="C5" s="76" t="s">
        <v>1375</v>
      </c>
      <c r="D5" s="77" t="s">
        <v>1376</v>
      </c>
      <c r="E5" s="76" t="s">
        <v>852</v>
      </c>
      <c r="F5" s="77" t="s">
        <v>31</v>
      </c>
      <c r="G5" s="77" t="s">
        <v>1365</v>
      </c>
      <c r="H5" s="103" t="s">
        <v>1366</v>
      </c>
      <c r="I5" s="77" t="s">
        <v>1367</v>
      </c>
      <c r="J5" s="76" t="s">
        <v>1377</v>
      </c>
      <c r="K5" s="70"/>
      <c r="L5" s="74"/>
      <c r="M5" s="71" t="str">
        <f aca="false">IF(H5="已验收",IF(AND(K5&lt;&gt;"",ISNUMBER(L5)),"已验收","缺证据或日期"),IF(H5="","缺状态","未验收"))</f>
        <v>未验收</v>
      </c>
      <c r="N5" s="19" t="s">
        <v>827</v>
      </c>
    </row>
    <row r="6" customFormat="false" ht="40" hidden="false" customHeight="true" outlineLevel="0" collapsed="false">
      <c r="A6" s="70" t="s">
        <v>853</v>
      </c>
      <c r="B6" s="71" t="s">
        <v>854</v>
      </c>
      <c r="C6" s="70" t="s">
        <v>858</v>
      </c>
      <c r="D6" s="70" t="s">
        <v>1378</v>
      </c>
      <c r="E6" s="70" t="s">
        <v>859</v>
      </c>
      <c r="F6" s="71" t="s">
        <v>33</v>
      </c>
      <c r="G6" s="71" t="s">
        <v>1379</v>
      </c>
      <c r="H6" s="103" t="s">
        <v>1366</v>
      </c>
      <c r="I6" s="71" t="s">
        <v>1380</v>
      </c>
      <c r="J6" s="70" t="s">
        <v>1381</v>
      </c>
      <c r="K6" s="70"/>
      <c r="L6" s="74"/>
      <c r="M6" s="71" t="str">
        <f aca="false">IF(H6="已验收",IF(AND(K6&lt;&gt;"",ISNUMBER(L6)),"已验收","缺证据或日期"),IF(H6="","缺状态","未验收"))</f>
        <v>未验收</v>
      </c>
      <c r="N6" s="19" t="s">
        <v>827</v>
      </c>
    </row>
    <row r="7" customFormat="false" ht="40" hidden="false" customHeight="true" outlineLevel="0" collapsed="false">
      <c r="A7" s="76" t="s">
        <v>860</v>
      </c>
      <c r="B7" s="77" t="s">
        <v>854</v>
      </c>
      <c r="C7" s="76" t="s">
        <v>858</v>
      </c>
      <c r="D7" s="76" t="s">
        <v>1382</v>
      </c>
      <c r="E7" s="76" t="s">
        <v>864</v>
      </c>
      <c r="F7" s="77" t="s">
        <v>35</v>
      </c>
      <c r="G7" s="77" t="s">
        <v>1383</v>
      </c>
      <c r="H7" s="103" t="s">
        <v>1366</v>
      </c>
      <c r="I7" s="77" t="s">
        <v>1384</v>
      </c>
      <c r="J7" s="76" t="s">
        <v>1385</v>
      </c>
      <c r="K7" s="70"/>
      <c r="L7" s="74"/>
      <c r="M7" s="71" t="str">
        <f aca="false">IF(H7="已验收",IF(AND(K7&lt;&gt;"",ISNUMBER(L7)),"已验收","缺证据或日期"),IF(H7="","缺状态","未验收"))</f>
        <v>未验收</v>
      </c>
      <c r="N7" s="19" t="s">
        <v>827</v>
      </c>
    </row>
    <row r="8" customFormat="false" ht="40" hidden="false" customHeight="true" outlineLevel="0" collapsed="false">
      <c r="A8" s="70" t="s">
        <v>865</v>
      </c>
      <c r="B8" s="71" t="s">
        <v>854</v>
      </c>
      <c r="C8" s="70" t="s">
        <v>869</v>
      </c>
      <c r="D8" s="70" t="s">
        <v>1386</v>
      </c>
      <c r="E8" s="70" t="s">
        <v>870</v>
      </c>
      <c r="F8" s="71" t="s">
        <v>37</v>
      </c>
      <c r="G8" s="71" t="s">
        <v>1387</v>
      </c>
      <c r="H8" s="103" t="s">
        <v>1366</v>
      </c>
      <c r="I8" s="71" t="s">
        <v>1388</v>
      </c>
      <c r="J8" s="70" t="s">
        <v>1389</v>
      </c>
      <c r="K8" s="70"/>
      <c r="L8" s="74"/>
      <c r="M8" s="71" t="str">
        <f aca="false">IF(H8="已验收",IF(AND(K8&lt;&gt;"",ISNUMBER(L8)),"已验收","缺证据或日期"),IF(H8="","缺状态","未验收"))</f>
        <v>未验收</v>
      </c>
      <c r="N8" s="19" t="s">
        <v>827</v>
      </c>
    </row>
    <row r="9" customFormat="false" ht="40" hidden="false" customHeight="true" outlineLevel="0" collapsed="false">
      <c r="A9" s="76" t="s">
        <v>871</v>
      </c>
      <c r="B9" s="77" t="s">
        <v>872</v>
      </c>
      <c r="C9" s="76" t="s">
        <v>876</v>
      </c>
      <c r="D9" s="76" t="s">
        <v>1390</v>
      </c>
      <c r="E9" s="76" t="s">
        <v>877</v>
      </c>
      <c r="F9" s="77" t="s">
        <v>37</v>
      </c>
      <c r="G9" s="77" t="s">
        <v>1391</v>
      </c>
      <c r="H9" s="103" t="s">
        <v>1366</v>
      </c>
      <c r="I9" s="77" t="s">
        <v>1392</v>
      </c>
      <c r="J9" s="76" t="s">
        <v>1393</v>
      </c>
      <c r="K9" s="70"/>
      <c r="L9" s="74"/>
      <c r="M9" s="71" t="str">
        <f aca="false">IF(H9="已验收",IF(AND(K9&lt;&gt;"",ISNUMBER(L9)),"已验收","缺证据或日期"),IF(H9="","缺状态","未验收"))</f>
        <v>未验收</v>
      </c>
      <c r="N9" s="19" t="s">
        <v>827</v>
      </c>
    </row>
    <row r="10" customFormat="false" ht="40" hidden="false" customHeight="true" outlineLevel="0" collapsed="false">
      <c r="A10" s="70" t="s">
        <v>878</v>
      </c>
      <c r="B10" s="71" t="s">
        <v>872</v>
      </c>
      <c r="C10" s="70" t="s">
        <v>876</v>
      </c>
      <c r="D10" s="70" t="s">
        <v>1394</v>
      </c>
      <c r="E10" s="70" t="s">
        <v>880</v>
      </c>
      <c r="F10" s="71" t="s">
        <v>37</v>
      </c>
      <c r="G10" s="71" t="s">
        <v>1391</v>
      </c>
      <c r="H10" s="103" t="s">
        <v>1366</v>
      </c>
      <c r="I10" s="71" t="s">
        <v>1392</v>
      </c>
      <c r="J10" s="70" t="s">
        <v>1395</v>
      </c>
      <c r="K10" s="70"/>
      <c r="L10" s="74"/>
      <c r="M10" s="71" t="str">
        <f aca="false">IF(H10="已验收",IF(AND(K10&lt;&gt;"",ISNUMBER(L10)),"已验收","缺证据或日期"),IF(H10="","缺状态","未验收"))</f>
        <v>未验收</v>
      </c>
      <c r="N10" s="19" t="s">
        <v>827</v>
      </c>
    </row>
    <row r="11" customFormat="false" ht="40" hidden="false" customHeight="true" outlineLevel="0" collapsed="false">
      <c r="A11" s="76" t="s">
        <v>881</v>
      </c>
      <c r="B11" s="77" t="s">
        <v>872</v>
      </c>
      <c r="C11" s="76" t="s">
        <v>883</v>
      </c>
      <c r="D11" s="76" t="s">
        <v>1396</v>
      </c>
      <c r="E11" s="76" t="s">
        <v>884</v>
      </c>
      <c r="F11" s="77" t="s">
        <v>37</v>
      </c>
      <c r="G11" s="77" t="s">
        <v>1391</v>
      </c>
      <c r="H11" s="103" t="s">
        <v>1366</v>
      </c>
      <c r="I11" s="77" t="s">
        <v>1392</v>
      </c>
      <c r="J11" s="76" t="s">
        <v>1397</v>
      </c>
      <c r="K11" s="70"/>
      <c r="L11" s="74"/>
      <c r="M11" s="71" t="str">
        <f aca="false">IF(H11="已验收",IF(AND(K11&lt;&gt;"",ISNUMBER(L11)),"已验收","缺证据或日期"),IF(H11="","缺状态","未验收"))</f>
        <v>未验收</v>
      </c>
      <c r="N11" s="19" t="s">
        <v>827</v>
      </c>
    </row>
    <row r="12" customFormat="false" ht="40" hidden="false" customHeight="true" outlineLevel="0" collapsed="false">
      <c r="A12" s="70" t="s">
        <v>885</v>
      </c>
      <c r="B12" s="71" t="s">
        <v>872</v>
      </c>
      <c r="C12" s="70" t="s">
        <v>883</v>
      </c>
      <c r="D12" s="70" t="s">
        <v>1398</v>
      </c>
      <c r="E12" s="70" t="s">
        <v>887</v>
      </c>
      <c r="F12" s="71" t="s">
        <v>37</v>
      </c>
      <c r="G12" s="71" t="s">
        <v>1391</v>
      </c>
      <c r="H12" s="103" t="s">
        <v>1366</v>
      </c>
      <c r="I12" s="71" t="s">
        <v>1392</v>
      </c>
      <c r="J12" s="70" t="s">
        <v>1399</v>
      </c>
      <c r="K12" s="70"/>
      <c r="L12" s="74"/>
      <c r="M12" s="71" t="str">
        <f aca="false">IF(H12="已验收",IF(AND(K12&lt;&gt;"",ISNUMBER(L12)),"已验收","缺证据或日期"),IF(H12="","缺状态","未验收"))</f>
        <v>未验收</v>
      </c>
      <c r="N12" s="19" t="s">
        <v>827</v>
      </c>
    </row>
    <row r="13" customFormat="false" ht="40" hidden="false" customHeight="true" outlineLevel="0" collapsed="false">
      <c r="A13" s="76" t="s">
        <v>888</v>
      </c>
      <c r="B13" s="77" t="s">
        <v>872</v>
      </c>
      <c r="C13" s="76" t="s">
        <v>883</v>
      </c>
      <c r="D13" s="76" t="s">
        <v>1400</v>
      </c>
      <c r="E13" s="76" t="s">
        <v>890</v>
      </c>
      <c r="F13" s="77" t="s">
        <v>37</v>
      </c>
      <c r="G13" s="77" t="s">
        <v>1391</v>
      </c>
      <c r="H13" s="103" t="s">
        <v>1366</v>
      </c>
      <c r="I13" s="77" t="s">
        <v>1392</v>
      </c>
      <c r="J13" s="76" t="s">
        <v>1401</v>
      </c>
      <c r="K13" s="70"/>
      <c r="L13" s="74"/>
      <c r="M13" s="71" t="str">
        <f aca="false">IF(H13="已验收",IF(AND(K13&lt;&gt;"",ISNUMBER(L13)),"已验收","缺证据或日期"),IF(H13="","缺状态","未验收"))</f>
        <v>未验收</v>
      </c>
      <c r="N13" s="19" t="s">
        <v>827</v>
      </c>
    </row>
    <row r="14" customFormat="false" ht="34.4" hidden="false" customHeight="true" outlineLevel="0" collapsed="false">
      <c r="A14" s="81" t="s">
        <v>891</v>
      </c>
      <c r="B14" s="82" t="s">
        <v>872</v>
      </c>
      <c r="C14" s="81" t="s">
        <v>883</v>
      </c>
      <c r="D14" s="86" t="s">
        <v>1402</v>
      </c>
      <c r="E14" s="81" t="s">
        <v>898</v>
      </c>
      <c r="F14" s="82" t="s">
        <v>1403</v>
      </c>
      <c r="G14" s="82" t="s">
        <v>1404</v>
      </c>
      <c r="H14" s="104" t="s">
        <v>1366</v>
      </c>
      <c r="I14" s="82" t="s">
        <v>1405</v>
      </c>
      <c r="J14" s="81" t="s">
        <v>1406</v>
      </c>
      <c r="K14" s="81"/>
      <c r="L14" s="85"/>
      <c r="M14" s="86" t="str">
        <f aca="false">IF(H14="已验收",IF(AND(K14&lt;&gt;"",ISNUMBER(L14)),"已验收","缺证据或日期"),IF(H14="","缺状态","未验收"))</f>
        <v>未验收</v>
      </c>
      <c r="N14" s="19" t="s">
        <v>896</v>
      </c>
    </row>
    <row r="15" customFormat="false" ht="34.4" hidden="false" customHeight="true" outlineLevel="0" collapsed="false">
      <c r="A15" s="81" t="s">
        <v>899</v>
      </c>
      <c r="B15" s="82" t="s">
        <v>872</v>
      </c>
      <c r="C15" s="81" t="s">
        <v>876</v>
      </c>
      <c r="D15" s="86" t="s">
        <v>1407</v>
      </c>
      <c r="E15" s="81" t="s">
        <v>902</v>
      </c>
      <c r="F15" s="82" t="s">
        <v>37</v>
      </c>
      <c r="G15" s="82" t="s">
        <v>1404</v>
      </c>
      <c r="H15" s="104" t="s">
        <v>1366</v>
      </c>
      <c r="I15" s="82" t="s">
        <v>1405</v>
      </c>
      <c r="J15" s="81" t="s">
        <v>1408</v>
      </c>
      <c r="K15" s="81"/>
      <c r="L15" s="85"/>
      <c r="M15" s="86" t="str">
        <f aca="false">IF(H15="已验收",IF(AND(K15&lt;&gt;"",ISNUMBER(L15)),"已验收","缺证据或日期"),IF(H15="","缺状态","未验收"))</f>
        <v>未验收</v>
      </c>
      <c r="N15" s="19" t="s">
        <v>896</v>
      </c>
    </row>
    <row r="16" customFormat="false" ht="34.4" hidden="false" customHeight="true" outlineLevel="0" collapsed="false">
      <c r="A16" s="81" t="s">
        <v>903</v>
      </c>
      <c r="B16" s="82" t="s">
        <v>872</v>
      </c>
      <c r="C16" s="81" t="s">
        <v>883</v>
      </c>
      <c r="D16" s="86" t="s">
        <v>1409</v>
      </c>
      <c r="E16" s="81" t="s">
        <v>906</v>
      </c>
      <c r="F16" s="82" t="s">
        <v>37</v>
      </c>
      <c r="G16" s="82" t="s">
        <v>1404</v>
      </c>
      <c r="H16" s="104" t="s">
        <v>1366</v>
      </c>
      <c r="I16" s="82" t="s">
        <v>1405</v>
      </c>
      <c r="J16" s="81" t="s">
        <v>1410</v>
      </c>
      <c r="K16" s="81"/>
      <c r="L16" s="85"/>
      <c r="M16" s="86" t="str">
        <f aca="false">IF(H16="已验收",IF(AND(K16&lt;&gt;"",ISNUMBER(L16)),"已验收","缺证据或日期"),IF(H16="","缺状态","未验收"))</f>
        <v>未验收</v>
      </c>
      <c r="N16" s="19" t="s">
        <v>896</v>
      </c>
    </row>
    <row r="17" customFormat="false" ht="34.4" hidden="false" customHeight="true" outlineLevel="0" collapsed="false">
      <c r="A17" s="81" t="s">
        <v>907</v>
      </c>
      <c r="B17" s="82" t="s">
        <v>872</v>
      </c>
      <c r="C17" s="81" t="s">
        <v>876</v>
      </c>
      <c r="D17" s="86" t="s">
        <v>1411</v>
      </c>
      <c r="E17" s="81" t="s">
        <v>910</v>
      </c>
      <c r="F17" s="82" t="s">
        <v>37</v>
      </c>
      <c r="G17" s="82" t="s">
        <v>1404</v>
      </c>
      <c r="H17" s="104" t="s">
        <v>1366</v>
      </c>
      <c r="I17" s="82" t="s">
        <v>1405</v>
      </c>
      <c r="J17" s="81" t="s">
        <v>1412</v>
      </c>
      <c r="K17" s="81"/>
      <c r="L17" s="85"/>
      <c r="M17" s="86" t="str">
        <f aca="false">IF(H17="已验收",IF(AND(K17&lt;&gt;"",ISNUMBER(L17)),"已验收","缺证据或日期"),IF(H17="","缺状态","未验收"))</f>
        <v>未验收</v>
      </c>
      <c r="N17" s="19" t="s">
        <v>896</v>
      </c>
    </row>
    <row r="18" customFormat="false" ht="34.4" hidden="false" customHeight="true" outlineLevel="0" collapsed="false">
      <c r="A18" s="81" t="s">
        <v>911</v>
      </c>
      <c r="B18" s="82" t="s">
        <v>872</v>
      </c>
      <c r="C18" s="81" t="s">
        <v>876</v>
      </c>
      <c r="D18" s="86" t="s">
        <v>1413</v>
      </c>
      <c r="E18" s="81" t="s">
        <v>914</v>
      </c>
      <c r="F18" s="82" t="s">
        <v>37</v>
      </c>
      <c r="G18" s="82" t="s">
        <v>1404</v>
      </c>
      <c r="H18" s="104" t="s">
        <v>1366</v>
      </c>
      <c r="I18" s="82" t="s">
        <v>1405</v>
      </c>
      <c r="J18" s="81" t="s">
        <v>1414</v>
      </c>
      <c r="K18" s="81"/>
      <c r="L18" s="85"/>
      <c r="M18" s="86" t="str">
        <f aca="false">IF(H18="已验收",IF(AND(K18&lt;&gt;"",ISNUMBER(L18)),"已验收","缺证据或日期"),IF(H18="","缺状态","未验收"))</f>
        <v>未验收</v>
      </c>
      <c r="N18" s="19" t="s">
        <v>896</v>
      </c>
    </row>
    <row r="19" customFormat="false" ht="47.6" hidden="false" customHeight="true" outlineLevel="0" collapsed="false">
      <c r="A19" s="81" t="s">
        <v>915</v>
      </c>
      <c r="B19" s="82" t="s">
        <v>821</v>
      </c>
      <c r="C19" s="81" t="s">
        <v>919</v>
      </c>
      <c r="D19" s="82" t="s">
        <v>1415</v>
      </c>
      <c r="E19" s="81" t="s">
        <v>921</v>
      </c>
      <c r="F19" s="82" t="s">
        <v>31</v>
      </c>
      <c r="G19" s="82" t="s">
        <v>1416</v>
      </c>
      <c r="H19" s="104" t="s">
        <v>1366</v>
      </c>
      <c r="I19" s="82" t="s">
        <v>1417</v>
      </c>
      <c r="J19" s="81" t="s">
        <v>1418</v>
      </c>
      <c r="K19" s="81"/>
      <c r="L19" s="85"/>
      <c r="M19" s="86" t="str">
        <f aca="false">IF(H19="已验收",IF(AND(K19&lt;&gt;"",ISNUMBER(L19)),"已验收","缺证据或日期"),IF(H19="","缺状态","未验收"))</f>
        <v>未验收</v>
      </c>
      <c r="N19" s="19" t="s">
        <v>896</v>
      </c>
    </row>
    <row r="20" customFormat="false" ht="47.6" hidden="false" customHeight="true" outlineLevel="0" collapsed="false">
      <c r="A20" s="81" t="s">
        <v>922</v>
      </c>
      <c r="B20" s="82" t="s">
        <v>821</v>
      </c>
      <c r="C20" s="81" t="s">
        <v>925</v>
      </c>
      <c r="D20" s="82" t="s">
        <v>1419</v>
      </c>
      <c r="E20" s="81" t="s">
        <v>926</v>
      </c>
      <c r="F20" s="82" t="s">
        <v>31</v>
      </c>
      <c r="G20" s="82" t="s">
        <v>1416</v>
      </c>
      <c r="H20" s="104" t="s">
        <v>1366</v>
      </c>
      <c r="I20" s="82" t="s">
        <v>1417</v>
      </c>
      <c r="J20" s="81" t="s">
        <v>1420</v>
      </c>
      <c r="K20" s="81"/>
      <c r="L20" s="85"/>
      <c r="M20" s="86" t="str">
        <f aca="false">IF(H20="已验收",IF(AND(K20&lt;&gt;"",ISNUMBER(L20)),"已验收","缺证据或日期"),IF(H20="","缺状态","未验收"))</f>
        <v>未验收</v>
      </c>
      <c r="N20" s="19" t="s">
        <v>896</v>
      </c>
    </row>
    <row r="21" customFormat="false" ht="47.6" hidden="false" customHeight="true" outlineLevel="0" collapsed="false">
      <c r="A21" s="81" t="s">
        <v>927</v>
      </c>
      <c r="B21" s="82" t="s">
        <v>821</v>
      </c>
      <c r="C21" s="81" t="s">
        <v>930</v>
      </c>
      <c r="D21" s="86" t="s">
        <v>1421</v>
      </c>
      <c r="E21" s="81" t="s">
        <v>931</v>
      </c>
      <c r="F21" s="82" t="s">
        <v>31</v>
      </c>
      <c r="G21" s="82" t="s">
        <v>1416</v>
      </c>
      <c r="H21" s="104" t="s">
        <v>1366</v>
      </c>
      <c r="I21" s="82" t="s">
        <v>1417</v>
      </c>
      <c r="J21" s="81" t="s">
        <v>1422</v>
      </c>
      <c r="K21" s="81"/>
      <c r="L21" s="85"/>
      <c r="M21" s="86" t="str">
        <f aca="false">IF(H21="已验收",IF(AND(K21&lt;&gt;"",ISNUMBER(L21)),"已验收","缺证据或日期"),IF(H21="","缺状态","未验收"))</f>
        <v>未验收</v>
      </c>
      <c r="N21" s="19" t="s">
        <v>896</v>
      </c>
    </row>
    <row r="22" customFormat="false" ht="47.6" hidden="false" customHeight="true" outlineLevel="0" collapsed="false">
      <c r="A22" s="81" t="s">
        <v>932</v>
      </c>
      <c r="B22" s="82" t="s">
        <v>821</v>
      </c>
      <c r="C22" s="81" t="s">
        <v>935</v>
      </c>
      <c r="D22" s="86" t="s">
        <v>1423</v>
      </c>
      <c r="E22" s="81" t="s">
        <v>936</v>
      </c>
      <c r="F22" s="82" t="s">
        <v>31</v>
      </c>
      <c r="G22" s="82" t="s">
        <v>1416</v>
      </c>
      <c r="H22" s="104" t="s">
        <v>1366</v>
      </c>
      <c r="I22" s="82" t="s">
        <v>1417</v>
      </c>
      <c r="J22" s="81" t="s">
        <v>1424</v>
      </c>
      <c r="K22" s="81"/>
      <c r="L22" s="85"/>
      <c r="M22" s="86" t="str">
        <f aca="false">IF(H22="已验收",IF(AND(K22&lt;&gt;"",ISNUMBER(L22)),"已验收","缺证据或日期"),IF(H22="","缺状态","未验收"))</f>
        <v>未验收</v>
      </c>
      <c r="N22" s="19" t="s">
        <v>896</v>
      </c>
    </row>
    <row r="23" customFormat="false" ht="34.4" hidden="false" customHeight="true" outlineLevel="0" collapsed="false">
      <c r="A23" s="81" t="s">
        <v>937</v>
      </c>
      <c r="B23" s="82" t="s">
        <v>938</v>
      </c>
      <c r="C23" s="81" t="s">
        <v>942</v>
      </c>
      <c r="D23" s="86" t="s">
        <v>1425</v>
      </c>
      <c r="E23" s="81" t="s">
        <v>944</v>
      </c>
      <c r="F23" s="82" t="s">
        <v>1426</v>
      </c>
      <c r="G23" s="82" t="s">
        <v>1427</v>
      </c>
      <c r="H23" s="104" t="s">
        <v>1366</v>
      </c>
      <c r="I23" s="82" t="s">
        <v>1428</v>
      </c>
      <c r="J23" s="81" t="s">
        <v>1429</v>
      </c>
      <c r="K23" s="81"/>
      <c r="L23" s="85"/>
      <c r="M23" s="86" t="str">
        <f aca="false">IF(H23="已验收",IF(AND(K23&lt;&gt;"",ISNUMBER(L23)),"已验收","缺证据或日期"),IF(H23="","缺状态","未验收"))</f>
        <v>未验收</v>
      </c>
      <c r="N23" s="19" t="s">
        <v>896</v>
      </c>
    </row>
    <row r="24" customFormat="false" ht="34.4" hidden="false" customHeight="true" outlineLevel="0" collapsed="false">
      <c r="A24" s="81" t="s">
        <v>945</v>
      </c>
      <c r="B24" s="82" t="s">
        <v>938</v>
      </c>
      <c r="C24" s="81" t="s">
        <v>948</v>
      </c>
      <c r="D24" s="86" t="s">
        <v>1430</v>
      </c>
      <c r="E24" s="81" t="s">
        <v>949</v>
      </c>
      <c r="F24" s="82" t="s">
        <v>1426</v>
      </c>
      <c r="G24" s="82" t="s">
        <v>1427</v>
      </c>
      <c r="H24" s="104" t="s">
        <v>1366</v>
      </c>
      <c r="I24" s="82" t="s">
        <v>1428</v>
      </c>
      <c r="J24" s="81" t="s">
        <v>1431</v>
      </c>
      <c r="K24" s="81"/>
      <c r="L24" s="85"/>
      <c r="M24" s="86" t="str">
        <f aca="false">IF(H24="已验收",IF(AND(K24&lt;&gt;"",ISNUMBER(L24)),"已验收","缺证据或日期"),IF(H24="","缺状态","未验收"))</f>
        <v>未验收</v>
      </c>
      <c r="N24" s="19" t="s">
        <v>896</v>
      </c>
    </row>
    <row r="25" customFormat="false" ht="62.8" hidden="false" customHeight="true" outlineLevel="0" collapsed="false">
      <c r="A25" s="88" t="s">
        <v>950</v>
      </c>
      <c r="B25" s="89" t="s">
        <v>872</v>
      </c>
      <c r="C25" s="88" t="s">
        <v>876</v>
      </c>
      <c r="D25" s="94" t="s">
        <v>1432</v>
      </c>
      <c r="E25" s="88" t="s">
        <v>962</v>
      </c>
      <c r="F25" s="89" t="s">
        <v>1433</v>
      </c>
      <c r="G25" s="89" t="s">
        <v>1434</v>
      </c>
      <c r="H25" s="105" t="s">
        <v>1366</v>
      </c>
      <c r="I25" s="89" t="s">
        <v>1435</v>
      </c>
      <c r="J25" s="88" t="s">
        <v>1436</v>
      </c>
      <c r="K25" s="88"/>
      <c r="L25" s="93"/>
      <c r="M25" s="94" t="str">
        <f aca="false">IF(H25="已验收",IF(AND(K25&lt;&gt;"",ISNUMBER(L25)),"已验收","缺证据或日期"),IF(H25="","缺状态","未验收"))</f>
        <v>未验收</v>
      </c>
      <c r="N25" s="27" t="s">
        <v>954</v>
      </c>
    </row>
    <row r="26" customFormat="false" ht="62.8" hidden="false" customHeight="true" outlineLevel="0" collapsed="false">
      <c r="A26" s="88" t="s">
        <v>963</v>
      </c>
      <c r="B26" s="89" t="s">
        <v>872</v>
      </c>
      <c r="C26" s="88" t="s">
        <v>876</v>
      </c>
      <c r="D26" s="94" t="s">
        <v>1437</v>
      </c>
      <c r="E26" s="88" t="s">
        <v>966</v>
      </c>
      <c r="F26" s="89" t="s">
        <v>1433</v>
      </c>
      <c r="G26" s="89" t="s">
        <v>1434</v>
      </c>
      <c r="H26" s="105" t="s">
        <v>1366</v>
      </c>
      <c r="I26" s="89" t="s">
        <v>1435</v>
      </c>
      <c r="J26" s="88" t="s">
        <v>1438</v>
      </c>
      <c r="K26" s="88"/>
      <c r="L26" s="93"/>
      <c r="M26" s="94" t="str">
        <f aca="false">IF(H26="已验收",IF(AND(K26&lt;&gt;"",ISNUMBER(L26)),"已验收","缺证据或日期"),IF(H26="","缺状态","未验收"))</f>
        <v>未验收</v>
      </c>
      <c r="N26" s="27" t="s">
        <v>954</v>
      </c>
    </row>
    <row r="27" customFormat="false" ht="62.8" hidden="false" customHeight="true" outlineLevel="0" collapsed="false">
      <c r="A27" s="88" t="s">
        <v>967</v>
      </c>
      <c r="B27" s="89" t="s">
        <v>872</v>
      </c>
      <c r="C27" s="88" t="s">
        <v>883</v>
      </c>
      <c r="D27" s="94" t="s">
        <v>1439</v>
      </c>
      <c r="E27" s="88" t="s">
        <v>970</v>
      </c>
      <c r="F27" s="89" t="s">
        <v>1433</v>
      </c>
      <c r="G27" s="89" t="s">
        <v>1434</v>
      </c>
      <c r="H27" s="105" t="s">
        <v>1366</v>
      </c>
      <c r="I27" s="89" t="s">
        <v>1435</v>
      </c>
      <c r="J27" s="88" t="s">
        <v>1440</v>
      </c>
      <c r="K27" s="88"/>
      <c r="L27" s="93"/>
      <c r="M27" s="94" t="str">
        <f aca="false">IF(H27="已验收",IF(AND(K27&lt;&gt;"",ISNUMBER(L27)),"已验收","缺证据或日期"),IF(H27="","缺状态","未验收"))</f>
        <v>未验收</v>
      </c>
      <c r="N27" s="27" t="s">
        <v>954</v>
      </c>
    </row>
    <row r="28" customFormat="false" ht="62.8" hidden="false" customHeight="true" outlineLevel="0" collapsed="false">
      <c r="A28" s="88" t="s">
        <v>971</v>
      </c>
      <c r="B28" s="89" t="s">
        <v>872</v>
      </c>
      <c r="C28" s="88" t="s">
        <v>883</v>
      </c>
      <c r="D28" s="94" t="s">
        <v>1441</v>
      </c>
      <c r="E28" s="88" t="s">
        <v>974</v>
      </c>
      <c r="F28" s="89" t="s">
        <v>1433</v>
      </c>
      <c r="G28" s="89" t="s">
        <v>1434</v>
      </c>
      <c r="H28" s="105" t="s">
        <v>1366</v>
      </c>
      <c r="I28" s="89" t="s">
        <v>1435</v>
      </c>
      <c r="J28" s="88" t="s">
        <v>1442</v>
      </c>
      <c r="K28" s="88"/>
      <c r="L28" s="93"/>
      <c r="M28" s="94" t="str">
        <f aca="false">IF(H28="已验收",IF(AND(K28&lt;&gt;"",ISNUMBER(L28)),"已验收","缺证据或日期"),IF(H28="","缺状态","未验收"))</f>
        <v>未验收</v>
      </c>
      <c r="N28" s="27" t="s">
        <v>954</v>
      </c>
    </row>
    <row r="29" customFormat="false" ht="62.8" hidden="false" customHeight="true" outlineLevel="0" collapsed="false">
      <c r="A29" s="88" t="s">
        <v>975</v>
      </c>
      <c r="B29" s="89" t="s">
        <v>872</v>
      </c>
      <c r="C29" s="88" t="s">
        <v>883</v>
      </c>
      <c r="D29" s="94" t="s">
        <v>1443</v>
      </c>
      <c r="E29" s="88" t="s">
        <v>978</v>
      </c>
      <c r="F29" s="89" t="s">
        <v>1433</v>
      </c>
      <c r="G29" s="89" t="s">
        <v>1434</v>
      </c>
      <c r="H29" s="105" t="s">
        <v>1366</v>
      </c>
      <c r="I29" s="89" t="s">
        <v>1435</v>
      </c>
      <c r="J29" s="88" t="s">
        <v>1444</v>
      </c>
      <c r="K29" s="88"/>
      <c r="L29" s="93"/>
      <c r="M29" s="94" t="str">
        <f aca="false">IF(H29="已验收",IF(AND(K29&lt;&gt;"",ISNUMBER(L29)),"已验收","缺证据或日期"),IF(H29="","缺状态","未验收"))</f>
        <v>未验收</v>
      </c>
      <c r="N29" s="27" t="s">
        <v>954</v>
      </c>
    </row>
    <row r="30" customFormat="false" ht="49.6" hidden="false" customHeight="true" outlineLevel="0" collapsed="false">
      <c r="A30" s="88" t="s">
        <v>979</v>
      </c>
      <c r="B30" s="89" t="s">
        <v>821</v>
      </c>
      <c r="C30" s="88" t="s">
        <v>983</v>
      </c>
      <c r="D30" s="94" t="s">
        <v>1445</v>
      </c>
      <c r="E30" s="88" t="s">
        <v>989</v>
      </c>
      <c r="F30" s="89" t="s">
        <v>1446</v>
      </c>
      <c r="G30" s="89" t="s">
        <v>1447</v>
      </c>
      <c r="H30" s="105" t="s">
        <v>1366</v>
      </c>
      <c r="I30" s="89" t="s">
        <v>1448</v>
      </c>
      <c r="J30" s="88" t="s">
        <v>1449</v>
      </c>
      <c r="K30" s="88"/>
      <c r="L30" s="93"/>
      <c r="M30" s="94" t="str">
        <f aca="false">IF(H30="已验收",IF(AND(K30&lt;&gt;"",ISNUMBER(L30)),"已验收","缺证据或日期"),IF(H30="","缺状态","未验收"))</f>
        <v>未验收</v>
      </c>
      <c r="N30" s="27" t="s">
        <v>954</v>
      </c>
    </row>
    <row r="31" customFormat="false" ht="49.6" hidden="false" customHeight="true" outlineLevel="0" collapsed="false">
      <c r="A31" s="88" t="s">
        <v>990</v>
      </c>
      <c r="B31" s="89" t="s">
        <v>821</v>
      </c>
      <c r="C31" s="88" t="s">
        <v>992</v>
      </c>
      <c r="D31" s="89" t="s">
        <v>1450</v>
      </c>
      <c r="E31" s="88" t="s">
        <v>993</v>
      </c>
      <c r="F31" s="89" t="s">
        <v>1446</v>
      </c>
      <c r="G31" s="89" t="s">
        <v>1447</v>
      </c>
      <c r="H31" s="105" t="s">
        <v>1366</v>
      </c>
      <c r="I31" s="89" t="s">
        <v>1448</v>
      </c>
      <c r="J31" s="88" t="s">
        <v>1451</v>
      </c>
      <c r="K31" s="88"/>
      <c r="L31" s="93"/>
      <c r="M31" s="94" t="str">
        <f aca="false">IF(H31="已验收",IF(AND(K31&lt;&gt;"",ISNUMBER(L31)),"已验收","缺证据或日期"),IF(H31="","缺状态","未验收"))</f>
        <v>未验收</v>
      </c>
      <c r="N31" s="27" t="s">
        <v>954</v>
      </c>
    </row>
    <row r="32" customFormat="false" ht="62.8" hidden="false" customHeight="true" outlineLevel="0" collapsed="false">
      <c r="A32" s="88" t="s">
        <v>994</v>
      </c>
      <c r="B32" s="89" t="s">
        <v>995</v>
      </c>
      <c r="C32" s="88" t="s">
        <v>998</v>
      </c>
      <c r="D32" s="94" t="s">
        <v>1452</v>
      </c>
      <c r="E32" s="88" t="s">
        <v>1003</v>
      </c>
      <c r="F32" s="89" t="s">
        <v>1453</v>
      </c>
      <c r="G32" s="89" t="s">
        <v>1454</v>
      </c>
      <c r="H32" s="105" t="s">
        <v>1366</v>
      </c>
      <c r="I32" s="89" t="s">
        <v>1455</v>
      </c>
      <c r="J32" s="88" t="s">
        <v>1456</v>
      </c>
      <c r="K32" s="88"/>
      <c r="L32" s="93"/>
      <c r="M32" s="94" t="str">
        <f aca="false">IF(H32="已验收",IF(AND(K32&lt;&gt;"",ISNUMBER(L32)),"已验收","缺证据或日期"),IF(H32="","缺状态","未验收"))</f>
        <v>未验收</v>
      </c>
      <c r="N32" s="27" t="s">
        <v>954</v>
      </c>
    </row>
    <row r="33" customFormat="false" ht="62.8" hidden="false" customHeight="true" outlineLevel="0" collapsed="false">
      <c r="A33" s="88" t="s">
        <v>1004</v>
      </c>
      <c r="B33" s="89" t="s">
        <v>995</v>
      </c>
      <c r="C33" s="88" t="s">
        <v>998</v>
      </c>
      <c r="D33" s="94" t="s">
        <v>1457</v>
      </c>
      <c r="E33" s="88" t="s">
        <v>1008</v>
      </c>
      <c r="F33" s="89" t="s">
        <v>1453</v>
      </c>
      <c r="G33" s="89" t="s">
        <v>1454</v>
      </c>
      <c r="H33" s="105" t="s">
        <v>1366</v>
      </c>
      <c r="I33" s="89" t="s">
        <v>1455</v>
      </c>
      <c r="J33" s="88" t="s">
        <v>1458</v>
      </c>
      <c r="K33" s="88"/>
      <c r="L33" s="93"/>
      <c r="M33" s="94" t="str">
        <f aca="false">IF(H33="已验收",IF(AND(K33&lt;&gt;"",ISNUMBER(L33)),"已验收","缺证据或日期"),IF(H33="","缺状态","未验收"))</f>
        <v>未验收</v>
      </c>
      <c r="N33" s="27" t="s">
        <v>954</v>
      </c>
    </row>
    <row r="34" customFormat="false" ht="62.8" hidden="false" customHeight="true" outlineLevel="0" collapsed="false">
      <c r="A34" s="88" t="s">
        <v>1009</v>
      </c>
      <c r="B34" s="89" t="s">
        <v>938</v>
      </c>
      <c r="C34" s="88" t="s">
        <v>1013</v>
      </c>
      <c r="D34" s="94" t="s">
        <v>1459</v>
      </c>
      <c r="E34" s="88" t="s">
        <v>1018</v>
      </c>
      <c r="F34" s="89" t="s">
        <v>1460</v>
      </c>
      <c r="G34" s="89" t="s">
        <v>1461</v>
      </c>
      <c r="H34" s="105" t="s">
        <v>1366</v>
      </c>
      <c r="I34" s="89" t="s">
        <v>1462</v>
      </c>
      <c r="J34" s="88" t="s">
        <v>1463</v>
      </c>
      <c r="K34" s="88"/>
      <c r="L34" s="93"/>
      <c r="M34" s="94" t="str">
        <f aca="false">IF(H34="已验收",IF(AND(K34&lt;&gt;"",ISNUMBER(L34)),"已验收","缺证据或日期"),IF(H34="","缺状态","未验收"))</f>
        <v>未验收</v>
      </c>
      <c r="N34" s="27" t="s">
        <v>954</v>
      </c>
    </row>
    <row r="35" customFormat="false" ht="62.8" hidden="false" customHeight="true" outlineLevel="0" collapsed="false">
      <c r="A35" s="88" t="s">
        <v>1019</v>
      </c>
      <c r="B35" s="89" t="s">
        <v>872</v>
      </c>
      <c r="C35" s="88" t="s">
        <v>883</v>
      </c>
      <c r="D35" s="94" t="s">
        <v>1464</v>
      </c>
      <c r="E35" s="88" t="s">
        <v>1026</v>
      </c>
      <c r="F35" s="89" t="s">
        <v>1465</v>
      </c>
      <c r="G35" s="89" t="s">
        <v>1466</v>
      </c>
      <c r="H35" s="105" t="s">
        <v>1366</v>
      </c>
      <c r="I35" s="89" t="s">
        <v>1467</v>
      </c>
      <c r="J35" s="88" t="s">
        <v>1468</v>
      </c>
      <c r="K35" s="88"/>
      <c r="L35" s="93"/>
      <c r="M35" s="94" t="str">
        <f aca="false">IF(H35="已验收",IF(AND(K35&lt;&gt;"",ISNUMBER(L35)),"已验收","缺证据或日期"),IF(H35="","缺状态","未验收"))</f>
        <v>未验收</v>
      </c>
      <c r="N35" s="27" t="s">
        <v>1022</v>
      </c>
    </row>
    <row r="36" customFormat="false" ht="62.8" hidden="false" customHeight="true" outlineLevel="0" collapsed="false">
      <c r="A36" s="88" t="s">
        <v>1027</v>
      </c>
      <c r="B36" s="89" t="s">
        <v>872</v>
      </c>
      <c r="C36" s="88" t="s">
        <v>883</v>
      </c>
      <c r="D36" s="94" t="s">
        <v>1469</v>
      </c>
      <c r="E36" s="88" t="s">
        <v>1030</v>
      </c>
      <c r="F36" s="89" t="s">
        <v>1465</v>
      </c>
      <c r="G36" s="89" t="s">
        <v>1466</v>
      </c>
      <c r="H36" s="105" t="s">
        <v>1366</v>
      </c>
      <c r="I36" s="89" t="s">
        <v>1470</v>
      </c>
      <c r="J36" s="88" t="s">
        <v>1471</v>
      </c>
      <c r="K36" s="88"/>
      <c r="L36" s="93"/>
      <c r="M36" s="94" t="str">
        <f aca="false">IF(H36="已验收",IF(AND(K36&lt;&gt;"",ISNUMBER(L36)),"已验收","缺证据或日期"),IF(H36="","缺状态","未验收"))</f>
        <v>未验收</v>
      </c>
      <c r="N36" s="27" t="s">
        <v>1022</v>
      </c>
    </row>
    <row r="37" customFormat="false" ht="62.8" hidden="false" customHeight="true" outlineLevel="0" collapsed="false">
      <c r="A37" s="88" t="s">
        <v>1031</v>
      </c>
      <c r="B37" s="89" t="s">
        <v>872</v>
      </c>
      <c r="C37" s="88" t="s">
        <v>883</v>
      </c>
      <c r="D37" s="94" t="s">
        <v>1472</v>
      </c>
      <c r="E37" s="88" t="s">
        <v>1034</v>
      </c>
      <c r="F37" s="89" t="s">
        <v>1465</v>
      </c>
      <c r="G37" s="89" t="s">
        <v>1466</v>
      </c>
      <c r="H37" s="105" t="s">
        <v>1366</v>
      </c>
      <c r="I37" s="89" t="s">
        <v>1473</v>
      </c>
      <c r="J37" s="88" t="s">
        <v>1474</v>
      </c>
      <c r="K37" s="88"/>
      <c r="L37" s="93"/>
      <c r="M37" s="94" t="str">
        <f aca="false">IF(H37="已验收",IF(AND(K37&lt;&gt;"",ISNUMBER(L37)),"已验收","缺证据或日期"),IF(H37="","缺状态","未验收"))</f>
        <v>未验收</v>
      </c>
      <c r="N37" s="27" t="s">
        <v>1022</v>
      </c>
    </row>
    <row r="38" customFormat="false" ht="62.8" hidden="false" customHeight="true" outlineLevel="0" collapsed="false">
      <c r="A38" s="88" t="s">
        <v>1035</v>
      </c>
      <c r="B38" s="89" t="s">
        <v>872</v>
      </c>
      <c r="C38" s="88" t="s">
        <v>883</v>
      </c>
      <c r="D38" s="94" t="s">
        <v>1475</v>
      </c>
      <c r="E38" s="88" t="s">
        <v>1038</v>
      </c>
      <c r="F38" s="89" t="s">
        <v>1465</v>
      </c>
      <c r="G38" s="89" t="s">
        <v>1466</v>
      </c>
      <c r="H38" s="105" t="s">
        <v>1366</v>
      </c>
      <c r="I38" s="89" t="s">
        <v>1476</v>
      </c>
      <c r="J38" s="88" t="s">
        <v>1477</v>
      </c>
      <c r="K38" s="88"/>
      <c r="L38" s="93"/>
      <c r="M38" s="94" t="str">
        <f aca="false">IF(H38="已验收",IF(AND(K38&lt;&gt;"",ISNUMBER(L38)),"已验收","缺证据或日期"),IF(H38="","缺状态","未验收"))</f>
        <v>未验收</v>
      </c>
      <c r="N38" s="27" t="s">
        <v>1022</v>
      </c>
    </row>
    <row r="39" customFormat="false" ht="62.8" hidden="false" customHeight="true" outlineLevel="0" collapsed="false">
      <c r="A39" s="88" t="s">
        <v>1039</v>
      </c>
      <c r="B39" s="89" t="s">
        <v>872</v>
      </c>
      <c r="C39" s="88" t="s">
        <v>883</v>
      </c>
      <c r="D39" s="94" t="s">
        <v>1478</v>
      </c>
      <c r="E39" s="88" t="s">
        <v>1042</v>
      </c>
      <c r="F39" s="89" t="s">
        <v>1465</v>
      </c>
      <c r="G39" s="89" t="s">
        <v>1466</v>
      </c>
      <c r="H39" s="105" t="s">
        <v>1366</v>
      </c>
      <c r="I39" s="89" t="s">
        <v>1479</v>
      </c>
      <c r="J39" s="88" t="s">
        <v>1480</v>
      </c>
      <c r="K39" s="88"/>
      <c r="L39" s="93"/>
      <c r="M39" s="94" t="str">
        <f aca="false">IF(H39="已验收",IF(AND(K39&lt;&gt;"",ISNUMBER(L39)),"已验收","缺证据或日期"),IF(H39="","缺状态","未验收"))</f>
        <v>未验收</v>
      </c>
      <c r="N39" s="27" t="s">
        <v>1022</v>
      </c>
    </row>
    <row r="40" customFormat="false" ht="102.4" hidden="false" customHeight="true" outlineLevel="0" collapsed="false">
      <c r="A40" s="88" t="s">
        <v>1043</v>
      </c>
      <c r="B40" s="89" t="s">
        <v>872</v>
      </c>
      <c r="C40" s="89" t="s">
        <v>1481</v>
      </c>
      <c r="D40" s="94" t="s">
        <v>1482</v>
      </c>
      <c r="E40" s="88" t="s">
        <v>1051</v>
      </c>
      <c r="F40" s="89" t="s">
        <v>1483</v>
      </c>
      <c r="G40" s="89" t="s">
        <v>1484</v>
      </c>
      <c r="H40" s="105" t="s">
        <v>1366</v>
      </c>
      <c r="I40" s="89" t="s">
        <v>1485</v>
      </c>
      <c r="J40" s="88" t="s">
        <v>1486</v>
      </c>
      <c r="K40" s="88"/>
      <c r="L40" s="93"/>
      <c r="M40" s="94" t="str">
        <f aca="false">IF(H40="已验收",IF(AND(K40&lt;&gt;"",ISNUMBER(L40)),"已验收","缺证据或日期"),IF(H40="","缺状态","未验收"))</f>
        <v>未验收</v>
      </c>
      <c r="N40" s="27" t="s">
        <v>1022</v>
      </c>
    </row>
    <row r="41" customFormat="false" ht="102.4" hidden="false" customHeight="true" outlineLevel="0" collapsed="false">
      <c r="A41" s="88" t="s">
        <v>1052</v>
      </c>
      <c r="B41" s="89" t="s">
        <v>872</v>
      </c>
      <c r="C41" s="89" t="s">
        <v>1481</v>
      </c>
      <c r="D41" s="94" t="s">
        <v>1487</v>
      </c>
      <c r="E41" s="88" t="s">
        <v>1055</v>
      </c>
      <c r="F41" s="89" t="s">
        <v>1483</v>
      </c>
      <c r="G41" s="89" t="s">
        <v>1484</v>
      </c>
      <c r="H41" s="105" t="s">
        <v>1366</v>
      </c>
      <c r="I41" s="89" t="s">
        <v>1488</v>
      </c>
      <c r="J41" s="88" t="s">
        <v>1489</v>
      </c>
      <c r="K41" s="88"/>
      <c r="L41" s="93"/>
      <c r="M41" s="94" t="str">
        <f aca="false">IF(H41="已验收",IF(AND(K41&lt;&gt;"",ISNUMBER(L41)),"已验收","缺证据或日期"),IF(H41="","缺状态","未验收"))</f>
        <v>未验收</v>
      </c>
      <c r="N41" s="27" t="s">
        <v>1022</v>
      </c>
    </row>
    <row r="42" customFormat="false" ht="89.2" hidden="false" customHeight="true" outlineLevel="0" collapsed="false">
      <c r="A42" s="88" t="s">
        <v>1056</v>
      </c>
      <c r="B42" s="89" t="s">
        <v>1057</v>
      </c>
      <c r="C42" s="88" t="s">
        <v>1061</v>
      </c>
      <c r="D42" s="94" t="s">
        <v>1490</v>
      </c>
      <c r="E42" s="88" t="s">
        <v>1065</v>
      </c>
      <c r="F42" s="89" t="s">
        <v>1491</v>
      </c>
      <c r="G42" s="89" t="s">
        <v>1492</v>
      </c>
      <c r="H42" s="105" t="s">
        <v>1366</v>
      </c>
      <c r="I42" s="89" t="s">
        <v>1493</v>
      </c>
      <c r="J42" s="88" t="s">
        <v>1494</v>
      </c>
      <c r="K42" s="88"/>
      <c r="L42" s="93"/>
      <c r="M42" s="94" t="str">
        <f aca="false">IF(H42="已验收",IF(AND(K42&lt;&gt;"",ISNUMBER(L42)),"已验收","缺证据或日期"),IF(H42="","缺状态","未验收"))</f>
        <v>未验收</v>
      </c>
      <c r="N42" s="27" t="s">
        <v>1022</v>
      </c>
    </row>
    <row r="43" customFormat="false" ht="76" hidden="false" customHeight="true" outlineLevel="0" collapsed="false">
      <c r="A43" s="88" t="s">
        <v>1066</v>
      </c>
      <c r="B43" s="89" t="s">
        <v>1067</v>
      </c>
      <c r="C43" s="88" t="s">
        <v>1070</v>
      </c>
      <c r="D43" s="94" t="s">
        <v>1495</v>
      </c>
      <c r="E43" s="88" t="s">
        <v>1074</v>
      </c>
      <c r="F43" s="89" t="s">
        <v>1496</v>
      </c>
      <c r="G43" s="89" t="s">
        <v>1497</v>
      </c>
      <c r="H43" s="105" t="s">
        <v>1366</v>
      </c>
      <c r="I43" s="89" t="s">
        <v>1498</v>
      </c>
      <c r="J43" s="88" t="s">
        <v>1499</v>
      </c>
      <c r="K43" s="88"/>
      <c r="L43" s="93"/>
      <c r="M43" s="94" t="str">
        <f aca="false">IF(H43="已验收",IF(AND(K43&lt;&gt;"",ISNUMBER(L43)),"已验收","缺证据或日期"),IF(H43="","缺状态","未验收"))</f>
        <v>未验收</v>
      </c>
      <c r="N43" s="27" t="s">
        <v>1022</v>
      </c>
    </row>
    <row r="44" customFormat="false" ht="76" hidden="false" customHeight="true" outlineLevel="0" collapsed="false">
      <c r="A44" s="88" t="s">
        <v>1075</v>
      </c>
      <c r="B44" s="89" t="s">
        <v>1067</v>
      </c>
      <c r="C44" s="88" t="s">
        <v>1070</v>
      </c>
      <c r="D44" s="94" t="s">
        <v>1495</v>
      </c>
      <c r="E44" s="88" t="s">
        <v>1078</v>
      </c>
      <c r="F44" s="89" t="s">
        <v>1496</v>
      </c>
      <c r="G44" s="89" t="s">
        <v>1500</v>
      </c>
      <c r="H44" s="105" t="s">
        <v>1366</v>
      </c>
      <c r="I44" s="89" t="s">
        <v>1501</v>
      </c>
      <c r="J44" s="88" t="s">
        <v>1502</v>
      </c>
      <c r="K44" s="88"/>
      <c r="L44" s="93"/>
      <c r="M44" s="94" t="str">
        <f aca="false">IF(H44="已验收",IF(AND(K44&lt;&gt;"",ISNUMBER(L44)),"已验收","缺证据或日期"),IF(H44="","缺状态","未验收"))</f>
        <v>未验收</v>
      </c>
      <c r="N44" s="27" t="s">
        <v>1022</v>
      </c>
    </row>
    <row r="45" customFormat="false" ht="128.8" hidden="false" customHeight="true" outlineLevel="0" collapsed="false">
      <c r="A45" s="88" t="s">
        <v>1079</v>
      </c>
      <c r="B45" s="89" t="s">
        <v>821</v>
      </c>
      <c r="C45" s="88" t="s">
        <v>983</v>
      </c>
      <c r="D45" s="94" t="s">
        <v>1503</v>
      </c>
      <c r="E45" s="88" t="s">
        <v>1084</v>
      </c>
      <c r="F45" s="89" t="s">
        <v>1446</v>
      </c>
      <c r="G45" s="94" t="s">
        <v>1504</v>
      </c>
      <c r="H45" s="105" t="s">
        <v>1366</v>
      </c>
      <c r="I45" s="89" t="s">
        <v>1505</v>
      </c>
      <c r="J45" s="88" t="s">
        <v>1506</v>
      </c>
      <c r="K45" s="88"/>
      <c r="L45" s="93"/>
      <c r="M45" s="94" t="str">
        <f aca="false">IF(H45="已验收",IF(AND(K45&lt;&gt;"",ISNUMBER(L45)),"已验收","缺证据或日期"),IF(H45="","缺状态","未验收"))</f>
        <v>未验收</v>
      </c>
      <c r="N45" s="27" t="s">
        <v>1082</v>
      </c>
    </row>
    <row r="46" customFormat="false" ht="128.8" hidden="false" customHeight="true" outlineLevel="0" collapsed="false">
      <c r="A46" s="88" t="s">
        <v>1085</v>
      </c>
      <c r="B46" s="89" t="s">
        <v>821</v>
      </c>
      <c r="C46" s="88" t="s">
        <v>983</v>
      </c>
      <c r="D46" s="94" t="s">
        <v>1507</v>
      </c>
      <c r="E46" s="88" t="s">
        <v>1088</v>
      </c>
      <c r="F46" s="89" t="s">
        <v>1446</v>
      </c>
      <c r="G46" s="94" t="s">
        <v>1504</v>
      </c>
      <c r="H46" s="105" t="s">
        <v>1366</v>
      </c>
      <c r="I46" s="89" t="s">
        <v>1505</v>
      </c>
      <c r="J46" s="88" t="s">
        <v>1508</v>
      </c>
      <c r="K46" s="88"/>
      <c r="L46" s="93"/>
      <c r="M46" s="94" t="str">
        <f aca="false">IF(H46="已验收",IF(AND(K46&lt;&gt;"",ISNUMBER(L46)),"已验收","缺证据或日期"),IF(H46="","缺状态","未验收"))</f>
        <v>未验收</v>
      </c>
      <c r="N46" s="27" t="s">
        <v>1082</v>
      </c>
    </row>
    <row r="47" customFormat="false" ht="128.8" hidden="false" customHeight="true" outlineLevel="0" collapsed="false">
      <c r="A47" s="88" t="s">
        <v>1089</v>
      </c>
      <c r="B47" s="89" t="s">
        <v>821</v>
      </c>
      <c r="C47" s="88" t="s">
        <v>983</v>
      </c>
      <c r="D47" s="94" t="s">
        <v>1509</v>
      </c>
      <c r="E47" s="88" t="s">
        <v>1091</v>
      </c>
      <c r="F47" s="89" t="s">
        <v>1446</v>
      </c>
      <c r="G47" s="94" t="s">
        <v>1504</v>
      </c>
      <c r="H47" s="105" t="s">
        <v>1366</v>
      </c>
      <c r="I47" s="89" t="s">
        <v>1505</v>
      </c>
      <c r="J47" s="88" t="s">
        <v>1510</v>
      </c>
      <c r="K47" s="88"/>
      <c r="L47" s="93"/>
      <c r="M47" s="94" t="str">
        <f aca="false">IF(H47="已验收",IF(AND(K47&lt;&gt;"",ISNUMBER(L47)),"已验收","缺证据或日期"),IF(H47="","缺状态","未验收"))</f>
        <v>未验收</v>
      </c>
      <c r="N47" s="27" t="s">
        <v>1082</v>
      </c>
    </row>
    <row r="48" customFormat="false" ht="128.8" hidden="false" customHeight="true" outlineLevel="0" collapsed="false">
      <c r="A48" s="88" t="s">
        <v>1092</v>
      </c>
      <c r="B48" s="89" t="s">
        <v>821</v>
      </c>
      <c r="C48" s="88" t="s">
        <v>992</v>
      </c>
      <c r="D48" s="89" t="s">
        <v>1511</v>
      </c>
      <c r="E48" s="88" t="s">
        <v>1094</v>
      </c>
      <c r="F48" s="89" t="s">
        <v>1446</v>
      </c>
      <c r="G48" s="94" t="s">
        <v>1504</v>
      </c>
      <c r="H48" s="105" t="s">
        <v>1366</v>
      </c>
      <c r="I48" s="89" t="s">
        <v>1505</v>
      </c>
      <c r="J48" s="88" t="s">
        <v>1512</v>
      </c>
      <c r="K48" s="88"/>
      <c r="L48" s="93"/>
      <c r="M48" s="94" t="str">
        <f aca="false">IF(H48="已验收",IF(AND(K48&lt;&gt;"",ISNUMBER(L48)),"已验收","缺证据或日期"),IF(H48="","缺状态","未验收"))</f>
        <v>未验收</v>
      </c>
      <c r="N48" s="27" t="s">
        <v>1082</v>
      </c>
    </row>
    <row r="49" customFormat="false" ht="128.8" hidden="false" customHeight="true" outlineLevel="0" collapsed="false">
      <c r="A49" s="88" t="s">
        <v>1095</v>
      </c>
      <c r="B49" s="89" t="s">
        <v>821</v>
      </c>
      <c r="C49" s="88" t="s">
        <v>992</v>
      </c>
      <c r="D49" s="89" t="s">
        <v>1513</v>
      </c>
      <c r="E49" s="88" t="s">
        <v>1098</v>
      </c>
      <c r="F49" s="89" t="s">
        <v>1446</v>
      </c>
      <c r="G49" s="94" t="s">
        <v>1504</v>
      </c>
      <c r="H49" s="105" t="s">
        <v>1366</v>
      </c>
      <c r="I49" s="89" t="s">
        <v>1505</v>
      </c>
      <c r="J49" s="88" t="s">
        <v>1514</v>
      </c>
      <c r="K49" s="88"/>
      <c r="L49" s="93"/>
      <c r="M49" s="94" t="str">
        <f aca="false">IF(H49="已验收",IF(AND(K49&lt;&gt;"",ISNUMBER(L49)),"已验收","缺证据或日期"),IF(H49="","缺状态","未验收"))</f>
        <v>未验收</v>
      </c>
      <c r="N49" s="27" t="s">
        <v>1082</v>
      </c>
    </row>
    <row r="50" customFormat="false" ht="128.8" hidden="false" customHeight="true" outlineLevel="0" collapsed="false">
      <c r="A50" s="88" t="s">
        <v>1099</v>
      </c>
      <c r="B50" s="89" t="s">
        <v>821</v>
      </c>
      <c r="C50" s="88" t="s">
        <v>992</v>
      </c>
      <c r="D50" s="89" t="s">
        <v>1515</v>
      </c>
      <c r="E50" s="88" t="s">
        <v>1101</v>
      </c>
      <c r="F50" s="89" t="s">
        <v>1446</v>
      </c>
      <c r="G50" s="94" t="s">
        <v>1504</v>
      </c>
      <c r="H50" s="105" t="s">
        <v>1366</v>
      </c>
      <c r="I50" s="89" t="s">
        <v>1505</v>
      </c>
      <c r="J50" s="88" t="s">
        <v>1516</v>
      </c>
      <c r="K50" s="88"/>
      <c r="L50" s="93"/>
      <c r="M50" s="94" t="str">
        <f aca="false">IF(H50="已验收",IF(AND(K50&lt;&gt;"",ISNUMBER(L50)),"已验收","缺证据或日期"),IF(H50="","缺状态","未验收"))</f>
        <v>未验收</v>
      </c>
      <c r="N50" s="27" t="s">
        <v>1082</v>
      </c>
    </row>
    <row r="51" customFormat="false" ht="128.8" hidden="false" customHeight="true" outlineLevel="0" collapsed="false">
      <c r="A51" s="88" t="s">
        <v>1102</v>
      </c>
      <c r="B51" s="89" t="s">
        <v>821</v>
      </c>
      <c r="C51" s="88" t="s">
        <v>992</v>
      </c>
      <c r="D51" s="89" t="s">
        <v>1517</v>
      </c>
      <c r="E51" s="88" t="s">
        <v>1104</v>
      </c>
      <c r="F51" s="89" t="s">
        <v>1446</v>
      </c>
      <c r="G51" s="94" t="s">
        <v>1504</v>
      </c>
      <c r="H51" s="105" t="s">
        <v>1366</v>
      </c>
      <c r="I51" s="89" t="s">
        <v>1505</v>
      </c>
      <c r="J51" s="88" t="s">
        <v>1518</v>
      </c>
      <c r="K51" s="88"/>
      <c r="L51" s="93"/>
      <c r="M51" s="94" t="str">
        <f aca="false">IF(H51="已验收",IF(AND(K51&lt;&gt;"",ISNUMBER(L51)),"已验收","缺证据或日期"),IF(H51="","缺状态","未验收"))</f>
        <v>未验收</v>
      </c>
      <c r="N51" s="27" t="s">
        <v>1082</v>
      </c>
    </row>
    <row r="52" customFormat="false" ht="128.8" hidden="false" customHeight="true" outlineLevel="0" collapsed="false">
      <c r="A52" s="88" t="s">
        <v>1105</v>
      </c>
      <c r="B52" s="89" t="s">
        <v>821</v>
      </c>
      <c r="C52" s="88" t="s">
        <v>1107</v>
      </c>
      <c r="D52" s="89" t="s">
        <v>1519</v>
      </c>
      <c r="E52" s="88" t="s">
        <v>1110</v>
      </c>
      <c r="F52" s="89" t="s">
        <v>1446</v>
      </c>
      <c r="G52" s="94" t="s">
        <v>1504</v>
      </c>
      <c r="H52" s="105" t="s">
        <v>1366</v>
      </c>
      <c r="I52" s="89" t="s">
        <v>1505</v>
      </c>
      <c r="J52" s="88" t="s">
        <v>1520</v>
      </c>
      <c r="K52" s="88"/>
      <c r="L52" s="93"/>
      <c r="M52" s="94" t="str">
        <f aca="false">IF(H52="已验收",IF(AND(K52&lt;&gt;"",ISNUMBER(L52)),"已验收","缺证据或日期"),IF(H52="","缺状态","未验收"))</f>
        <v>未验收</v>
      </c>
      <c r="N52" s="27" t="s">
        <v>1082</v>
      </c>
    </row>
    <row r="53" customFormat="false" ht="128.8" hidden="false" customHeight="true" outlineLevel="0" collapsed="false">
      <c r="A53" s="88" t="s">
        <v>1111</v>
      </c>
      <c r="B53" s="89" t="s">
        <v>821</v>
      </c>
      <c r="C53" s="88" t="s">
        <v>1107</v>
      </c>
      <c r="D53" s="89" t="s">
        <v>1521</v>
      </c>
      <c r="E53" s="88" t="s">
        <v>1113</v>
      </c>
      <c r="F53" s="89" t="s">
        <v>1446</v>
      </c>
      <c r="G53" s="94" t="s">
        <v>1504</v>
      </c>
      <c r="H53" s="105" t="s">
        <v>1366</v>
      </c>
      <c r="I53" s="89" t="s">
        <v>1505</v>
      </c>
      <c r="J53" s="88" t="s">
        <v>1522</v>
      </c>
      <c r="K53" s="88"/>
      <c r="L53" s="93"/>
      <c r="M53" s="94" t="str">
        <f aca="false">IF(H53="已验收",IF(AND(K53&lt;&gt;"",ISNUMBER(L53)),"已验收","缺证据或日期"),IF(H53="","缺状态","未验收"))</f>
        <v>未验收</v>
      </c>
      <c r="N53" s="27" t="s">
        <v>1082</v>
      </c>
    </row>
    <row r="54" customFormat="false" ht="128.8" hidden="false" customHeight="true" outlineLevel="0" collapsed="false">
      <c r="A54" s="88" t="s">
        <v>1114</v>
      </c>
      <c r="B54" s="89" t="s">
        <v>821</v>
      </c>
      <c r="C54" s="88" t="s">
        <v>1107</v>
      </c>
      <c r="D54" s="89" t="s">
        <v>1523</v>
      </c>
      <c r="E54" s="88" t="s">
        <v>1117</v>
      </c>
      <c r="F54" s="89" t="s">
        <v>1446</v>
      </c>
      <c r="G54" s="94" t="s">
        <v>1504</v>
      </c>
      <c r="H54" s="105" t="s">
        <v>1366</v>
      </c>
      <c r="I54" s="89" t="s">
        <v>1505</v>
      </c>
      <c r="J54" s="88" t="s">
        <v>1524</v>
      </c>
      <c r="K54" s="88"/>
      <c r="L54" s="93"/>
      <c r="M54" s="94" t="str">
        <f aca="false">IF(H54="已验收",IF(AND(K54&lt;&gt;"",ISNUMBER(L54)),"已验收","缺证据或日期"),IF(H54="","缺状态","未验收"))</f>
        <v>未验收</v>
      </c>
      <c r="N54" s="27" t="s">
        <v>1082</v>
      </c>
    </row>
    <row r="55" customFormat="false" ht="128.8" hidden="false" customHeight="true" outlineLevel="0" collapsed="false">
      <c r="A55" s="88" t="s">
        <v>1118</v>
      </c>
      <c r="B55" s="89" t="s">
        <v>821</v>
      </c>
      <c r="C55" s="88" t="s">
        <v>1107</v>
      </c>
      <c r="D55" s="89" t="s">
        <v>1525</v>
      </c>
      <c r="E55" s="88" t="s">
        <v>1120</v>
      </c>
      <c r="F55" s="89" t="s">
        <v>1446</v>
      </c>
      <c r="G55" s="94" t="s">
        <v>1504</v>
      </c>
      <c r="H55" s="105" t="s">
        <v>1366</v>
      </c>
      <c r="I55" s="89" t="s">
        <v>1505</v>
      </c>
      <c r="J55" s="88" t="s">
        <v>1526</v>
      </c>
      <c r="K55" s="88"/>
      <c r="L55" s="93"/>
      <c r="M55" s="94" t="str">
        <f aca="false">IF(H55="已验收",IF(AND(K55&lt;&gt;"",ISNUMBER(L55)),"已验收","缺证据或日期"),IF(H55="","缺状态","未验收"))</f>
        <v>未验收</v>
      </c>
      <c r="N55" s="27" t="s">
        <v>1082</v>
      </c>
    </row>
    <row r="56" customFormat="false" ht="128.8" hidden="false" customHeight="true" outlineLevel="0" collapsed="false">
      <c r="A56" s="88" t="s">
        <v>1121</v>
      </c>
      <c r="B56" s="89" t="s">
        <v>821</v>
      </c>
      <c r="C56" s="88" t="s">
        <v>1107</v>
      </c>
      <c r="D56" s="89" t="s">
        <v>1527</v>
      </c>
      <c r="E56" s="88" t="s">
        <v>1123</v>
      </c>
      <c r="F56" s="89" t="s">
        <v>1446</v>
      </c>
      <c r="G56" s="94" t="s">
        <v>1504</v>
      </c>
      <c r="H56" s="105" t="s">
        <v>1366</v>
      </c>
      <c r="I56" s="89" t="s">
        <v>1505</v>
      </c>
      <c r="J56" s="88" t="s">
        <v>1528</v>
      </c>
      <c r="K56" s="88"/>
      <c r="L56" s="93"/>
      <c r="M56" s="94" t="str">
        <f aca="false">IF(H56="已验收",IF(AND(K56&lt;&gt;"",ISNUMBER(L56)),"已验收","缺证据或日期"),IF(H56="","缺状态","未验收"))</f>
        <v>未验收</v>
      </c>
      <c r="N56" s="27" t="s">
        <v>1082</v>
      </c>
    </row>
    <row r="57" customFormat="false" ht="102.4" hidden="false" customHeight="true" outlineLevel="0" collapsed="false">
      <c r="A57" s="88" t="s">
        <v>1124</v>
      </c>
      <c r="B57" s="89" t="s">
        <v>854</v>
      </c>
      <c r="C57" s="88" t="s">
        <v>1128</v>
      </c>
      <c r="D57" s="94" t="s">
        <v>1529</v>
      </c>
      <c r="E57" s="88" t="s">
        <v>1130</v>
      </c>
      <c r="F57" s="89" t="s">
        <v>1446</v>
      </c>
      <c r="G57" s="94" t="s">
        <v>1530</v>
      </c>
      <c r="H57" s="105" t="s">
        <v>1366</v>
      </c>
      <c r="I57" s="89" t="s">
        <v>1531</v>
      </c>
      <c r="J57" s="88" t="s">
        <v>1532</v>
      </c>
      <c r="K57" s="88"/>
      <c r="L57" s="93"/>
      <c r="M57" s="94" t="str">
        <f aca="false">IF(H57="已验收",IF(AND(K57&lt;&gt;"",ISNUMBER(L57)),"已验收","缺证据或日期"),IF(H57="","缺状态","未验收"))</f>
        <v>未验收</v>
      </c>
      <c r="N57" s="27" t="s">
        <v>1127</v>
      </c>
    </row>
    <row r="58" customFormat="false" ht="102.4" hidden="false" customHeight="true" outlineLevel="0" collapsed="false">
      <c r="A58" s="88" t="s">
        <v>1131</v>
      </c>
      <c r="B58" s="89" t="s">
        <v>854</v>
      </c>
      <c r="C58" s="88" t="s">
        <v>1128</v>
      </c>
      <c r="D58" s="94" t="s">
        <v>1533</v>
      </c>
      <c r="E58" s="88" t="s">
        <v>1133</v>
      </c>
      <c r="F58" s="89" t="s">
        <v>1446</v>
      </c>
      <c r="G58" s="94" t="s">
        <v>1530</v>
      </c>
      <c r="H58" s="105" t="s">
        <v>1366</v>
      </c>
      <c r="I58" s="89" t="s">
        <v>1531</v>
      </c>
      <c r="J58" s="88" t="s">
        <v>1534</v>
      </c>
      <c r="K58" s="88"/>
      <c r="L58" s="93"/>
      <c r="M58" s="94" t="str">
        <f aca="false">IF(H58="已验收",IF(AND(K58&lt;&gt;"",ISNUMBER(L58)),"已验收","缺证据或日期"),IF(H58="","缺状态","未验收"))</f>
        <v>未验收</v>
      </c>
      <c r="N58" s="27" t="s">
        <v>1127</v>
      </c>
    </row>
    <row r="59" customFormat="false" ht="102.4" hidden="false" customHeight="true" outlineLevel="0" collapsed="false">
      <c r="A59" s="88" t="s">
        <v>1134</v>
      </c>
      <c r="B59" s="89" t="s">
        <v>854</v>
      </c>
      <c r="C59" s="88" t="s">
        <v>1128</v>
      </c>
      <c r="D59" s="94" t="s">
        <v>1535</v>
      </c>
      <c r="E59" s="88" t="s">
        <v>1136</v>
      </c>
      <c r="F59" s="89" t="s">
        <v>1446</v>
      </c>
      <c r="G59" s="94" t="s">
        <v>1530</v>
      </c>
      <c r="H59" s="105" t="s">
        <v>1366</v>
      </c>
      <c r="I59" s="89" t="s">
        <v>1531</v>
      </c>
      <c r="J59" s="88" t="s">
        <v>1536</v>
      </c>
      <c r="K59" s="88"/>
      <c r="L59" s="93"/>
      <c r="M59" s="94" t="str">
        <f aca="false">IF(H59="已验收",IF(AND(K59&lt;&gt;"",ISNUMBER(L59)),"已验收","缺证据或日期"),IF(H59="","缺状态","未验收"))</f>
        <v>未验收</v>
      </c>
      <c r="N59" s="27" t="s">
        <v>1127</v>
      </c>
    </row>
    <row r="60" customFormat="false" ht="102.4" hidden="false" customHeight="true" outlineLevel="0" collapsed="false">
      <c r="A60" s="88" t="s">
        <v>1137</v>
      </c>
      <c r="B60" s="89" t="s">
        <v>854</v>
      </c>
      <c r="C60" s="88" t="s">
        <v>1128</v>
      </c>
      <c r="D60" s="94" t="s">
        <v>1537</v>
      </c>
      <c r="E60" s="88" t="s">
        <v>1139</v>
      </c>
      <c r="F60" s="89" t="s">
        <v>1446</v>
      </c>
      <c r="G60" s="94" t="s">
        <v>1530</v>
      </c>
      <c r="H60" s="105" t="s">
        <v>1366</v>
      </c>
      <c r="I60" s="89" t="s">
        <v>1531</v>
      </c>
      <c r="J60" s="88" t="s">
        <v>1538</v>
      </c>
      <c r="K60" s="88"/>
      <c r="L60" s="93"/>
      <c r="M60" s="94" t="str">
        <f aca="false">IF(H60="已验收",IF(AND(K60&lt;&gt;"",ISNUMBER(L60)),"已验收","缺证据或日期"),IF(H60="","缺状态","未验收"))</f>
        <v>未验收</v>
      </c>
      <c r="N60" s="27" t="s">
        <v>1127</v>
      </c>
    </row>
    <row r="61" customFormat="false" ht="102.4" hidden="false" customHeight="true" outlineLevel="0" collapsed="false">
      <c r="A61" s="88" t="s">
        <v>1140</v>
      </c>
      <c r="B61" s="89" t="s">
        <v>854</v>
      </c>
      <c r="C61" s="88" t="s">
        <v>1128</v>
      </c>
      <c r="D61" s="94" t="s">
        <v>1539</v>
      </c>
      <c r="E61" s="88" t="s">
        <v>1142</v>
      </c>
      <c r="F61" s="89" t="s">
        <v>1446</v>
      </c>
      <c r="G61" s="94" t="s">
        <v>1530</v>
      </c>
      <c r="H61" s="105" t="s">
        <v>1366</v>
      </c>
      <c r="I61" s="89" t="s">
        <v>1531</v>
      </c>
      <c r="J61" s="88" t="s">
        <v>1540</v>
      </c>
      <c r="K61" s="88"/>
      <c r="L61" s="93"/>
      <c r="M61" s="94" t="str">
        <f aca="false">IF(H61="已验收",IF(AND(K61&lt;&gt;"",ISNUMBER(L61)),"已验收","缺证据或日期"),IF(H61="","缺状态","未验收"))</f>
        <v>未验收</v>
      </c>
      <c r="N61" s="27" t="s">
        <v>1127</v>
      </c>
    </row>
    <row r="62" customFormat="false" ht="102.4" hidden="false" customHeight="true" outlineLevel="0" collapsed="false">
      <c r="A62" s="88" t="s">
        <v>1143</v>
      </c>
      <c r="B62" s="89" t="s">
        <v>854</v>
      </c>
      <c r="C62" s="88" t="s">
        <v>1128</v>
      </c>
      <c r="D62" s="94" t="s">
        <v>1541</v>
      </c>
      <c r="E62" s="88" t="s">
        <v>1145</v>
      </c>
      <c r="F62" s="89" t="s">
        <v>1446</v>
      </c>
      <c r="G62" s="94" t="s">
        <v>1530</v>
      </c>
      <c r="H62" s="105" t="s">
        <v>1366</v>
      </c>
      <c r="I62" s="89" t="s">
        <v>1531</v>
      </c>
      <c r="J62" s="88" t="s">
        <v>1542</v>
      </c>
      <c r="K62" s="88"/>
      <c r="L62" s="93"/>
      <c r="M62" s="94" t="str">
        <f aca="false">IF(H62="已验收",IF(AND(K62&lt;&gt;"",ISNUMBER(L62)),"已验收","缺证据或日期"),IF(H62="","缺状态","未验收"))</f>
        <v>未验收</v>
      </c>
      <c r="N62" s="27" t="s">
        <v>1127</v>
      </c>
    </row>
    <row r="63" customFormat="false" ht="102.4" hidden="false" customHeight="true" outlineLevel="0" collapsed="false">
      <c r="A63" s="88" t="s">
        <v>1146</v>
      </c>
      <c r="B63" s="89" t="s">
        <v>854</v>
      </c>
      <c r="C63" s="88" t="s">
        <v>1148</v>
      </c>
      <c r="D63" s="94" t="s">
        <v>1543</v>
      </c>
      <c r="E63" s="88" t="s">
        <v>1149</v>
      </c>
      <c r="F63" s="89" t="s">
        <v>1446</v>
      </c>
      <c r="G63" s="94" t="s">
        <v>1530</v>
      </c>
      <c r="H63" s="105" t="s">
        <v>1366</v>
      </c>
      <c r="I63" s="89" t="s">
        <v>1531</v>
      </c>
      <c r="J63" s="88" t="s">
        <v>1544</v>
      </c>
      <c r="K63" s="88"/>
      <c r="L63" s="93"/>
      <c r="M63" s="94" t="str">
        <f aca="false">IF(H63="已验收",IF(AND(K63&lt;&gt;"",ISNUMBER(L63)),"已验收","缺证据或日期"),IF(H63="","缺状态","未验收"))</f>
        <v>未验收</v>
      </c>
      <c r="N63" s="27" t="s">
        <v>1127</v>
      </c>
    </row>
    <row r="64" customFormat="false" ht="102.4" hidden="false" customHeight="true" outlineLevel="0" collapsed="false">
      <c r="A64" s="88" t="s">
        <v>1150</v>
      </c>
      <c r="B64" s="89" t="s">
        <v>854</v>
      </c>
      <c r="C64" s="88" t="s">
        <v>1148</v>
      </c>
      <c r="D64" s="94" t="s">
        <v>1545</v>
      </c>
      <c r="E64" s="88" t="s">
        <v>1152</v>
      </c>
      <c r="F64" s="89" t="s">
        <v>1446</v>
      </c>
      <c r="G64" s="94" t="s">
        <v>1530</v>
      </c>
      <c r="H64" s="105" t="s">
        <v>1366</v>
      </c>
      <c r="I64" s="89" t="s">
        <v>1531</v>
      </c>
      <c r="J64" s="88" t="s">
        <v>1546</v>
      </c>
      <c r="K64" s="88"/>
      <c r="L64" s="93"/>
      <c r="M64" s="94" t="str">
        <f aca="false">IF(H64="已验收",IF(AND(K64&lt;&gt;"",ISNUMBER(L64)),"已验收","缺证据或日期"),IF(H64="","缺状态","未验收"))</f>
        <v>未验收</v>
      </c>
      <c r="N64" s="27" t="s">
        <v>1127</v>
      </c>
    </row>
    <row r="65" customFormat="false" ht="102.4" hidden="false" customHeight="true" outlineLevel="0" collapsed="false">
      <c r="A65" s="88" t="s">
        <v>1153</v>
      </c>
      <c r="B65" s="89" t="s">
        <v>854</v>
      </c>
      <c r="C65" s="88" t="s">
        <v>1148</v>
      </c>
      <c r="D65" s="94" t="s">
        <v>1547</v>
      </c>
      <c r="E65" s="88" t="s">
        <v>1155</v>
      </c>
      <c r="F65" s="89" t="s">
        <v>1446</v>
      </c>
      <c r="G65" s="94" t="s">
        <v>1530</v>
      </c>
      <c r="H65" s="105" t="s">
        <v>1366</v>
      </c>
      <c r="I65" s="89" t="s">
        <v>1531</v>
      </c>
      <c r="J65" s="88" t="s">
        <v>1548</v>
      </c>
      <c r="K65" s="88"/>
      <c r="L65" s="93"/>
      <c r="M65" s="94" t="str">
        <f aca="false">IF(H65="已验收",IF(AND(K65&lt;&gt;"",ISNUMBER(L65)),"已验收","缺证据或日期"),IF(H65="","缺状态","未验收"))</f>
        <v>未验收</v>
      </c>
      <c r="N65" s="27" t="s">
        <v>1127</v>
      </c>
    </row>
    <row r="66" customFormat="false" ht="102.4" hidden="false" customHeight="true" outlineLevel="0" collapsed="false">
      <c r="A66" s="88" t="s">
        <v>1156</v>
      </c>
      <c r="B66" s="89" t="s">
        <v>854</v>
      </c>
      <c r="C66" s="88" t="s">
        <v>1148</v>
      </c>
      <c r="D66" s="94" t="s">
        <v>1549</v>
      </c>
      <c r="E66" s="88" t="s">
        <v>1158</v>
      </c>
      <c r="F66" s="89" t="s">
        <v>1446</v>
      </c>
      <c r="G66" s="94" t="s">
        <v>1530</v>
      </c>
      <c r="H66" s="105" t="s">
        <v>1366</v>
      </c>
      <c r="I66" s="89" t="s">
        <v>1531</v>
      </c>
      <c r="J66" s="88" t="s">
        <v>1550</v>
      </c>
      <c r="K66" s="88"/>
      <c r="L66" s="93"/>
      <c r="M66" s="94" t="str">
        <f aca="false">IF(H66="已验收",IF(AND(K66&lt;&gt;"",ISNUMBER(L66)),"已验收","缺证据或日期"),IF(H66="","缺状态","未验收"))</f>
        <v>未验收</v>
      </c>
      <c r="N66" s="27" t="s">
        <v>1127</v>
      </c>
    </row>
    <row r="67" customFormat="false" ht="102.4" hidden="false" customHeight="true" outlineLevel="0" collapsed="false">
      <c r="A67" s="88" t="s">
        <v>1159</v>
      </c>
      <c r="B67" s="89" t="s">
        <v>854</v>
      </c>
      <c r="C67" s="88" t="s">
        <v>1148</v>
      </c>
      <c r="D67" s="94" t="s">
        <v>1551</v>
      </c>
      <c r="E67" s="88" t="s">
        <v>1161</v>
      </c>
      <c r="F67" s="89" t="s">
        <v>1446</v>
      </c>
      <c r="G67" s="94" t="s">
        <v>1530</v>
      </c>
      <c r="H67" s="105" t="s">
        <v>1366</v>
      </c>
      <c r="I67" s="89" t="s">
        <v>1531</v>
      </c>
      <c r="J67" s="88" t="s">
        <v>1552</v>
      </c>
      <c r="K67" s="88"/>
      <c r="L67" s="93"/>
      <c r="M67" s="94" t="str">
        <f aca="false">IF(H67="已验收",IF(AND(K67&lt;&gt;"",ISNUMBER(L67)),"已验收","缺证据或日期"),IF(H67="","缺状态","未验收"))</f>
        <v>未验收</v>
      </c>
      <c r="N67" s="27" t="s">
        <v>1127</v>
      </c>
    </row>
    <row r="68" customFormat="false" ht="102.4" hidden="false" customHeight="true" outlineLevel="0" collapsed="false">
      <c r="A68" s="88" t="s">
        <v>1162</v>
      </c>
      <c r="B68" s="89" t="s">
        <v>854</v>
      </c>
      <c r="C68" s="88" t="s">
        <v>1148</v>
      </c>
      <c r="D68" s="94" t="s">
        <v>1553</v>
      </c>
      <c r="E68" s="88" t="s">
        <v>1164</v>
      </c>
      <c r="F68" s="89" t="s">
        <v>1446</v>
      </c>
      <c r="G68" s="94" t="s">
        <v>1530</v>
      </c>
      <c r="H68" s="105" t="s">
        <v>1366</v>
      </c>
      <c r="I68" s="89" t="s">
        <v>1531</v>
      </c>
      <c r="J68" s="88" t="s">
        <v>1554</v>
      </c>
      <c r="K68" s="88"/>
      <c r="L68" s="93"/>
      <c r="M68" s="94" t="str">
        <f aca="false">IF(H68="已验收",IF(AND(K68&lt;&gt;"",ISNUMBER(L68)),"已验收","缺证据或日期"),IF(H68="","缺状态","未验收"))</f>
        <v>未验收</v>
      </c>
      <c r="N68" s="27" t="s">
        <v>1127</v>
      </c>
    </row>
    <row r="69" customFormat="false" ht="78" hidden="false" customHeight="true" outlineLevel="0" collapsed="false">
      <c r="A69" s="95" t="s">
        <v>1165</v>
      </c>
      <c r="B69" s="96" t="s">
        <v>872</v>
      </c>
      <c r="C69" s="95" t="s">
        <v>876</v>
      </c>
      <c r="D69" s="97" t="s">
        <v>1555</v>
      </c>
      <c r="E69" s="95" t="s">
        <v>1174</v>
      </c>
      <c r="F69" s="96" t="s">
        <v>1556</v>
      </c>
      <c r="G69" s="96" t="s">
        <v>1557</v>
      </c>
      <c r="H69" s="106" t="s">
        <v>1366</v>
      </c>
      <c r="I69" s="97" t="s">
        <v>1558</v>
      </c>
      <c r="J69" s="95" t="s">
        <v>1559</v>
      </c>
      <c r="K69" s="95"/>
      <c r="L69" s="101"/>
      <c r="M69" s="97" t="str">
        <f aca="false">IF(H69="已验收",IF(AND(K69&lt;&gt;"",ISNUMBER(L69)),"已验收","缺证据或日期"),IF(H69="","缺状态","未验收"))</f>
        <v>未验收</v>
      </c>
      <c r="N69" s="33" t="s">
        <v>145</v>
      </c>
    </row>
    <row r="70" customFormat="false" ht="78" hidden="false" customHeight="true" outlineLevel="0" collapsed="false">
      <c r="A70" s="95" t="s">
        <v>1175</v>
      </c>
      <c r="B70" s="96" t="s">
        <v>872</v>
      </c>
      <c r="C70" s="95" t="s">
        <v>876</v>
      </c>
      <c r="D70" s="97" t="s">
        <v>1560</v>
      </c>
      <c r="E70" s="95" t="s">
        <v>1178</v>
      </c>
      <c r="F70" s="96" t="s">
        <v>1556</v>
      </c>
      <c r="G70" s="96" t="s">
        <v>1557</v>
      </c>
      <c r="H70" s="106" t="s">
        <v>1366</v>
      </c>
      <c r="I70" s="97" t="s">
        <v>1558</v>
      </c>
      <c r="J70" s="95" t="s">
        <v>1561</v>
      </c>
      <c r="K70" s="95"/>
      <c r="L70" s="101"/>
      <c r="M70" s="97" t="str">
        <f aca="false">IF(H70="已验收",IF(AND(K70&lt;&gt;"",ISNUMBER(L70)),"已验收","缺证据或日期"),IF(H70="","缺状态","未验收"))</f>
        <v>未验收</v>
      </c>
      <c r="N70" s="33" t="s">
        <v>145</v>
      </c>
    </row>
    <row r="71" customFormat="false" ht="78" hidden="false" customHeight="true" outlineLevel="0" collapsed="false">
      <c r="A71" s="95" t="s">
        <v>1179</v>
      </c>
      <c r="B71" s="96" t="s">
        <v>872</v>
      </c>
      <c r="C71" s="95" t="s">
        <v>883</v>
      </c>
      <c r="D71" s="97" t="s">
        <v>1562</v>
      </c>
      <c r="E71" s="95" t="s">
        <v>1182</v>
      </c>
      <c r="F71" s="96" t="s">
        <v>1556</v>
      </c>
      <c r="G71" s="96" t="s">
        <v>1557</v>
      </c>
      <c r="H71" s="106" t="s">
        <v>1366</v>
      </c>
      <c r="I71" s="97" t="s">
        <v>1558</v>
      </c>
      <c r="J71" s="95" t="s">
        <v>1563</v>
      </c>
      <c r="K71" s="95"/>
      <c r="L71" s="101"/>
      <c r="M71" s="97" t="str">
        <f aca="false">IF(H71="已验收",IF(AND(K71&lt;&gt;"",ISNUMBER(L71)),"已验收","缺证据或日期"),IF(H71="","缺状态","未验收"))</f>
        <v>未验收</v>
      </c>
      <c r="N71" s="33" t="s">
        <v>145</v>
      </c>
    </row>
    <row r="72" customFormat="false" ht="78" hidden="false" customHeight="true" outlineLevel="0" collapsed="false">
      <c r="A72" s="95" t="s">
        <v>1183</v>
      </c>
      <c r="B72" s="96" t="s">
        <v>1067</v>
      </c>
      <c r="C72" s="95" t="s">
        <v>1070</v>
      </c>
      <c r="D72" s="97" t="s">
        <v>1564</v>
      </c>
      <c r="E72" s="95" t="s">
        <v>1188</v>
      </c>
      <c r="F72" s="96" t="s">
        <v>1556</v>
      </c>
      <c r="G72" s="96" t="s">
        <v>1557</v>
      </c>
      <c r="H72" s="106" t="s">
        <v>1366</v>
      </c>
      <c r="I72" s="97" t="s">
        <v>1558</v>
      </c>
      <c r="J72" s="95" t="s">
        <v>1565</v>
      </c>
      <c r="K72" s="95"/>
      <c r="L72" s="101"/>
      <c r="M72" s="97" t="str">
        <f aca="false">IF(H72="已验收",IF(AND(K72&lt;&gt;"",ISNUMBER(L72)),"已验收","缺证据或日期"),IF(H72="","缺状态","未验收"))</f>
        <v>未验收</v>
      </c>
      <c r="N72" s="33" t="s">
        <v>145</v>
      </c>
    </row>
    <row r="73" customFormat="false" ht="78" hidden="false" customHeight="true" outlineLevel="0" collapsed="false">
      <c r="A73" s="95" t="s">
        <v>1189</v>
      </c>
      <c r="B73" s="96" t="s">
        <v>1067</v>
      </c>
      <c r="C73" s="95" t="s">
        <v>1070</v>
      </c>
      <c r="D73" s="97" t="s">
        <v>1566</v>
      </c>
      <c r="E73" s="95" t="s">
        <v>1192</v>
      </c>
      <c r="F73" s="96" t="s">
        <v>1556</v>
      </c>
      <c r="G73" s="96" t="s">
        <v>1557</v>
      </c>
      <c r="H73" s="106" t="s">
        <v>1366</v>
      </c>
      <c r="I73" s="97" t="s">
        <v>1558</v>
      </c>
      <c r="J73" s="95" t="s">
        <v>1567</v>
      </c>
      <c r="K73" s="95"/>
      <c r="L73" s="101"/>
      <c r="M73" s="97" t="str">
        <f aca="false">IF(H73="已验收",IF(AND(K73&lt;&gt;"",ISNUMBER(L73)),"已验收","缺证据或日期"),IF(H73="","缺状态","未验收"))</f>
        <v>未验收</v>
      </c>
      <c r="N73" s="33" t="s">
        <v>145</v>
      </c>
    </row>
    <row r="74" customFormat="false" ht="78" hidden="false" customHeight="true" outlineLevel="0" collapsed="false">
      <c r="A74" s="95" t="s">
        <v>1193</v>
      </c>
      <c r="B74" s="96" t="s">
        <v>1067</v>
      </c>
      <c r="C74" s="95" t="s">
        <v>1070</v>
      </c>
      <c r="D74" s="97" t="s">
        <v>1564</v>
      </c>
      <c r="E74" s="95" t="s">
        <v>1196</v>
      </c>
      <c r="F74" s="96" t="s">
        <v>1556</v>
      </c>
      <c r="G74" s="96" t="s">
        <v>1557</v>
      </c>
      <c r="H74" s="106" t="s">
        <v>1366</v>
      </c>
      <c r="I74" s="97" t="s">
        <v>1558</v>
      </c>
      <c r="J74" s="95" t="s">
        <v>1568</v>
      </c>
      <c r="K74" s="95"/>
      <c r="L74" s="101"/>
      <c r="M74" s="97" t="str">
        <f aca="false">IF(H74="已验收",IF(AND(K74&lt;&gt;"",ISNUMBER(L74)),"已验收","缺证据或日期"),IF(H74="","缺状态","未验收"))</f>
        <v>未验收</v>
      </c>
      <c r="N74" s="33" t="s">
        <v>145</v>
      </c>
    </row>
    <row r="75" customFormat="false" ht="78" hidden="false" customHeight="true" outlineLevel="0" collapsed="false">
      <c r="A75" s="95" t="s">
        <v>1197</v>
      </c>
      <c r="B75" s="96" t="s">
        <v>1067</v>
      </c>
      <c r="C75" s="95" t="s">
        <v>1070</v>
      </c>
      <c r="D75" s="97" t="s">
        <v>1569</v>
      </c>
      <c r="E75" s="95" t="s">
        <v>1200</v>
      </c>
      <c r="F75" s="96" t="s">
        <v>1556</v>
      </c>
      <c r="G75" s="96" t="s">
        <v>1557</v>
      </c>
      <c r="H75" s="106" t="s">
        <v>1366</v>
      </c>
      <c r="I75" s="97" t="s">
        <v>1558</v>
      </c>
      <c r="J75" s="95" t="s">
        <v>1570</v>
      </c>
      <c r="K75" s="95"/>
      <c r="L75" s="101"/>
      <c r="M75" s="97" t="str">
        <f aca="false">IF(H75="已验收",IF(AND(K75&lt;&gt;"",ISNUMBER(L75)),"已验收","缺证据或日期"),IF(H75="","缺状态","未验收"))</f>
        <v>未验收</v>
      </c>
      <c r="N75" s="33" t="s">
        <v>145</v>
      </c>
    </row>
    <row r="76" customFormat="false" ht="78" hidden="false" customHeight="true" outlineLevel="0" collapsed="false">
      <c r="A76" s="95" t="s">
        <v>1201</v>
      </c>
      <c r="B76" s="96" t="s">
        <v>1067</v>
      </c>
      <c r="C76" s="95" t="s">
        <v>1070</v>
      </c>
      <c r="D76" s="97" t="s">
        <v>1569</v>
      </c>
      <c r="E76" s="95" t="s">
        <v>1204</v>
      </c>
      <c r="F76" s="96" t="s">
        <v>1556</v>
      </c>
      <c r="G76" s="96" t="s">
        <v>1557</v>
      </c>
      <c r="H76" s="106" t="s">
        <v>1366</v>
      </c>
      <c r="I76" s="97" t="s">
        <v>1558</v>
      </c>
      <c r="J76" s="95" t="s">
        <v>1571</v>
      </c>
      <c r="K76" s="95"/>
      <c r="L76" s="101"/>
      <c r="M76" s="97" t="str">
        <f aca="false">IF(H76="已验收",IF(AND(K76&lt;&gt;"",ISNUMBER(L76)),"已验收","缺证据或日期"),IF(H76="","缺状态","未验收"))</f>
        <v>未验收</v>
      </c>
      <c r="N76" s="33" t="s">
        <v>145</v>
      </c>
    </row>
    <row r="77" customFormat="false" ht="38.4" hidden="false" customHeight="true" outlineLevel="0" collapsed="false">
      <c r="A77" s="95" t="s">
        <v>1205</v>
      </c>
      <c r="B77" s="96" t="s">
        <v>872</v>
      </c>
      <c r="C77" s="95" t="s">
        <v>883</v>
      </c>
      <c r="D77" s="97" t="s">
        <v>1572</v>
      </c>
      <c r="E77" s="95" t="s">
        <v>1208</v>
      </c>
      <c r="F77" s="96" t="s">
        <v>1556</v>
      </c>
      <c r="G77" s="96" t="s">
        <v>1557</v>
      </c>
      <c r="H77" s="106" t="s">
        <v>1366</v>
      </c>
      <c r="I77" s="97" t="s">
        <v>1573</v>
      </c>
      <c r="J77" s="95" t="s">
        <v>1574</v>
      </c>
      <c r="K77" s="95"/>
      <c r="L77" s="101"/>
      <c r="M77" s="97" t="str">
        <f aca="false">IF(H77="已验收",IF(AND(K77&lt;&gt;"",ISNUMBER(L77)),"已验收","缺证据或日期"),IF(H77="","缺状态","未验收"))</f>
        <v>未验收</v>
      </c>
      <c r="N77" s="33" t="s">
        <v>147</v>
      </c>
    </row>
    <row r="78" customFormat="false" ht="38.4" hidden="false" customHeight="true" outlineLevel="0" collapsed="false">
      <c r="A78" s="95" t="s">
        <v>1209</v>
      </c>
      <c r="B78" s="96" t="s">
        <v>872</v>
      </c>
      <c r="C78" s="95" t="s">
        <v>883</v>
      </c>
      <c r="D78" s="97" t="s">
        <v>1575</v>
      </c>
      <c r="E78" s="95" t="s">
        <v>1214</v>
      </c>
      <c r="F78" s="96" t="s">
        <v>1556</v>
      </c>
      <c r="G78" s="96" t="s">
        <v>1557</v>
      </c>
      <c r="H78" s="106" t="s">
        <v>1366</v>
      </c>
      <c r="I78" s="97" t="s">
        <v>1573</v>
      </c>
      <c r="J78" s="95" t="s">
        <v>1576</v>
      </c>
      <c r="K78" s="95"/>
      <c r="L78" s="101"/>
      <c r="M78" s="97" t="str">
        <f aca="false">IF(H78="已验收",IF(AND(K78&lt;&gt;"",ISNUMBER(L78)),"已验收","缺证据或日期"),IF(H78="","缺状态","未验收"))</f>
        <v>未验收</v>
      </c>
      <c r="N78" s="33" t="s">
        <v>147</v>
      </c>
    </row>
    <row r="79" customFormat="false" ht="38.4" hidden="false" customHeight="true" outlineLevel="0" collapsed="false">
      <c r="A79" s="95" t="s">
        <v>1215</v>
      </c>
      <c r="B79" s="96" t="s">
        <v>872</v>
      </c>
      <c r="C79" s="95" t="s">
        <v>883</v>
      </c>
      <c r="D79" s="97" t="s">
        <v>1577</v>
      </c>
      <c r="E79" s="95" t="s">
        <v>1218</v>
      </c>
      <c r="F79" s="96" t="s">
        <v>1556</v>
      </c>
      <c r="G79" s="96" t="s">
        <v>1557</v>
      </c>
      <c r="H79" s="106" t="s">
        <v>1366</v>
      </c>
      <c r="I79" s="97" t="s">
        <v>1573</v>
      </c>
      <c r="J79" s="95" t="s">
        <v>1578</v>
      </c>
      <c r="K79" s="95"/>
      <c r="L79" s="101"/>
      <c r="M79" s="97" t="str">
        <f aca="false">IF(H79="已验收",IF(AND(K79&lt;&gt;"",ISNUMBER(L79)),"已验收","缺证据或日期"),IF(H79="","缺状态","未验收"))</f>
        <v>未验收</v>
      </c>
      <c r="N79" s="33" t="s">
        <v>147</v>
      </c>
    </row>
    <row r="80" customFormat="false" ht="38.4" hidden="false" customHeight="true" outlineLevel="0" collapsed="false">
      <c r="A80" s="95" t="s">
        <v>1219</v>
      </c>
      <c r="B80" s="96" t="s">
        <v>872</v>
      </c>
      <c r="C80" s="95" t="s">
        <v>883</v>
      </c>
      <c r="D80" s="97" t="s">
        <v>1579</v>
      </c>
      <c r="E80" s="95" t="s">
        <v>1222</v>
      </c>
      <c r="F80" s="96" t="s">
        <v>1556</v>
      </c>
      <c r="G80" s="96" t="s">
        <v>1557</v>
      </c>
      <c r="H80" s="106" t="s">
        <v>1366</v>
      </c>
      <c r="I80" s="97" t="s">
        <v>1573</v>
      </c>
      <c r="J80" s="95" t="s">
        <v>1580</v>
      </c>
      <c r="K80" s="95"/>
      <c r="L80" s="101"/>
      <c r="M80" s="97" t="str">
        <f aca="false">IF(H80="已验收",IF(AND(K80&lt;&gt;"",ISNUMBER(L80)),"已验收","缺证据或日期"),IF(H80="","缺状态","未验收"))</f>
        <v>未验收</v>
      </c>
      <c r="N80" s="33" t="s">
        <v>147</v>
      </c>
    </row>
    <row r="81" customFormat="false" ht="38.4" hidden="false" customHeight="true" outlineLevel="0" collapsed="false">
      <c r="A81" s="95" t="s">
        <v>1223</v>
      </c>
      <c r="B81" s="96" t="s">
        <v>872</v>
      </c>
      <c r="C81" s="95" t="s">
        <v>883</v>
      </c>
      <c r="D81" s="97" t="s">
        <v>1581</v>
      </c>
      <c r="E81" s="95" t="s">
        <v>1226</v>
      </c>
      <c r="F81" s="96" t="s">
        <v>1556</v>
      </c>
      <c r="G81" s="96" t="s">
        <v>1557</v>
      </c>
      <c r="H81" s="106" t="s">
        <v>1366</v>
      </c>
      <c r="I81" s="97" t="s">
        <v>1573</v>
      </c>
      <c r="J81" s="95" t="s">
        <v>1582</v>
      </c>
      <c r="K81" s="95"/>
      <c r="L81" s="101"/>
      <c r="M81" s="97" t="str">
        <f aca="false">IF(H81="已验收",IF(AND(K81&lt;&gt;"",ISNUMBER(L81)),"已验收","缺证据或日期"),IF(H81="","缺状态","未验收"))</f>
        <v>未验收</v>
      </c>
      <c r="N81" s="33" t="s">
        <v>147</v>
      </c>
    </row>
    <row r="82" customFormat="false" ht="38.4" hidden="false" customHeight="true" outlineLevel="0" collapsed="false">
      <c r="A82" s="95" t="s">
        <v>1227</v>
      </c>
      <c r="B82" s="96" t="s">
        <v>821</v>
      </c>
      <c r="C82" s="95" t="s">
        <v>1231</v>
      </c>
      <c r="D82" s="96" t="s">
        <v>1583</v>
      </c>
      <c r="E82" s="95" t="s">
        <v>1236</v>
      </c>
      <c r="F82" s="96" t="s">
        <v>1584</v>
      </c>
      <c r="G82" s="96" t="s">
        <v>1557</v>
      </c>
      <c r="H82" s="106" t="s">
        <v>1366</v>
      </c>
      <c r="I82" s="97" t="s">
        <v>1585</v>
      </c>
      <c r="J82" s="95" t="s">
        <v>1586</v>
      </c>
      <c r="K82" s="95"/>
      <c r="L82" s="101"/>
      <c r="M82" s="97" t="str">
        <f aca="false">IF(H82="已验收",IF(AND(K82&lt;&gt;"",ISNUMBER(L82)),"已验收","缺证据或日期"),IF(H82="","缺状态","未验收"))</f>
        <v>未验收</v>
      </c>
      <c r="N82" s="33" t="s">
        <v>149</v>
      </c>
    </row>
    <row r="83" customFormat="false" ht="38.4" hidden="false" customHeight="true" outlineLevel="0" collapsed="false">
      <c r="A83" s="95" t="s">
        <v>1237</v>
      </c>
      <c r="B83" s="96" t="s">
        <v>821</v>
      </c>
      <c r="C83" s="95" t="s">
        <v>1231</v>
      </c>
      <c r="D83" s="96" t="s">
        <v>1587</v>
      </c>
      <c r="E83" s="95" t="s">
        <v>1240</v>
      </c>
      <c r="F83" s="96" t="s">
        <v>1584</v>
      </c>
      <c r="G83" s="96" t="s">
        <v>1557</v>
      </c>
      <c r="H83" s="106" t="s">
        <v>1366</v>
      </c>
      <c r="I83" s="97" t="s">
        <v>1585</v>
      </c>
      <c r="J83" s="95" t="s">
        <v>1588</v>
      </c>
      <c r="K83" s="95"/>
      <c r="L83" s="101"/>
      <c r="M83" s="97" t="str">
        <f aca="false">IF(H83="已验收",IF(AND(K83&lt;&gt;"",ISNUMBER(L83)),"已验收","缺证据或日期"),IF(H83="","缺状态","未验收"))</f>
        <v>未验收</v>
      </c>
      <c r="N83" s="33" t="s">
        <v>149</v>
      </c>
    </row>
    <row r="84" customFormat="false" ht="38.4" hidden="false" customHeight="true" outlineLevel="0" collapsed="false">
      <c r="A84" s="95" t="s">
        <v>1241</v>
      </c>
      <c r="B84" s="96" t="s">
        <v>821</v>
      </c>
      <c r="C84" s="95" t="s">
        <v>1231</v>
      </c>
      <c r="D84" s="96" t="s">
        <v>1589</v>
      </c>
      <c r="E84" s="95" t="s">
        <v>1244</v>
      </c>
      <c r="F84" s="96" t="s">
        <v>1584</v>
      </c>
      <c r="G84" s="96" t="s">
        <v>1557</v>
      </c>
      <c r="H84" s="106" t="s">
        <v>1366</v>
      </c>
      <c r="I84" s="97" t="s">
        <v>1585</v>
      </c>
      <c r="J84" s="95" t="s">
        <v>1590</v>
      </c>
      <c r="K84" s="95"/>
      <c r="L84" s="101"/>
      <c r="M84" s="97" t="str">
        <f aca="false">IF(H84="已验收",IF(AND(K84&lt;&gt;"",ISNUMBER(L84)),"已验收","缺证据或日期"),IF(H84="","缺状态","未验收"))</f>
        <v>未验收</v>
      </c>
      <c r="N84" s="33" t="s">
        <v>149</v>
      </c>
    </row>
    <row r="85" customFormat="false" ht="38.4" hidden="false" customHeight="true" outlineLevel="0" collapsed="false">
      <c r="A85" s="95" t="s">
        <v>1245</v>
      </c>
      <c r="B85" s="96" t="s">
        <v>821</v>
      </c>
      <c r="C85" s="95" t="s">
        <v>1231</v>
      </c>
      <c r="D85" s="96" t="s">
        <v>1591</v>
      </c>
      <c r="E85" s="95" t="s">
        <v>1248</v>
      </c>
      <c r="F85" s="96" t="s">
        <v>1584</v>
      </c>
      <c r="G85" s="96" t="s">
        <v>1557</v>
      </c>
      <c r="H85" s="106" t="s">
        <v>1366</v>
      </c>
      <c r="I85" s="97" t="s">
        <v>1585</v>
      </c>
      <c r="J85" s="95" t="s">
        <v>1592</v>
      </c>
      <c r="K85" s="95"/>
      <c r="L85" s="101"/>
      <c r="M85" s="97" t="str">
        <f aca="false">IF(H85="已验收",IF(AND(K85&lt;&gt;"",ISNUMBER(L85)),"已验收","缺证据或日期"),IF(H85="","缺状态","未验收"))</f>
        <v>未验收</v>
      </c>
      <c r="N85" s="33" t="s">
        <v>149</v>
      </c>
    </row>
    <row r="86" customFormat="false" ht="38.4" hidden="false" customHeight="true" outlineLevel="0" collapsed="false">
      <c r="A86" s="95" t="s">
        <v>1249</v>
      </c>
      <c r="B86" s="96" t="s">
        <v>821</v>
      </c>
      <c r="C86" s="95" t="s">
        <v>1231</v>
      </c>
      <c r="D86" s="96" t="s">
        <v>1593</v>
      </c>
      <c r="E86" s="95" t="s">
        <v>1251</v>
      </c>
      <c r="F86" s="96" t="s">
        <v>1584</v>
      </c>
      <c r="G86" s="96" t="s">
        <v>1557</v>
      </c>
      <c r="H86" s="106" t="s">
        <v>1366</v>
      </c>
      <c r="I86" s="97" t="s">
        <v>1585</v>
      </c>
      <c r="J86" s="95" t="s">
        <v>1594</v>
      </c>
      <c r="K86" s="95"/>
      <c r="L86" s="101"/>
      <c r="M86" s="97" t="str">
        <f aca="false">IF(H86="已验收",IF(AND(K86&lt;&gt;"",ISNUMBER(L86)),"已验收","缺证据或日期"),IF(H86="","缺状态","未验收"))</f>
        <v>未验收</v>
      </c>
      <c r="N86" s="33" t="s">
        <v>149</v>
      </c>
    </row>
    <row r="87" customFormat="false" ht="38.4" hidden="false" customHeight="true" outlineLevel="0" collapsed="false">
      <c r="A87" s="95" t="s">
        <v>1252</v>
      </c>
      <c r="B87" s="96" t="s">
        <v>821</v>
      </c>
      <c r="C87" s="95" t="s">
        <v>1231</v>
      </c>
      <c r="D87" s="96" t="s">
        <v>1595</v>
      </c>
      <c r="E87" s="95" t="s">
        <v>1255</v>
      </c>
      <c r="F87" s="96" t="s">
        <v>1584</v>
      </c>
      <c r="G87" s="96" t="s">
        <v>1557</v>
      </c>
      <c r="H87" s="106" t="s">
        <v>1366</v>
      </c>
      <c r="I87" s="97" t="s">
        <v>1585</v>
      </c>
      <c r="J87" s="95" t="s">
        <v>1596</v>
      </c>
      <c r="K87" s="95"/>
      <c r="L87" s="101"/>
      <c r="M87" s="97" t="str">
        <f aca="false">IF(H87="已验收",IF(AND(K87&lt;&gt;"",ISNUMBER(L87)),"已验收","缺证据或日期"),IF(H87="","缺状态","未验收"))</f>
        <v>未验收</v>
      </c>
      <c r="N87" s="33" t="s">
        <v>149</v>
      </c>
    </row>
    <row r="88" customFormat="false" ht="38.4" hidden="false" customHeight="true" outlineLevel="0" collapsed="false">
      <c r="A88" s="95" t="s">
        <v>1256</v>
      </c>
      <c r="B88" s="96" t="s">
        <v>821</v>
      </c>
      <c r="C88" s="95" t="s">
        <v>1231</v>
      </c>
      <c r="D88" s="96" t="s">
        <v>1597</v>
      </c>
      <c r="E88" s="95" t="s">
        <v>1259</v>
      </c>
      <c r="F88" s="96" t="s">
        <v>1584</v>
      </c>
      <c r="G88" s="96" t="s">
        <v>1557</v>
      </c>
      <c r="H88" s="106" t="s">
        <v>1366</v>
      </c>
      <c r="I88" s="97" t="s">
        <v>1585</v>
      </c>
      <c r="J88" s="95" t="s">
        <v>1598</v>
      </c>
      <c r="K88" s="95"/>
      <c r="L88" s="101"/>
      <c r="M88" s="97" t="str">
        <f aca="false">IF(H88="已验收",IF(AND(K88&lt;&gt;"",ISNUMBER(L88)),"已验收","缺证据或日期"),IF(H88="","缺状态","未验收"))</f>
        <v>未验收</v>
      </c>
      <c r="N88" s="33" t="s">
        <v>149</v>
      </c>
    </row>
    <row r="89" customFormat="false" ht="38.4" hidden="false" customHeight="true" outlineLevel="0" collapsed="false">
      <c r="A89" s="95" t="s">
        <v>1260</v>
      </c>
      <c r="B89" s="96" t="s">
        <v>821</v>
      </c>
      <c r="C89" s="95" t="s">
        <v>1263</v>
      </c>
      <c r="D89" s="96" t="s">
        <v>1599</v>
      </c>
      <c r="E89" s="95" t="s">
        <v>1264</v>
      </c>
      <c r="F89" s="96" t="s">
        <v>1584</v>
      </c>
      <c r="G89" s="96" t="s">
        <v>1557</v>
      </c>
      <c r="H89" s="106" t="s">
        <v>1366</v>
      </c>
      <c r="I89" s="97" t="s">
        <v>1585</v>
      </c>
      <c r="J89" s="95" t="s">
        <v>1600</v>
      </c>
      <c r="K89" s="95"/>
      <c r="L89" s="101"/>
      <c r="M89" s="97" t="str">
        <f aca="false">IF(H89="已验收",IF(AND(K89&lt;&gt;"",ISNUMBER(L89)),"已验收","缺证据或日期"),IF(H89="","缺状态","未验收"))</f>
        <v>未验收</v>
      </c>
      <c r="N89" s="33" t="s">
        <v>149</v>
      </c>
    </row>
    <row r="90" customFormat="false" ht="38.4" hidden="false" customHeight="true" outlineLevel="0" collapsed="false">
      <c r="A90" s="95" t="s">
        <v>1265</v>
      </c>
      <c r="B90" s="96" t="s">
        <v>821</v>
      </c>
      <c r="C90" s="95" t="s">
        <v>1263</v>
      </c>
      <c r="D90" s="96" t="s">
        <v>1601</v>
      </c>
      <c r="E90" s="95" t="s">
        <v>1268</v>
      </c>
      <c r="F90" s="96" t="s">
        <v>1584</v>
      </c>
      <c r="G90" s="96" t="s">
        <v>1557</v>
      </c>
      <c r="H90" s="106" t="s">
        <v>1366</v>
      </c>
      <c r="I90" s="97" t="s">
        <v>1585</v>
      </c>
      <c r="J90" s="95" t="s">
        <v>1602</v>
      </c>
      <c r="K90" s="95"/>
      <c r="L90" s="101"/>
      <c r="M90" s="97" t="str">
        <f aca="false">IF(H90="已验收",IF(AND(K90&lt;&gt;"",ISNUMBER(L90)),"已验收","缺证据或日期"),IF(H90="","缺状态","未验收"))</f>
        <v>未验收</v>
      </c>
      <c r="N90" s="33" t="s">
        <v>149</v>
      </c>
    </row>
    <row r="91" customFormat="false" ht="38.4" hidden="false" customHeight="true" outlineLevel="0" collapsed="false">
      <c r="A91" s="95" t="s">
        <v>1269</v>
      </c>
      <c r="B91" s="96" t="s">
        <v>821</v>
      </c>
      <c r="C91" s="95" t="s">
        <v>1263</v>
      </c>
      <c r="D91" s="96" t="s">
        <v>1603</v>
      </c>
      <c r="E91" s="95" t="s">
        <v>1271</v>
      </c>
      <c r="F91" s="96" t="s">
        <v>1584</v>
      </c>
      <c r="G91" s="96" t="s">
        <v>1557</v>
      </c>
      <c r="H91" s="106" t="s">
        <v>1366</v>
      </c>
      <c r="I91" s="97" t="s">
        <v>1585</v>
      </c>
      <c r="J91" s="95" t="s">
        <v>1604</v>
      </c>
      <c r="K91" s="95"/>
      <c r="L91" s="101"/>
      <c r="M91" s="97" t="str">
        <f aca="false">IF(H91="已验收",IF(AND(K91&lt;&gt;"",ISNUMBER(L91)),"已验收","缺证据或日期"),IF(H91="","缺状态","未验收"))</f>
        <v>未验收</v>
      </c>
      <c r="N91" s="33" t="s">
        <v>149</v>
      </c>
    </row>
    <row r="92" customFormat="false" ht="38.4" hidden="false" customHeight="true" outlineLevel="0" collapsed="false">
      <c r="A92" s="95" t="s">
        <v>1272</v>
      </c>
      <c r="B92" s="96" t="s">
        <v>821</v>
      </c>
      <c r="C92" s="95" t="s">
        <v>1263</v>
      </c>
      <c r="D92" s="96" t="s">
        <v>1605</v>
      </c>
      <c r="E92" s="95" t="s">
        <v>1274</v>
      </c>
      <c r="F92" s="96" t="s">
        <v>1584</v>
      </c>
      <c r="G92" s="96" t="s">
        <v>1557</v>
      </c>
      <c r="H92" s="106" t="s">
        <v>1366</v>
      </c>
      <c r="I92" s="97" t="s">
        <v>1585</v>
      </c>
      <c r="J92" s="95" t="s">
        <v>1606</v>
      </c>
      <c r="K92" s="95"/>
      <c r="L92" s="101"/>
      <c r="M92" s="97" t="str">
        <f aca="false">IF(H92="已验收",IF(AND(K92&lt;&gt;"",ISNUMBER(L92)),"已验收","缺证据或日期"),IF(H92="","缺状态","未验收"))</f>
        <v>未验收</v>
      </c>
      <c r="N92" s="33" t="s">
        <v>149</v>
      </c>
    </row>
    <row r="93" customFormat="false" ht="38.4" hidden="false" customHeight="true" outlineLevel="0" collapsed="false">
      <c r="A93" s="95" t="s">
        <v>1275</v>
      </c>
      <c r="B93" s="96" t="s">
        <v>821</v>
      </c>
      <c r="C93" s="95" t="s">
        <v>1263</v>
      </c>
      <c r="D93" s="96" t="s">
        <v>1607</v>
      </c>
      <c r="E93" s="95" t="s">
        <v>1277</v>
      </c>
      <c r="F93" s="96" t="s">
        <v>1584</v>
      </c>
      <c r="G93" s="96" t="s">
        <v>1557</v>
      </c>
      <c r="H93" s="106" t="s">
        <v>1366</v>
      </c>
      <c r="I93" s="97" t="s">
        <v>1585</v>
      </c>
      <c r="J93" s="95" t="s">
        <v>1608</v>
      </c>
      <c r="K93" s="95"/>
      <c r="L93" s="101"/>
      <c r="M93" s="97" t="str">
        <f aca="false">IF(H93="已验收",IF(AND(K93&lt;&gt;"",ISNUMBER(L93)),"已验收","缺证据或日期"),IF(H93="","缺状态","未验收"))</f>
        <v>未验收</v>
      </c>
      <c r="N93" s="33" t="s">
        <v>149</v>
      </c>
    </row>
    <row r="94" customFormat="false" ht="38.4" hidden="false" customHeight="true" outlineLevel="0" collapsed="false">
      <c r="A94" s="95" t="s">
        <v>1278</v>
      </c>
      <c r="B94" s="96" t="s">
        <v>821</v>
      </c>
      <c r="C94" s="95" t="s">
        <v>1609</v>
      </c>
      <c r="D94" s="97" t="s">
        <v>1610</v>
      </c>
      <c r="E94" s="96" t="s">
        <v>1284</v>
      </c>
      <c r="F94" s="96" t="s">
        <v>1611</v>
      </c>
      <c r="G94" s="96" t="s">
        <v>1557</v>
      </c>
      <c r="H94" s="106" t="s">
        <v>1366</v>
      </c>
      <c r="I94" s="96" t="s">
        <v>1612</v>
      </c>
      <c r="J94" s="95" t="s">
        <v>1613</v>
      </c>
      <c r="K94" s="95"/>
      <c r="L94" s="101"/>
      <c r="M94" s="97" t="str">
        <f aca="false">IF(H94="已验收",IF(AND(K94&lt;&gt;"",ISNUMBER(L94)),"已验收","缺证据或日期"),IF(H94="","缺状态","未验收"))</f>
        <v>未验收</v>
      </c>
      <c r="N94" s="33" t="s">
        <v>151</v>
      </c>
    </row>
    <row r="95" customFormat="false" ht="91.2" hidden="false" customHeight="true" outlineLevel="0" collapsed="false">
      <c r="A95" s="95" t="s">
        <v>1285</v>
      </c>
      <c r="B95" s="96" t="s">
        <v>872</v>
      </c>
      <c r="C95" s="95" t="s">
        <v>883</v>
      </c>
      <c r="D95" s="97" t="s">
        <v>1614</v>
      </c>
      <c r="E95" s="95" t="s">
        <v>1290</v>
      </c>
      <c r="F95" s="96" t="s">
        <v>1556</v>
      </c>
      <c r="G95" s="97" t="s">
        <v>1615</v>
      </c>
      <c r="H95" s="106" t="s">
        <v>1366</v>
      </c>
      <c r="I95" s="97" t="s">
        <v>1616</v>
      </c>
      <c r="J95" s="95" t="s">
        <v>1617</v>
      </c>
      <c r="K95" s="95"/>
      <c r="L95" s="101"/>
      <c r="M95" s="97" t="str">
        <f aca="false">IF(H95="已验收",IF(AND(K95&lt;&gt;"",ISNUMBER(L95)),"已验收","缺证据或日期"),IF(H95="","缺状态","未验收"))</f>
        <v>未验收</v>
      </c>
      <c r="N95" s="33" t="s">
        <v>153</v>
      </c>
    </row>
    <row r="96" customFormat="false" ht="91.2" hidden="false" customHeight="true" outlineLevel="0" collapsed="false">
      <c r="A96" s="95" t="s">
        <v>1291</v>
      </c>
      <c r="B96" s="96" t="s">
        <v>872</v>
      </c>
      <c r="C96" s="95" t="s">
        <v>883</v>
      </c>
      <c r="D96" s="97" t="s">
        <v>1618</v>
      </c>
      <c r="E96" s="95" t="s">
        <v>1294</v>
      </c>
      <c r="F96" s="96" t="s">
        <v>1556</v>
      </c>
      <c r="G96" s="97" t="s">
        <v>1615</v>
      </c>
      <c r="H96" s="106" t="s">
        <v>1366</v>
      </c>
      <c r="I96" s="97" t="s">
        <v>1616</v>
      </c>
      <c r="J96" s="95" t="s">
        <v>1619</v>
      </c>
      <c r="K96" s="95"/>
      <c r="L96" s="101"/>
      <c r="M96" s="97" t="str">
        <f aca="false">IF(H96="已验收",IF(AND(K96&lt;&gt;"",ISNUMBER(L96)),"已验收","缺证据或日期"),IF(H96="","缺状态","未验收"))</f>
        <v>未验收</v>
      </c>
      <c r="N96" s="33" t="s">
        <v>153</v>
      </c>
    </row>
    <row r="97" customFormat="false" ht="91.2" hidden="false" customHeight="true" outlineLevel="0" collapsed="false">
      <c r="A97" s="95" t="s">
        <v>1295</v>
      </c>
      <c r="B97" s="96" t="s">
        <v>872</v>
      </c>
      <c r="C97" s="95" t="s">
        <v>883</v>
      </c>
      <c r="D97" s="97" t="s">
        <v>1620</v>
      </c>
      <c r="E97" s="95" t="s">
        <v>1298</v>
      </c>
      <c r="F97" s="96" t="s">
        <v>1556</v>
      </c>
      <c r="G97" s="97" t="s">
        <v>1615</v>
      </c>
      <c r="H97" s="106" t="s">
        <v>1366</v>
      </c>
      <c r="I97" s="97" t="s">
        <v>1616</v>
      </c>
      <c r="J97" s="95" t="s">
        <v>1621</v>
      </c>
      <c r="K97" s="95"/>
      <c r="L97" s="101"/>
      <c r="M97" s="97" t="str">
        <f aca="false">IF(H97="已验收",IF(AND(K97&lt;&gt;"",ISNUMBER(L97)),"已验收","缺证据或日期"),IF(H97="","缺状态","未验收"))</f>
        <v>未验收</v>
      </c>
      <c r="N97" s="33" t="s">
        <v>153</v>
      </c>
    </row>
    <row r="98" customFormat="false" ht="91.2" hidden="false" customHeight="true" outlineLevel="0" collapsed="false">
      <c r="A98" s="95" t="s">
        <v>1299</v>
      </c>
      <c r="B98" s="96" t="s">
        <v>872</v>
      </c>
      <c r="C98" s="95" t="s">
        <v>883</v>
      </c>
      <c r="D98" s="97" t="s">
        <v>1622</v>
      </c>
      <c r="E98" s="95" t="s">
        <v>1302</v>
      </c>
      <c r="F98" s="96" t="s">
        <v>1556</v>
      </c>
      <c r="G98" s="97" t="s">
        <v>1615</v>
      </c>
      <c r="H98" s="106" t="s">
        <v>1366</v>
      </c>
      <c r="I98" s="97" t="s">
        <v>1616</v>
      </c>
      <c r="J98" s="95" t="s">
        <v>1623</v>
      </c>
      <c r="K98" s="95"/>
      <c r="L98" s="101"/>
      <c r="M98" s="97" t="str">
        <f aca="false">IF(H98="已验收",IF(AND(K98&lt;&gt;"",ISNUMBER(L98)),"已验收","缺证据或日期"),IF(H98="","缺状态","未验收"))</f>
        <v>未验收</v>
      </c>
      <c r="N98" s="33" t="s">
        <v>153</v>
      </c>
    </row>
    <row r="99" customFormat="false" ht="64.8" hidden="false" customHeight="true" outlineLevel="0" collapsed="false">
      <c r="A99" s="95" t="s">
        <v>1303</v>
      </c>
      <c r="B99" s="96" t="s">
        <v>872</v>
      </c>
      <c r="C99" s="95" t="s">
        <v>883</v>
      </c>
      <c r="D99" s="97" t="s">
        <v>1624</v>
      </c>
      <c r="E99" s="95" t="s">
        <v>1306</v>
      </c>
      <c r="F99" s="96" t="s">
        <v>1556</v>
      </c>
      <c r="G99" s="97" t="s">
        <v>1625</v>
      </c>
      <c r="H99" s="106" t="s">
        <v>1366</v>
      </c>
      <c r="I99" s="97" t="s">
        <v>1626</v>
      </c>
      <c r="J99" s="95" t="s">
        <v>1627</v>
      </c>
      <c r="K99" s="95"/>
      <c r="L99" s="101"/>
      <c r="M99" s="97" t="str">
        <f aca="false">IF(H99="已验收",IF(AND(K99&lt;&gt;"",ISNUMBER(L99)),"已验收","缺证据或日期"),IF(H99="","缺状态","未验收"))</f>
        <v>未验收</v>
      </c>
      <c r="N99" s="33" t="s">
        <v>155</v>
      </c>
    </row>
    <row r="100" customFormat="false" ht="64.8" hidden="false" customHeight="true" outlineLevel="0" collapsed="false">
      <c r="A100" s="95" t="s">
        <v>1307</v>
      </c>
      <c r="B100" s="96" t="s">
        <v>872</v>
      </c>
      <c r="C100" s="95" t="s">
        <v>883</v>
      </c>
      <c r="D100" s="97" t="s">
        <v>1628</v>
      </c>
      <c r="E100" s="95" t="s">
        <v>1310</v>
      </c>
      <c r="F100" s="96" t="s">
        <v>1556</v>
      </c>
      <c r="G100" s="97" t="s">
        <v>1625</v>
      </c>
      <c r="H100" s="106" t="s">
        <v>1366</v>
      </c>
      <c r="I100" s="97" t="s">
        <v>1626</v>
      </c>
      <c r="J100" s="95" t="s">
        <v>1629</v>
      </c>
      <c r="K100" s="95"/>
      <c r="L100" s="101"/>
      <c r="M100" s="97" t="str">
        <f aca="false">IF(H100="已验收",IF(AND(K100&lt;&gt;"",ISNUMBER(L100)),"已验收","缺证据或日期"),IF(H100="","缺状态","未验收"))</f>
        <v>未验收</v>
      </c>
      <c r="N100" s="33" t="s">
        <v>155</v>
      </c>
    </row>
    <row r="101" customFormat="false" ht="64.8" hidden="false" customHeight="true" outlineLevel="0" collapsed="false">
      <c r="A101" s="95" t="s">
        <v>1311</v>
      </c>
      <c r="B101" s="96" t="s">
        <v>872</v>
      </c>
      <c r="C101" s="95" t="s">
        <v>883</v>
      </c>
      <c r="D101" s="97" t="s">
        <v>1630</v>
      </c>
      <c r="E101" s="95" t="s">
        <v>1314</v>
      </c>
      <c r="F101" s="96" t="s">
        <v>1556</v>
      </c>
      <c r="G101" s="97" t="s">
        <v>1625</v>
      </c>
      <c r="H101" s="106" t="s">
        <v>1366</v>
      </c>
      <c r="I101" s="97" t="s">
        <v>1626</v>
      </c>
      <c r="J101" s="95" t="s">
        <v>1631</v>
      </c>
      <c r="K101" s="95"/>
      <c r="L101" s="101"/>
      <c r="M101" s="97" t="str">
        <f aca="false">IF(H101="已验收",IF(AND(K101&lt;&gt;"",ISNUMBER(L101)),"已验收","缺证据或日期"),IF(H101="","缺状态","未验收"))</f>
        <v>未验收</v>
      </c>
      <c r="N101" s="33" t="s">
        <v>155</v>
      </c>
    </row>
    <row r="102" customFormat="false" ht="64.8" hidden="false" customHeight="true" outlineLevel="0" collapsed="false">
      <c r="A102" s="95" t="s">
        <v>1315</v>
      </c>
      <c r="B102" s="96" t="s">
        <v>872</v>
      </c>
      <c r="C102" s="95" t="s">
        <v>883</v>
      </c>
      <c r="D102" s="97" t="s">
        <v>1632</v>
      </c>
      <c r="E102" s="95" t="s">
        <v>1318</v>
      </c>
      <c r="F102" s="96" t="s">
        <v>1556</v>
      </c>
      <c r="G102" s="97" t="s">
        <v>1625</v>
      </c>
      <c r="H102" s="106" t="s">
        <v>1366</v>
      </c>
      <c r="I102" s="97" t="s">
        <v>1626</v>
      </c>
      <c r="J102" s="95" t="s">
        <v>1633</v>
      </c>
      <c r="K102" s="95"/>
      <c r="L102" s="101"/>
      <c r="M102" s="97" t="str">
        <f aca="false">IF(H102="已验收",IF(AND(K102&lt;&gt;"",ISNUMBER(L102)),"已验收","缺证据或日期"),IF(H102="","缺状态","未验收"))</f>
        <v>未验收</v>
      </c>
      <c r="N102" s="33" t="s">
        <v>155</v>
      </c>
    </row>
    <row r="103" customFormat="false" ht="64.8" hidden="false" customHeight="true" outlineLevel="0" collapsed="false">
      <c r="A103" s="95" t="s">
        <v>1319</v>
      </c>
      <c r="B103" s="96" t="s">
        <v>872</v>
      </c>
      <c r="C103" s="95" t="s">
        <v>883</v>
      </c>
      <c r="D103" s="97" t="s">
        <v>1634</v>
      </c>
      <c r="E103" s="95" t="s">
        <v>1322</v>
      </c>
      <c r="F103" s="96" t="s">
        <v>1556</v>
      </c>
      <c r="G103" s="97" t="s">
        <v>1625</v>
      </c>
      <c r="H103" s="106" t="s">
        <v>1366</v>
      </c>
      <c r="I103" s="97" t="s">
        <v>1626</v>
      </c>
      <c r="J103" s="95" t="s">
        <v>1635</v>
      </c>
      <c r="K103" s="95"/>
      <c r="L103" s="101"/>
      <c r="M103" s="97" t="str">
        <f aca="false">IF(H103="已验收",IF(AND(K103&lt;&gt;"",ISNUMBER(L103)),"已验收","缺证据或日期"),IF(H103="","缺状态","未验收"))</f>
        <v>未验收</v>
      </c>
      <c r="N103" s="33" t="s">
        <v>155</v>
      </c>
    </row>
    <row r="104" customFormat="false" ht="51.6" hidden="false" customHeight="true" outlineLevel="0" collapsed="false">
      <c r="A104" s="95" t="s">
        <v>1323</v>
      </c>
      <c r="B104" s="96" t="s">
        <v>821</v>
      </c>
      <c r="C104" s="95" t="s">
        <v>1326</v>
      </c>
      <c r="D104" s="97" t="s">
        <v>1636</v>
      </c>
      <c r="E104" s="95" t="s">
        <v>1329</v>
      </c>
      <c r="F104" s="96" t="s">
        <v>1584</v>
      </c>
      <c r="G104" s="96" t="s">
        <v>1557</v>
      </c>
      <c r="H104" s="106" t="s">
        <v>1366</v>
      </c>
      <c r="I104" s="97" t="s">
        <v>1637</v>
      </c>
      <c r="J104" s="95" t="s">
        <v>1638</v>
      </c>
      <c r="K104" s="95"/>
      <c r="L104" s="101"/>
      <c r="M104" s="97" t="str">
        <f aca="false">IF(H104="已验收",IF(AND(K104&lt;&gt;"",ISNUMBER(L104)),"已验收","缺证据或日期"),IF(H104="","缺状态","未验收"))</f>
        <v>未验收</v>
      </c>
      <c r="N104" s="33" t="s">
        <v>157</v>
      </c>
    </row>
    <row r="105" customFormat="false" ht="51.6" hidden="false" customHeight="true" outlineLevel="0" collapsed="false">
      <c r="A105" s="95" t="s">
        <v>1330</v>
      </c>
      <c r="B105" s="96" t="s">
        <v>821</v>
      </c>
      <c r="C105" s="95" t="s">
        <v>1333</v>
      </c>
      <c r="D105" s="97" t="s">
        <v>1639</v>
      </c>
      <c r="E105" s="95" t="s">
        <v>1334</v>
      </c>
      <c r="F105" s="96" t="s">
        <v>1584</v>
      </c>
      <c r="G105" s="96" t="s">
        <v>1557</v>
      </c>
      <c r="H105" s="106" t="s">
        <v>1366</v>
      </c>
      <c r="I105" s="97" t="s">
        <v>1637</v>
      </c>
      <c r="J105" s="95" t="s">
        <v>1640</v>
      </c>
      <c r="K105" s="95"/>
      <c r="L105" s="101"/>
      <c r="M105" s="97" t="str">
        <f aca="false">IF(H105="已验收",IF(AND(K105&lt;&gt;"",ISNUMBER(L105)),"已验收","缺证据或日期"),IF(H105="","缺状态","未验收"))</f>
        <v>未验收</v>
      </c>
      <c r="N105" s="33" t="s">
        <v>157</v>
      </c>
    </row>
    <row r="106" customFormat="false" ht="51.6" hidden="false" customHeight="true" outlineLevel="0" collapsed="false">
      <c r="A106" s="95" t="s">
        <v>1335</v>
      </c>
      <c r="B106" s="96" t="s">
        <v>821</v>
      </c>
      <c r="C106" s="95" t="s">
        <v>1333</v>
      </c>
      <c r="D106" s="97" t="s">
        <v>1641</v>
      </c>
      <c r="E106" s="95" t="s">
        <v>1338</v>
      </c>
      <c r="F106" s="96" t="s">
        <v>1584</v>
      </c>
      <c r="G106" s="96" t="s">
        <v>1557</v>
      </c>
      <c r="H106" s="106" t="s">
        <v>1366</v>
      </c>
      <c r="I106" s="97" t="s">
        <v>1637</v>
      </c>
      <c r="J106" s="95" t="s">
        <v>1642</v>
      </c>
      <c r="K106" s="95"/>
      <c r="L106" s="101"/>
      <c r="M106" s="97" t="str">
        <f aca="false">IF(H106="已验收",IF(AND(K106&lt;&gt;"",ISNUMBER(L106)),"已验收","缺证据或日期"),IF(H106="","缺状态","未验收"))</f>
        <v>未验收</v>
      </c>
      <c r="N106" s="33" t="s">
        <v>157</v>
      </c>
    </row>
    <row r="107" customFormat="false" ht="51.6" hidden="false" customHeight="true" outlineLevel="0" collapsed="false">
      <c r="A107" s="95" t="s">
        <v>1339</v>
      </c>
      <c r="B107" s="96" t="s">
        <v>1340</v>
      </c>
      <c r="C107" s="95" t="s">
        <v>1343</v>
      </c>
      <c r="D107" s="97" t="s">
        <v>1643</v>
      </c>
      <c r="E107" s="95" t="s">
        <v>1344</v>
      </c>
      <c r="F107" s="96" t="s">
        <v>1584</v>
      </c>
      <c r="G107" s="96" t="s">
        <v>1557</v>
      </c>
      <c r="H107" s="106" t="s">
        <v>1366</v>
      </c>
      <c r="I107" s="97" t="s">
        <v>1637</v>
      </c>
      <c r="J107" s="95" t="s">
        <v>1644</v>
      </c>
      <c r="K107" s="95"/>
      <c r="L107" s="101"/>
      <c r="M107" s="97" t="str">
        <f aca="false">IF(H107="已验收",IF(AND(K107&lt;&gt;"",ISNUMBER(L107)),"已验收","缺证据或日期"),IF(H107="","缺状态","未验收"))</f>
        <v>未验收</v>
      </c>
      <c r="N107" s="33" t="s">
        <v>157</v>
      </c>
    </row>
    <row r="108" customFormat="false" ht="38.4" hidden="false" customHeight="true" outlineLevel="0" collapsed="false">
      <c r="A108" s="95" t="s">
        <v>1345</v>
      </c>
      <c r="B108" s="96" t="s">
        <v>821</v>
      </c>
      <c r="C108" s="95" t="s">
        <v>1333</v>
      </c>
      <c r="D108" s="97" t="s">
        <v>1645</v>
      </c>
      <c r="E108" s="95" t="s">
        <v>1334</v>
      </c>
      <c r="F108" s="96" t="s">
        <v>1646</v>
      </c>
      <c r="G108" s="96" t="s">
        <v>1557</v>
      </c>
      <c r="H108" s="106" t="s">
        <v>1366</v>
      </c>
      <c r="I108" s="96" t="s">
        <v>1612</v>
      </c>
      <c r="J108" s="95" t="s">
        <v>1647</v>
      </c>
      <c r="K108" s="95"/>
      <c r="L108" s="101"/>
      <c r="M108" s="97" t="str">
        <f aca="false">IF(H108="已验收",IF(AND(K108&lt;&gt;"",ISNUMBER(L108)),"已验收","缺证据或日期"),IF(H108="","缺状态","未验收"))</f>
        <v>未验收</v>
      </c>
      <c r="N108" s="33" t="s">
        <v>159</v>
      </c>
    </row>
    <row r="109" customFormat="false" ht="38.4" hidden="false" customHeight="true" outlineLevel="0" collapsed="false">
      <c r="A109" s="95" t="s">
        <v>1350</v>
      </c>
      <c r="B109" s="96" t="s">
        <v>821</v>
      </c>
      <c r="C109" s="95" t="s">
        <v>1333</v>
      </c>
      <c r="D109" s="97" t="s">
        <v>1648</v>
      </c>
      <c r="E109" s="95" t="s">
        <v>1338</v>
      </c>
      <c r="F109" s="96" t="s">
        <v>1646</v>
      </c>
      <c r="G109" s="96" t="s">
        <v>1557</v>
      </c>
      <c r="H109" s="106" t="s">
        <v>1366</v>
      </c>
      <c r="I109" s="96" t="s">
        <v>1612</v>
      </c>
      <c r="J109" s="95" t="s">
        <v>1649</v>
      </c>
      <c r="K109" s="95"/>
      <c r="L109" s="101"/>
      <c r="M109" s="97" t="str">
        <f aca="false">IF(H109="已验收",IF(AND(K109&lt;&gt;"",ISNUMBER(L109)),"已验收","缺证据或日期"),IF(H109="","缺状态","未验收"))</f>
        <v>未验收</v>
      </c>
      <c r="N109" s="33" t="s">
        <v>159</v>
      </c>
    </row>
  </sheetData>
  <conditionalFormatting sqref="M2:M13">
    <cfRule type="containsText" priority="2" operator="containsText" aboveAverage="0" equalAverage="0" bottom="0" percent="0" rank="0" text="缺" dxfId="19">
      <formula>NOT(ISERROR(SEARCH("缺",M2)))</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1"/>
    <col collapsed="false" customWidth="true" hidden="false" outlineLevel="0" max="2" min="2" style="0" width="14"/>
    <col collapsed="false" customWidth="true" hidden="false" outlineLevel="0" max="3" min="3" style="0" width="23"/>
    <col collapsed="false" customWidth="true" hidden="false" outlineLevel="0" max="4" min="4" style="0" width="12"/>
    <col collapsed="false" customWidth="true" hidden="false" outlineLevel="0" max="5" min="5" style="0" width="14"/>
    <col collapsed="false" customWidth="true" hidden="false" outlineLevel="0" max="6" min="6" style="0" width="13"/>
    <col collapsed="false" customWidth="true" hidden="false" outlineLevel="0" max="7" min="7" style="0" width="12"/>
    <col collapsed="false" customWidth="true" hidden="false" outlineLevel="0" max="8" min="8" style="0" width="14"/>
    <col collapsed="false" customWidth="true" hidden="false" outlineLevel="0" max="9" min="9" style="0" width="16"/>
    <col collapsed="false" customWidth="true" hidden="false" outlineLevel="0" max="10" min="10" style="0" width="15"/>
    <col collapsed="false" customWidth="true" hidden="false" outlineLevel="0" max="11" min="11" style="0" width="57"/>
    <col collapsed="false" customWidth="true" hidden="false" outlineLevel="0" max="12" min="12" style="0" width="14"/>
    <col collapsed="false" customWidth="true" hidden="false" outlineLevel="0" max="13" min="13" style="0" width="20"/>
    <col collapsed="false" customWidth="true" hidden="false" outlineLevel="0" max="14" min="14" style="0" width="58"/>
  </cols>
  <sheetData>
    <row r="1" customFormat="false" ht="32" hidden="false" customHeight="true" outlineLevel="0" collapsed="false">
      <c r="A1" s="6" t="s">
        <v>1650</v>
      </c>
      <c r="B1" s="6" t="s">
        <v>797</v>
      </c>
      <c r="C1" s="6" t="s">
        <v>1651</v>
      </c>
      <c r="D1" s="6" t="s">
        <v>1652</v>
      </c>
      <c r="E1" s="6" t="s">
        <v>45</v>
      </c>
      <c r="F1" s="6" t="s">
        <v>47</v>
      </c>
      <c r="G1" s="6" t="s">
        <v>49</v>
      </c>
      <c r="H1" s="6" t="s">
        <v>1653</v>
      </c>
      <c r="I1" s="6" t="s">
        <v>1654</v>
      </c>
      <c r="J1" s="6" t="s">
        <v>1655</v>
      </c>
      <c r="K1" s="6" t="s">
        <v>1656</v>
      </c>
      <c r="L1" s="6" t="s">
        <v>1657</v>
      </c>
      <c r="M1" s="6" t="s">
        <v>1658</v>
      </c>
      <c r="N1" s="6" t="s">
        <v>1659</v>
      </c>
    </row>
    <row r="2" customFormat="false" ht="34.4" hidden="false" customHeight="true" outlineLevel="0" collapsed="false">
      <c r="A2" s="70" t="s">
        <v>1660</v>
      </c>
      <c r="B2" s="71" t="s">
        <v>821</v>
      </c>
      <c r="C2" s="71" t="s">
        <v>1661</v>
      </c>
      <c r="D2" s="72" t="n">
        <v>2326</v>
      </c>
      <c r="E2" s="72" t="n">
        <v>1132</v>
      </c>
      <c r="F2" s="72" t="n">
        <v>146</v>
      </c>
      <c r="G2" s="72" t="n">
        <v>26</v>
      </c>
      <c r="H2" s="72" t="n">
        <v>203</v>
      </c>
      <c r="I2" s="72" t="n">
        <v>36</v>
      </c>
      <c r="J2" s="72" t="n">
        <v>167</v>
      </c>
      <c r="K2" s="71" t="s">
        <v>1662</v>
      </c>
      <c r="L2" s="74" t="n">
        <v>46320</v>
      </c>
      <c r="M2" s="71" t="s">
        <v>1663</v>
      </c>
      <c r="N2" s="71" t="s">
        <v>1664</v>
      </c>
    </row>
    <row r="3" customFormat="false" ht="47.6" hidden="false" customHeight="true" outlineLevel="0" collapsed="false">
      <c r="A3" s="76" t="s">
        <v>1665</v>
      </c>
      <c r="B3" s="77" t="s">
        <v>854</v>
      </c>
      <c r="C3" s="77" t="s">
        <v>1661</v>
      </c>
      <c r="D3" s="78" t="n">
        <v>496</v>
      </c>
      <c r="E3" s="78" t="n">
        <v>420</v>
      </c>
      <c r="F3" s="78" t="n">
        <v>94</v>
      </c>
      <c r="G3" s="78" t="n">
        <v>2</v>
      </c>
      <c r="H3" s="78" t="n">
        <v>144</v>
      </c>
      <c r="I3" s="78" t="n">
        <v>115</v>
      </c>
      <c r="J3" s="78" t="n">
        <v>29</v>
      </c>
      <c r="K3" s="77" t="s">
        <v>1666</v>
      </c>
      <c r="L3" s="79" t="n">
        <v>46320</v>
      </c>
      <c r="M3" s="77" t="s">
        <v>1667</v>
      </c>
      <c r="N3" s="77" t="s">
        <v>1668</v>
      </c>
    </row>
    <row r="4" customFormat="false" ht="47.6" hidden="false" customHeight="true" outlineLevel="0" collapsed="false">
      <c r="A4" s="70" t="s">
        <v>1669</v>
      </c>
      <c r="B4" s="71" t="s">
        <v>872</v>
      </c>
      <c r="C4" s="71" t="s">
        <v>1661</v>
      </c>
      <c r="D4" s="72" t="n">
        <v>597</v>
      </c>
      <c r="E4" s="72" t="n">
        <v>241</v>
      </c>
      <c r="F4" s="72" t="n">
        <v>43</v>
      </c>
      <c r="G4" s="72" t="n">
        <v>0</v>
      </c>
      <c r="H4" s="72"/>
      <c r="I4" s="72"/>
      <c r="J4" s="72"/>
      <c r="K4" s="71" t="s">
        <v>1670</v>
      </c>
      <c r="L4" s="74" t="n">
        <v>46320</v>
      </c>
      <c r="M4" s="71" t="s">
        <v>1671</v>
      </c>
      <c r="N4" s="71" t="s">
        <v>1672</v>
      </c>
    </row>
    <row r="5" customFormat="false" ht="34.4" hidden="false" customHeight="true" outlineLevel="0" collapsed="false">
      <c r="A5" s="76" t="s">
        <v>1673</v>
      </c>
      <c r="B5" s="77" t="s">
        <v>995</v>
      </c>
      <c r="C5" s="77" t="s">
        <v>1661</v>
      </c>
      <c r="D5" s="78" t="n">
        <v>572</v>
      </c>
      <c r="E5" s="78" t="n">
        <v>171</v>
      </c>
      <c r="F5" s="78" t="n">
        <v>29</v>
      </c>
      <c r="G5" s="78" t="n">
        <v>1</v>
      </c>
      <c r="H5" s="78"/>
      <c r="I5" s="78"/>
      <c r="J5" s="78"/>
      <c r="K5" s="77" t="s">
        <v>1674</v>
      </c>
      <c r="L5" s="79" t="n">
        <v>46320</v>
      </c>
      <c r="M5" s="77" t="s">
        <v>1675</v>
      </c>
      <c r="N5" s="77" t="s">
        <v>1676</v>
      </c>
    </row>
    <row r="6" customFormat="false" ht="47.6" hidden="false" customHeight="true" outlineLevel="0" collapsed="false">
      <c r="A6" s="70" t="s">
        <v>1677</v>
      </c>
      <c r="B6" s="71" t="s">
        <v>1057</v>
      </c>
      <c r="C6" s="71" t="s">
        <v>1661</v>
      </c>
      <c r="D6" s="72" t="n">
        <v>89</v>
      </c>
      <c r="E6" s="72" t="n">
        <v>20</v>
      </c>
      <c r="F6" s="72" t="n">
        <v>3</v>
      </c>
      <c r="G6" s="72" t="n">
        <v>1</v>
      </c>
      <c r="H6" s="72"/>
      <c r="I6" s="72"/>
      <c r="J6" s="72"/>
      <c r="K6" s="71" t="s">
        <v>1678</v>
      </c>
      <c r="L6" s="74" t="n">
        <v>46320</v>
      </c>
      <c r="M6" s="71" t="s">
        <v>1679</v>
      </c>
      <c r="N6" s="71" t="s">
        <v>1680</v>
      </c>
    </row>
    <row r="7" customFormat="false" ht="34.4" hidden="false" customHeight="true" outlineLevel="0" collapsed="false">
      <c r="A7" s="76" t="s">
        <v>1681</v>
      </c>
      <c r="B7" s="77" t="s">
        <v>1682</v>
      </c>
      <c r="C7" s="77" t="s">
        <v>1661</v>
      </c>
      <c r="D7" s="78" t="n">
        <v>219</v>
      </c>
      <c r="E7" s="78" t="n">
        <v>115</v>
      </c>
      <c r="F7" s="78" t="n">
        <v>59</v>
      </c>
      <c r="G7" s="78" t="n">
        <v>0</v>
      </c>
      <c r="H7" s="78"/>
      <c r="I7" s="78"/>
      <c r="J7" s="78"/>
      <c r="K7" s="77" t="s">
        <v>1683</v>
      </c>
      <c r="L7" s="79" t="n">
        <v>46320</v>
      </c>
      <c r="M7" s="77" t="s">
        <v>1684</v>
      </c>
      <c r="N7" s="77" t="s">
        <v>1685</v>
      </c>
    </row>
    <row r="8" customFormat="false" ht="47.6" hidden="false" customHeight="true" outlineLevel="0" collapsed="false">
      <c r="A8" s="70" t="s">
        <v>1686</v>
      </c>
      <c r="B8" s="71" t="s">
        <v>1340</v>
      </c>
      <c r="C8" s="71" t="s">
        <v>1661</v>
      </c>
      <c r="D8" s="72" t="n">
        <v>53</v>
      </c>
      <c r="E8" s="72" t="n">
        <v>52</v>
      </c>
      <c r="F8" s="72" t="n">
        <v>12</v>
      </c>
      <c r="G8" s="72" t="n">
        <v>1</v>
      </c>
      <c r="H8" s="72"/>
      <c r="I8" s="72"/>
      <c r="J8" s="72"/>
      <c r="K8" s="71" t="s">
        <v>1687</v>
      </c>
      <c r="L8" s="74" t="n">
        <v>46320</v>
      </c>
      <c r="M8" s="71" t="s">
        <v>1688</v>
      </c>
      <c r="N8" s="71" t="s">
        <v>1689</v>
      </c>
    </row>
    <row r="9" customFormat="false" ht="34.4" hidden="false" customHeight="true" outlineLevel="0" collapsed="false">
      <c r="A9" s="76" t="s">
        <v>1690</v>
      </c>
      <c r="B9" s="77" t="s">
        <v>938</v>
      </c>
      <c r="C9" s="77" t="s">
        <v>1661</v>
      </c>
      <c r="D9" s="78" t="n">
        <v>199</v>
      </c>
      <c r="E9" s="78" t="n">
        <v>42</v>
      </c>
      <c r="F9" s="78" t="n">
        <v>7</v>
      </c>
      <c r="G9" s="78" t="n">
        <v>13</v>
      </c>
      <c r="H9" s="78"/>
      <c r="I9" s="78"/>
      <c r="J9" s="78"/>
      <c r="K9" s="77" t="s">
        <v>1691</v>
      </c>
      <c r="L9" s="79" t="n">
        <v>46320</v>
      </c>
      <c r="M9" s="77" t="s">
        <v>1692</v>
      </c>
      <c r="N9" s="77" t="s">
        <v>1693</v>
      </c>
    </row>
    <row r="10" customFormat="false" ht="34.4" hidden="false" customHeight="true" outlineLevel="0" collapsed="false">
      <c r="A10" s="70" t="s">
        <v>1694</v>
      </c>
      <c r="B10" s="71" t="s">
        <v>1695</v>
      </c>
      <c r="C10" s="71" t="s">
        <v>1661</v>
      </c>
      <c r="D10" s="72" t="n">
        <v>33</v>
      </c>
      <c r="E10" s="72" t="n">
        <v>33</v>
      </c>
      <c r="F10" s="72" t="n">
        <v>16</v>
      </c>
      <c r="G10" s="72" t="n">
        <v>0</v>
      </c>
      <c r="H10" s="72"/>
      <c r="I10" s="72"/>
      <c r="J10" s="72"/>
      <c r="K10" s="71" t="s">
        <v>1696</v>
      </c>
      <c r="L10" s="74" t="n">
        <v>46320</v>
      </c>
      <c r="M10" s="71" t="s">
        <v>1697</v>
      </c>
      <c r="N10" s="71" t="s">
        <v>1698</v>
      </c>
    </row>
    <row r="11" customFormat="false" ht="34.4" hidden="false" customHeight="true" outlineLevel="0" collapsed="false">
      <c r="A11" s="76" t="s">
        <v>1699</v>
      </c>
      <c r="B11" s="77" t="s">
        <v>1700</v>
      </c>
      <c r="C11" s="77" t="s">
        <v>1661</v>
      </c>
      <c r="D11" s="78" t="n">
        <v>40</v>
      </c>
      <c r="E11" s="78" t="n">
        <v>7</v>
      </c>
      <c r="F11" s="78" t="n">
        <v>2</v>
      </c>
      <c r="G11" s="78" t="n">
        <v>7</v>
      </c>
      <c r="H11" s="78"/>
      <c r="I11" s="78"/>
      <c r="J11" s="78"/>
      <c r="K11" s="77" t="s">
        <v>1701</v>
      </c>
      <c r="L11" s="79" t="n">
        <v>46320</v>
      </c>
      <c r="M11" s="77" t="s">
        <v>1702</v>
      </c>
      <c r="N11" s="77" t="s">
        <v>1703</v>
      </c>
    </row>
    <row r="12" customFormat="false" ht="34.4" hidden="false" customHeight="true" outlineLevel="0" collapsed="false">
      <c r="A12" s="70" t="s">
        <v>1704</v>
      </c>
      <c r="B12" s="71" t="s">
        <v>1067</v>
      </c>
      <c r="C12" s="71" t="s">
        <v>1661</v>
      </c>
      <c r="D12" s="72" t="n">
        <v>86</v>
      </c>
      <c r="E12" s="72" t="n">
        <v>12</v>
      </c>
      <c r="F12" s="72" t="n">
        <v>0</v>
      </c>
      <c r="G12" s="72" t="n">
        <v>0</v>
      </c>
      <c r="H12" s="72"/>
      <c r="I12" s="72"/>
      <c r="J12" s="72"/>
      <c r="K12" s="71" t="s">
        <v>1705</v>
      </c>
      <c r="L12" s="74" t="n">
        <v>46320</v>
      </c>
      <c r="M12" s="71" t="s">
        <v>1706</v>
      </c>
      <c r="N12" s="71" t="s">
        <v>1707</v>
      </c>
    </row>
    <row r="13" customFormat="false" ht="34.4" hidden="false" customHeight="true" outlineLevel="0" collapsed="false">
      <c r="A13" s="76" t="s">
        <v>1708</v>
      </c>
      <c r="B13" s="77" t="s">
        <v>1709</v>
      </c>
      <c r="C13" s="77" t="s">
        <v>1710</v>
      </c>
      <c r="D13" s="78" t="n">
        <v>0</v>
      </c>
      <c r="E13" s="78" t="n">
        <v>0</v>
      </c>
      <c r="F13" s="78" t="n">
        <v>0</v>
      </c>
      <c r="G13" s="78" t="n">
        <v>0</v>
      </c>
      <c r="H13" s="78"/>
      <c r="I13" s="78"/>
      <c r="J13" s="78"/>
      <c r="K13" s="77" t="s">
        <v>1711</v>
      </c>
      <c r="L13" s="79" t="n">
        <v>46320</v>
      </c>
      <c r="M13" s="77" t="s">
        <v>1712</v>
      </c>
      <c r="N13" s="77" t="s">
        <v>1713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0"/>
    <col collapsed="false" customWidth="true" hidden="false" outlineLevel="0" max="2" min="2" style="0" width="11"/>
    <col collapsed="false" customWidth="true" hidden="false" outlineLevel="0" max="3" min="3" style="0" width="28"/>
    <col collapsed="false" customWidth="true" hidden="false" outlineLevel="0" max="4" min="4" style="0" width="18"/>
    <col collapsed="false" customWidth="true" hidden="false" outlineLevel="0" max="6" min="5" style="0" width="45"/>
    <col collapsed="false" customWidth="true" hidden="false" outlineLevel="0" max="7" min="7" style="0" width="14"/>
    <col collapsed="false" customWidth="true" hidden="false" outlineLevel="0" max="8" min="8" style="0" width="40"/>
    <col collapsed="false" customWidth="true" hidden="false" outlineLevel="0" max="10" min="9" style="0" width="60"/>
    <col collapsed="false" customWidth="true" hidden="false" outlineLevel="0" max="11" min="11" style="0" width="65"/>
    <col collapsed="false" customWidth="true" hidden="false" outlineLevel="0" max="12" min="12" style="0" width="14"/>
  </cols>
  <sheetData>
    <row r="1" customFormat="false" ht="36" hidden="false" customHeight="true" outlineLevel="0" collapsed="false">
      <c r="A1" s="69" t="s">
        <v>1359</v>
      </c>
      <c r="B1" s="69" t="s">
        <v>797</v>
      </c>
      <c r="C1" s="69" t="s">
        <v>1714</v>
      </c>
      <c r="D1" s="69" t="s">
        <v>1715</v>
      </c>
      <c r="E1" s="69" t="s">
        <v>1716</v>
      </c>
      <c r="F1" s="69" t="s">
        <v>1717</v>
      </c>
      <c r="G1" s="69" t="s">
        <v>1657</v>
      </c>
      <c r="H1" s="69" t="s">
        <v>1718</v>
      </c>
      <c r="I1" s="69" t="s">
        <v>1719</v>
      </c>
      <c r="J1" s="69" t="s">
        <v>1720</v>
      </c>
      <c r="K1" s="69" t="s">
        <v>1721</v>
      </c>
      <c r="L1" s="26" t="s">
        <v>52</v>
      </c>
    </row>
    <row r="2" customFormat="false" ht="40" hidden="false" customHeight="true" outlineLevel="0" collapsed="false">
      <c r="A2" s="70" t="s">
        <v>1722</v>
      </c>
      <c r="B2" s="71" t="s">
        <v>821</v>
      </c>
      <c r="C2" s="70"/>
      <c r="D2" s="71" t="s">
        <v>1723</v>
      </c>
      <c r="E2" s="70" t="s">
        <v>1724</v>
      </c>
      <c r="F2" s="70" t="s">
        <v>1725</v>
      </c>
      <c r="G2" s="74" t="n">
        <v>46320</v>
      </c>
      <c r="H2" s="71" t="s">
        <v>1726</v>
      </c>
      <c r="I2" s="107" t="str">
        <f aca="false">HYPERLINK("https://www.dahsing.com/en/html/insurance/life_insurance/sunjoy_global_insurance_ii.html","https://www.dahsing.com/en/html/insurance/life_insurance/sunjoy_global_insurance_ii.html")</f>
        <v>https://www.dahsing.com/en/html/insurance/life_insurance/sunjoy_global_insurance_ii.html</v>
      </c>
      <c r="J2" s="107"/>
      <c r="K2" s="71" t="s">
        <v>1727</v>
      </c>
      <c r="L2" s="19" t="s">
        <v>1728</v>
      </c>
    </row>
    <row r="3" customFormat="false" ht="40" hidden="false" customHeight="true" outlineLevel="0" collapsed="false">
      <c r="A3" s="76" t="s">
        <v>1729</v>
      </c>
      <c r="B3" s="77" t="s">
        <v>821</v>
      </c>
      <c r="C3" s="76"/>
      <c r="D3" s="77" t="s">
        <v>1723</v>
      </c>
      <c r="E3" s="76" t="s">
        <v>1730</v>
      </c>
      <c r="F3" s="76" t="s">
        <v>1731</v>
      </c>
      <c r="G3" s="79" t="n">
        <v>46320</v>
      </c>
      <c r="H3" s="77" t="s">
        <v>1732</v>
      </c>
      <c r="I3" s="108" t="str">
        <f aca="false">HYPERLINK("https://www.dbs.com.hk/private-banking/insurance/saving-retirement-income/default.page?rd=err","https://www.dbs.com.hk/private-banking/insurance/saving-retirement-income/default.page?rd=err")</f>
        <v>https://www.dbs.com.hk/private-banking/insurance/saving-retirement-income/default.page?rd=err</v>
      </c>
      <c r="J3" s="108"/>
      <c r="K3" s="77" t="s">
        <v>1733</v>
      </c>
      <c r="L3" s="19" t="s">
        <v>1728</v>
      </c>
    </row>
    <row r="4" customFormat="false" ht="40" hidden="false" customHeight="true" outlineLevel="0" collapsed="false">
      <c r="A4" s="70" t="s">
        <v>1734</v>
      </c>
      <c r="B4" s="71" t="s">
        <v>821</v>
      </c>
      <c r="C4" s="70"/>
      <c r="D4" s="71" t="s">
        <v>1723</v>
      </c>
      <c r="E4" s="70" t="s">
        <v>1735</v>
      </c>
      <c r="F4" s="70" t="s">
        <v>1736</v>
      </c>
      <c r="G4" s="74" t="n">
        <v>46320</v>
      </c>
      <c r="H4" s="71" t="s">
        <v>1726</v>
      </c>
      <c r="I4" s="107" t="str">
        <f aca="false">HYPERLINK("https://www.sc.com/hk/insurance/","https://www.sc.com/hk/insurance/")</f>
        <v>https://www.sc.com/hk/insurance/</v>
      </c>
      <c r="J4" s="107"/>
      <c r="K4" s="71" t="s">
        <v>1727</v>
      </c>
      <c r="L4" s="19" t="s">
        <v>1728</v>
      </c>
    </row>
    <row r="5" customFormat="false" ht="40" hidden="false" customHeight="true" outlineLevel="0" collapsed="false">
      <c r="A5" s="76" t="s">
        <v>1737</v>
      </c>
      <c r="B5" s="77" t="s">
        <v>821</v>
      </c>
      <c r="C5" s="76"/>
      <c r="D5" s="77" t="s">
        <v>1723</v>
      </c>
      <c r="E5" s="76" t="s">
        <v>1735</v>
      </c>
      <c r="F5" s="76" t="s">
        <v>1738</v>
      </c>
      <c r="G5" s="79" t="n">
        <v>46320</v>
      </c>
      <c r="H5" s="77" t="s">
        <v>1726</v>
      </c>
      <c r="I5" s="108" t="str">
        <f aca="false">HYPERLINK("https://www.sc.com/hk/insurance/life-insurance/savings-legacy-planning/","https://www.sc.com/hk/insurance/life-insurance/savings-legacy-planning/")</f>
        <v>https://www.sc.com/hk/insurance/life-insurance/savings-legacy-planning/</v>
      </c>
      <c r="J5" s="108"/>
      <c r="K5" s="77" t="s">
        <v>1727</v>
      </c>
      <c r="L5" s="19" t="s">
        <v>1728</v>
      </c>
    </row>
    <row r="6" customFormat="false" ht="40" hidden="false" customHeight="true" outlineLevel="0" collapsed="false">
      <c r="A6" s="70" t="s">
        <v>1739</v>
      </c>
      <c r="B6" s="71" t="s">
        <v>821</v>
      </c>
      <c r="C6" s="70" t="s">
        <v>1740</v>
      </c>
      <c r="D6" s="71" t="s">
        <v>1723</v>
      </c>
      <c r="E6" s="70" t="s">
        <v>1741</v>
      </c>
      <c r="F6" s="70" t="s">
        <v>1742</v>
      </c>
      <c r="G6" s="74" t="n">
        <v>46320</v>
      </c>
      <c r="H6" s="71" t="s">
        <v>1743</v>
      </c>
      <c r="I6" s="107" t="str">
        <f aca="false">HYPERLINK("https://www.hkbea.com/html/en/aia-deferred-annuity-plan-2.html","https://www.hkbea.com/html/en/aia-deferred-annuity-plan-2.html")</f>
        <v>https://www.hkbea.com/html/en/aia-deferred-annuity-plan-2.html</v>
      </c>
      <c r="J6" s="107"/>
      <c r="K6" s="71" t="s">
        <v>1727</v>
      </c>
      <c r="L6" s="19" t="s">
        <v>1728</v>
      </c>
    </row>
    <row r="7" customFormat="false" ht="40" hidden="false" customHeight="true" outlineLevel="0" collapsed="false">
      <c r="A7" s="76" t="s">
        <v>1744</v>
      </c>
      <c r="B7" s="77" t="s">
        <v>821</v>
      </c>
      <c r="C7" s="76" t="s">
        <v>1740</v>
      </c>
      <c r="D7" s="77" t="s">
        <v>1723</v>
      </c>
      <c r="E7" s="76" t="s">
        <v>1741</v>
      </c>
      <c r="F7" s="76" t="s">
        <v>1745</v>
      </c>
      <c r="G7" s="79" t="n">
        <v>46320</v>
      </c>
      <c r="H7" s="77" t="s">
        <v>1726</v>
      </c>
      <c r="I7" s="108" t="str">
        <f aca="false">HYPERLINK("https://www.hkbea.com/html/en/bea-aia-partnership.html","https://www.hkbea.com/html/en/bea-aia-partnership.html")</f>
        <v>https://www.hkbea.com/html/en/bea-aia-partnership.html</v>
      </c>
      <c r="J7" s="108"/>
      <c r="K7" s="77" t="s">
        <v>1727</v>
      </c>
      <c r="L7" s="19" t="s">
        <v>1728</v>
      </c>
    </row>
    <row r="8" customFormat="false" ht="40" hidden="false" customHeight="true" outlineLevel="0" collapsed="false">
      <c r="A8" s="70" t="s">
        <v>1746</v>
      </c>
      <c r="B8" s="71" t="s">
        <v>821</v>
      </c>
      <c r="C8" s="70" t="s">
        <v>1740</v>
      </c>
      <c r="D8" s="71" t="s">
        <v>1723</v>
      </c>
      <c r="E8" s="70" t="s">
        <v>1741</v>
      </c>
      <c r="F8" s="70" t="s">
        <v>1747</v>
      </c>
      <c r="G8" s="74" t="n">
        <v>46320</v>
      </c>
      <c r="H8" s="71" t="s">
        <v>1743</v>
      </c>
      <c r="I8" s="107" t="str">
        <f aca="false">HYPERLINK("https://www.hkbea.com/html/en/global-power-multi-currency-plan-3.html","https://www.hkbea.com/html/en/global-power-multi-currency-plan-3.html")</f>
        <v>https://www.hkbea.com/html/en/global-power-multi-currency-plan-3.html</v>
      </c>
      <c r="J8" s="107"/>
      <c r="K8" s="71" t="s">
        <v>1727</v>
      </c>
      <c r="L8" s="19" t="s">
        <v>1728</v>
      </c>
    </row>
    <row r="9" customFormat="false" ht="40" hidden="false" customHeight="true" outlineLevel="0" collapsed="false">
      <c r="A9" s="76" t="s">
        <v>1748</v>
      </c>
      <c r="B9" s="77" t="s">
        <v>821</v>
      </c>
      <c r="C9" s="76" t="s">
        <v>1740</v>
      </c>
      <c r="D9" s="77" t="s">
        <v>1723</v>
      </c>
      <c r="E9" s="76" t="s">
        <v>1741</v>
      </c>
      <c r="F9" s="76" t="s">
        <v>1749</v>
      </c>
      <c r="G9" s="79" t="n">
        <v>46320</v>
      </c>
      <c r="H9" s="77" t="s">
        <v>1743</v>
      </c>
      <c r="I9" s="108" t="str">
        <f aca="false">HYPERLINK("https://www.hkbea.com/html/en/globalflexi-savings.html","https://www.hkbea.com/html/en/globalflexi-savings.html")</f>
        <v>https://www.hkbea.com/html/en/globalflexi-savings.html</v>
      </c>
      <c r="J9" s="108"/>
      <c r="K9" s="77" t="s">
        <v>1727</v>
      </c>
      <c r="L9" s="19" t="s">
        <v>1728</v>
      </c>
    </row>
    <row r="10" customFormat="false" ht="40" hidden="false" customHeight="true" outlineLevel="0" collapsed="false">
      <c r="A10" s="70" t="s">
        <v>1750</v>
      </c>
      <c r="B10" s="71" t="s">
        <v>821</v>
      </c>
      <c r="C10" s="70" t="s">
        <v>1740</v>
      </c>
      <c r="D10" s="71" t="s">
        <v>1723</v>
      </c>
      <c r="E10" s="70" t="s">
        <v>1741</v>
      </c>
      <c r="F10" s="70" t="s">
        <v>1751</v>
      </c>
      <c r="G10" s="74" t="n">
        <v>46320</v>
      </c>
      <c r="H10" s="71" t="s">
        <v>1743</v>
      </c>
      <c r="I10" s="107" t="str">
        <f aca="false">HYPERLINK("https://www.hkbea.com/html/en/prosper-life-insurance-plan.html","https://www.hkbea.com/html/en/prosper-life-insurance-plan.html")</f>
        <v>https://www.hkbea.com/html/en/prosper-life-insurance-plan.html</v>
      </c>
      <c r="J10" s="107"/>
      <c r="K10" s="71" t="s">
        <v>1727</v>
      </c>
      <c r="L10" s="19" t="s">
        <v>1728</v>
      </c>
    </row>
    <row r="11" customFormat="false" ht="40" hidden="false" customHeight="true" outlineLevel="0" collapsed="false">
      <c r="A11" s="76" t="s">
        <v>1752</v>
      </c>
      <c r="B11" s="77" t="s">
        <v>821</v>
      </c>
      <c r="C11" s="76" t="s">
        <v>1740</v>
      </c>
      <c r="D11" s="77" t="s">
        <v>1723</v>
      </c>
      <c r="E11" s="76" t="s">
        <v>1741</v>
      </c>
      <c r="F11" s="76" t="s">
        <v>1753</v>
      </c>
      <c r="G11" s="79" t="n">
        <v>46320</v>
      </c>
      <c r="H11" s="77" t="s">
        <v>1743</v>
      </c>
      <c r="I11" s="108" t="str">
        <f aca="false">HYPERLINK("https://www.hkbea.com/html/en/wealth-flexi-savings.html","https://www.hkbea.com/html/en/wealth-flexi-savings.html")</f>
        <v>https://www.hkbea.com/html/en/wealth-flexi-savings.html</v>
      </c>
      <c r="J11" s="108"/>
      <c r="K11" s="77" t="s">
        <v>1727</v>
      </c>
      <c r="L11" s="19" t="s">
        <v>1728</v>
      </c>
    </row>
    <row r="12" customFormat="false" ht="40" hidden="false" customHeight="true" outlineLevel="0" collapsed="false">
      <c r="A12" s="70" t="s">
        <v>1754</v>
      </c>
      <c r="B12" s="71" t="s">
        <v>821</v>
      </c>
      <c r="C12" s="70" t="s">
        <v>1755</v>
      </c>
      <c r="D12" s="71" t="s">
        <v>1756</v>
      </c>
      <c r="E12" s="70" t="s">
        <v>1757</v>
      </c>
      <c r="F12" s="71" t="s">
        <v>1758</v>
      </c>
      <c r="G12" s="74" t="n">
        <v>46320</v>
      </c>
      <c r="H12" s="71" t="s">
        <v>1759</v>
      </c>
      <c r="I12" s="107" t="str">
        <f aca="false">HYPERLINK("https://www.axa.com.hk/zh/downloads/life-and-savings","https://www.axa.com.hk/zh/downloads/life-and-savings")</f>
        <v>https://www.axa.com.hk/zh/downloads/life-and-savings</v>
      </c>
      <c r="J12" s="107"/>
      <c r="K12" s="71" t="s">
        <v>1760</v>
      </c>
      <c r="L12" s="19" t="s">
        <v>1728</v>
      </c>
    </row>
    <row r="13" customFormat="false" ht="40" hidden="false" customHeight="true" outlineLevel="0" collapsed="false">
      <c r="A13" s="76" t="s">
        <v>1761</v>
      </c>
      <c r="B13" s="77" t="s">
        <v>821</v>
      </c>
      <c r="C13" s="76" t="s">
        <v>1107</v>
      </c>
      <c r="D13" s="77" t="s">
        <v>1756</v>
      </c>
      <c r="E13" s="76" t="s">
        <v>1762</v>
      </c>
      <c r="F13" s="77" t="s">
        <v>1763</v>
      </c>
      <c r="G13" s="79" t="n">
        <v>46320</v>
      </c>
      <c r="H13" s="77" t="s">
        <v>1759</v>
      </c>
      <c r="I13" s="108" t="str">
        <f aca="false">HYPERLINK("https://www.boclife.com.hk/tc/product/boc-life-deferred-annuity-lifetime.html","https://www.boclife.com.hk/tc/product/boc-life-deferred-annuity-lifetime.html")</f>
        <v>https://www.boclife.com.hk/tc/product/boc-life-deferred-annuity-lifetime.html</v>
      </c>
      <c r="J13" s="108"/>
      <c r="K13" s="77" t="s">
        <v>1760</v>
      </c>
      <c r="L13" s="19" t="s">
        <v>1728</v>
      </c>
    </row>
    <row r="14" customFormat="false" ht="40" hidden="false" customHeight="true" outlineLevel="0" collapsed="false">
      <c r="A14" s="70" t="s">
        <v>1764</v>
      </c>
      <c r="B14" s="71" t="s">
        <v>821</v>
      </c>
      <c r="C14" s="70" t="s">
        <v>1107</v>
      </c>
      <c r="D14" s="71" t="s">
        <v>1756</v>
      </c>
      <c r="E14" s="70" t="s">
        <v>1762</v>
      </c>
      <c r="F14" s="71" t="s">
        <v>1765</v>
      </c>
      <c r="G14" s="74" t="n">
        <v>46320</v>
      </c>
      <c r="H14" s="71" t="s">
        <v>1759</v>
      </c>
      <c r="I14" s="107" t="str">
        <f aca="false">HYPERLINK("https://www.boclife.com.hk/tc/product/eternal-fortune-global-whole-life-insurance-plan.html","https://www.boclife.com.hk/tc/product/eternal-fortune-global-whole-life-insurance-plan.html")</f>
        <v>https://www.boclife.com.hk/tc/product/eternal-fortune-global-whole-life-insurance-plan.html</v>
      </c>
      <c r="J14" s="107"/>
      <c r="K14" s="71" t="s">
        <v>1760</v>
      </c>
      <c r="L14" s="19" t="s">
        <v>1728</v>
      </c>
    </row>
    <row r="15" customFormat="false" ht="40" hidden="false" customHeight="true" outlineLevel="0" collapsed="false">
      <c r="A15" s="76" t="s">
        <v>1766</v>
      </c>
      <c r="B15" s="77" t="s">
        <v>821</v>
      </c>
      <c r="C15" s="76" t="s">
        <v>1107</v>
      </c>
      <c r="D15" s="77" t="s">
        <v>1756</v>
      </c>
      <c r="E15" s="76" t="s">
        <v>1762</v>
      </c>
      <c r="F15" s="77" t="s">
        <v>1767</v>
      </c>
      <c r="G15" s="79" t="n">
        <v>46320</v>
      </c>
      <c r="H15" s="77" t="s">
        <v>1759</v>
      </c>
      <c r="I15" s="108" t="str">
        <f aca="false">HYPERLINK("https://www.boclife.com.hk/tc/product/glamorous-glow-global-whole-life-insurance-plan.html","https://www.boclife.com.hk/tc/product/glamorous-glow-global-whole-life-insurance-plan.html")</f>
        <v>https://www.boclife.com.hk/tc/product/glamorous-glow-global-whole-life-insurance-plan.html</v>
      </c>
      <c r="J15" s="108"/>
      <c r="K15" s="77" t="s">
        <v>1760</v>
      </c>
      <c r="L15" s="19" t="s">
        <v>1728</v>
      </c>
    </row>
    <row r="16" customFormat="false" ht="40" hidden="false" customHeight="true" outlineLevel="0" collapsed="false">
      <c r="A16" s="70" t="s">
        <v>1768</v>
      </c>
      <c r="B16" s="71" t="s">
        <v>821</v>
      </c>
      <c r="C16" s="70" t="s">
        <v>1107</v>
      </c>
      <c r="D16" s="71" t="s">
        <v>1756</v>
      </c>
      <c r="E16" s="70" t="s">
        <v>1762</v>
      </c>
      <c r="F16" s="71" t="s">
        <v>1769</v>
      </c>
      <c r="G16" s="74" t="n">
        <v>46320</v>
      </c>
      <c r="H16" s="71" t="s">
        <v>1759</v>
      </c>
      <c r="I16" s="107" t="str">
        <f aca="false">HYPERLINK("https://www.boclife.com.hk/tc/product/incomejoy-lifelong-insurance-plan.html","https://www.boclife.com.hk/tc/product/incomejoy-lifelong-insurance-plan.html")</f>
        <v>https://www.boclife.com.hk/tc/product/incomejoy-lifelong-insurance-plan.html</v>
      </c>
      <c r="J16" s="107"/>
      <c r="K16" s="71" t="s">
        <v>1760</v>
      </c>
      <c r="L16" s="19" t="s">
        <v>1728</v>
      </c>
    </row>
    <row r="17" customFormat="false" ht="40" hidden="false" customHeight="true" outlineLevel="0" collapsed="false">
      <c r="A17" s="76" t="s">
        <v>1770</v>
      </c>
      <c r="B17" s="77" t="s">
        <v>821</v>
      </c>
      <c r="C17" s="76" t="s">
        <v>1107</v>
      </c>
      <c r="D17" s="77" t="s">
        <v>1756</v>
      </c>
      <c r="E17" s="76" t="s">
        <v>1762</v>
      </c>
      <c r="F17" s="77" t="s">
        <v>1771</v>
      </c>
      <c r="G17" s="79" t="n">
        <v>46320</v>
      </c>
      <c r="H17" s="77" t="s">
        <v>1759</v>
      </c>
      <c r="I17" s="108" t="str">
        <f aca="false">HYPERLINK("https://www.boclife.com.hk/tc/product/target3-years-insurance-plan.html","https://www.boclife.com.hk/tc/product/target3-years-insurance-plan.html")</f>
        <v>https://www.boclife.com.hk/tc/product/target3-years-insurance-plan.html</v>
      </c>
      <c r="J17" s="108"/>
      <c r="K17" s="77" t="s">
        <v>1760</v>
      </c>
      <c r="L17" s="19" t="s">
        <v>1728</v>
      </c>
    </row>
    <row r="18" customFormat="false" ht="40" hidden="false" customHeight="true" outlineLevel="0" collapsed="false">
      <c r="A18" s="70" t="s">
        <v>1772</v>
      </c>
      <c r="B18" s="71" t="s">
        <v>821</v>
      </c>
      <c r="C18" s="70" t="s">
        <v>1107</v>
      </c>
      <c r="D18" s="71" t="s">
        <v>1756</v>
      </c>
      <c r="E18" s="70" t="s">
        <v>1762</v>
      </c>
      <c r="F18" s="71" t="s">
        <v>1773</v>
      </c>
      <c r="G18" s="74" t="n">
        <v>46320</v>
      </c>
      <c r="H18" s="71" t="s">
        <v>1759</v>
      </c>
      <c r="I18" s="107" t="str">
        <f aca="false">HYPERLINK("https://www.boclife.com.hk/tc/product/target5-years-plus-insurance-plan.html","https://www.boclife.com.hk/tc/product/target5-years-plus-insurance-plan.html")</f>
        <v>https://www.boclife.com.hk/tc/product/target5-years-plus-insurance-plan.html</v>
      </c>
      <c r="J18" s="107"/>
      <c r="K18" s="71" t="s">
        <v>1760</v>
      </c>
      <c r="L18" s="19" t="s">
        <v>1728</v>
      </c>
    </row>
    <row r="19" customFormat="false" ht="40" hidden="false" customHeight="true" outlineLevel="0" collapsed="false">
      <c r="A19" s="76" t="s">
        <v>1774</v>
      </c>
      <c r="B19" s="77" t="s">
        <v>821</v>
      </c>
      <c r="C19" s="76" t="s">
        <v>1775</v>
      </c>
      <c r="D19" s="77" t="s">
        <v>1756</v>
      </c>
      <c r="E19" s="76" t="s">
        <v>1776</v>
      </c>
      <c r="F19" s="77" t="s">
        <v>1777</v>
      </c>
      <c r="G19" s="79" t="n">
        <v>46320</v>
      </c>
      <c r="H19" s="77" t="s">
        <v>1778</v>
      </c>
      <c r="I19" s="108" t="str">
        <f aca="false">HYPERLINK("https://www.ctflife.com.hk/tc/product/wealth/gorgeous-universal-life-protection-plan","https://www.ctflife.com.hk/tc/product/wealth/gorgeous-universal-life-protection-plan")</f>
        <v>https://www.ctflife.com.hk/tc/product/wealth/gorgeous-universal-life-protection-plan</v>
      </c>
      <c r="J19" s="108"/>
      <c r="K19" s="77" t="s">
        <v>1779</v>
      </c>
      <c r="L19" s="19" t="s">
        <v>1728</v>
      </c>
    </row>
    <row r="20" customFormat="false" ht="40" hidden="false" customHeight="true" outlineLevel="0" collapsed="false">
      <c r="A20" s="70" t="s">
        <v>1780</v>
      </c>
      <c r="B20" s="71" t="s">
        <v>821</v>
      </c>
      <c r="C20" s="70" t="s">
        <v>1775</v>
      </c>
      <c r="D20" s="71" t="s">
        <v>1756</v>
      </c>
      <c r="E20" s="70" t="s">
        <v>1776</v>
      </c>
      <c r="F20" s="71" t="s">
        <v>1781</v>
      </c>
      <c r="G20" s="74" t="n">
        <v>46320</v>
      </c>
      <c r="H20" s="71" t="s">
        <v>1778</v>
      </c>
      <c r="I20" s="107" t="str">
        <f aca="false">HYPERLINK("https://www.ctflife.com.hk/tc/product/wealth/mywealth-savings-insurance-plan-2-prestige","https://www.ctflife.com.hk/tc/product/wealth/mywealth-savings-insurance-plan-2-prestige")</f>
        <v>https://www.ctflife.com.hk/tc/product/wealth/mywealth-savings-insurance-plan-2-prestige</v>
      </c>
      <c r="J20" s="107"/>
      <c r="K20" s="71" t="s">
        <v>1779</v>
      </c>
      <c r="L20" s="19" t="s">
        <v>1728</v>
      </c>
    </row>
    <row r="21" customFormat="false" ht="40" hidden="false" customHeight="true" outlineLevel="0" collapsed="false">
      <c r="A21" s="76" t="s">
        <v>1782</v>
      </c>
      <c r="B21" s="77" t="s">
        <v>821</v>
      </c>
      <c r="C21" s="76" t="s">
        <v>1775</v>
      </c>
      <c r="D21" s="77" t="s">
        <v>1756</v>
      </c>
      <c r="E21" s="76" t="s">
        <v>1776</v>
      </c>
      <c r="F21" s="77" t="s">
        <v>1783</v>
      </c>
      <c r="G21" s="79" t="n">
        <v>46320</v>
      </c>
      <c r="H21" s="77" t="s">
        <v>1778</v>
      </c>
      <c r="I21" s="108" t="str">
        <f aca="false">HYPERLINK("https://www.ctflife.com.hk/tc/product/wealth/sky-leap-88-savings-insurance-plan","https://www.ctflife.com.hk/tc/product/wealth/sky-leap-88-savings-insurance-plan")</f>
        <v>https://www.ctflife.com.hk/tc/product/wealth/sky-leap-88-savings-insurance-plan</v>
      </c>
      <c r="J21" s="108"/>
      <c r="K21" s="77" t="s">
        <v>1779</v>
      </c>
      <c r="L21" s="19" t="s">
        <v>1728</v>
      </c>
    </row>
    <row r="22" customFormat="false" ht="40" hidden="false" customHeight="true" outlineLevel="0" collapsed="false">
      <c r="A22" s="70" t="s">
        <v>1784</v>
      </c>
      <c r="B22" s="71" t="s">
        <v>821</v>
      </c>
      <c r="C22" s="70" t="s">
        <v>1785</v>
      </c>
      <c r="D22" s="71" t="s">
        <v>1756</v>
      </c>
      <c r="E22" s="70" t="s">
        <v>1786</v>
      </c>
      <c r="F22" s="70" t="s">
        <v>1787</v>
      </c>
      <c r="G22" s="74" t="n">
        <v>46320</v>
      </c>
      <c r="H22" s="71" t="s">
        <v>1759</v>
      </c>
      <c r="I22" s="107" t="str">
        <f aca="false">HYPERLINK("https://chinalife.com.hk/products/insurance/grand-horizon-savings-insurance-plan-exclusive-to-broker-channel","https://chinalife.com.hk/products/insurance/grand-horizon-savings-insurance-plan-exclusive-to-broker-channel")</f>
        <v>https://chinalife.com.hk/products/insurance/grand-horizon-savings-insurance-plan-exclusive-to-broker-channel</v>
      </c>
      <c r="J22" s="107"/>
      <c r="K22" s="71" t="s">
        <v>1760</v>
      </c>
      <c r="L22" s="19" t="s">
        <v>1728</v>
      </c>
    </row>
    <row r="23" customFormat="false" ht="40" hidden="false" customHeight="true" outlineLevel="0" collapsed="false">
      <c r="A23" s="76" t="s">
        <v>1788</v>
      </c>
      <c r="B23" s="77" t="s">
        <v>821</v>
      </c>
      <c r="C23" s="76" t="s">
        <v>1789</v>
      </c>
      <c r="D23" s="77" t="s">
        <v>1756</v>
      </c>
      <c r="E23" s="76" t="s">
        <v>1790</v>
      </c>
      <c r="F23" s="77" t="s">
        <v>1791</v>
      </c>
      <c r="G23" s="79" t="n">
        <v>46320</v>
      </c>
      <c r="H23" s="77" t="s">
        <v>1759</v>
      </c>
      <c r="I23" s="108" t="str">
        <f aca="false">HYPERLINK("https://www.cpiclifehk.com.hk/ProductIntroduce/ProductDetail?productCode=Everlasting-Joy-3","https://www.cpiclifehk.com.hk/ProductIntroduce/ProductDetail?productCode=Everlasting-Joy-3")</f>
        <v>https://www.cpiclifehk.com.hk/ProductIntroduce/ProductDetail?productCode=Everlasting-Joy-3</v>
      </c>
      <c r="J23" s="108"/>
      <c r="K23" s="77" t="s">
        <v>1760</v>
      </c>
      <c r="L23" s="19" t="s">
        <v>1728</v>
      </c>
    </row>
    <row r="24" customFormat="false" ht="40" hidden="false" customHeight="true" outlineLevel="0" collapsed="false">
      <c r="A24" s="70" t="s">
        <v>1792</v>
      </c>
      <c r="B24" s="71" t="s">
        <v>821</v>
      </c>
      <c r="C24" s="70" t="s">
        <v>1793</v>
      </c>
      <c r="D24" s="71" t="s">
        <v>1756</v>
      </c>
      <c r="E24" s="70" t="s">
        <v>1794</v>
      </c>
      <c r="F24" s="70" t="s">
        <v>1795</v>
      </c>
      <c r="G24" s="74" t="n">
        <v>46320</v>
      </c>
      <c r="H24" s="71" t="s">
        <v>1759</v>
      </c>
      <c r="I24" s="107" t="str">
        <f aca="false">HYPERLINK("https://www.chubb.com/hk-en/personal/chubb-future-achiever-savings-plan-2.html","https://www.chubb.com/hk-en/personal/chubb-future-achiever-savings-plan-2.html")</f>
        <v>https://www.chubb.com/hk-en/personal/chubb-future-achiever-savings-plan-2.html</v>
      </c>
      <c r="J24" s="107"/>
      <c r="K24" s="71" t="s">
        <v>1760</v>
      </c>
      <c r="L24" s="19" t="s">
        <v>1728</v>
      </c>
    </row>
    <row r="25" customFormat="false" ht="40" hidden="false" customHeight="true" outlineLevel="0" collapsed="false">
      <c r="A25" s="76" t="s">
        <v>1796</v>
      </c>
      <c r="B25" s="77" t="s">
        <v>821</v>
      </c>
      <c r="C25" s="76" t="s">
        <v>925</v>
      </c>
      <c r="D25" s="77" t="s">
        <v>1756</v>
      </c>
      <c r="E25" s="76" t="s">
        <v>1797</v>
      </c>
      <c r="F25" s="77" t="s">
        <v>1798</v>
      </c>
      <c r="G25" s="79" t="n">
        <v>46320</v>
      </c>
      <c r="H25" s="77" t="s">
        <v>1759</v>
      </c>
      <c r="I25" s="108" t="str">
        <f aca="false">HYPERLINK("https://www.fubonlife.com.hk/life_hk/html/tc/products/treasure-prestige.html","https://www.fubonlife.com.hk/life_hk/html/tc/products/treasure-prestige.html")</f>
        <v>https://www.fubonlife.com.hk/life_hk/html/tc/products/treasure-prestige.html</v>
      </c>
      <c r="J25" s="108"/>
      <c r="K25" s="77" t="s">
        <v>1760</v>
      </c>
      <c r="L25" s="19" t="s">
        <v>1728</v>
      </c>
    </row>
    <row r="26" customFormat="false" ht="40" hidden="false" customHeight="true" outlineLevel="0" collapsed="false">
      <c r="A26" s="70" t="s">
        <v>1799</v>
      </c>
      <c r="B26" s="71" t="s">
        <v>821</v>
      </c>
      <c r="C26" s="70" t="s">
        <v>983</v>
      </c>
      <c r="D26" s="71" t="s">
        <v>1756</v>
      </c>
      <c r="E26" s="70" t="s">
        <v>1800</v>
      </c>
      <c r="F26" s="70" t="s">
        <v>1801</v>
      </c>
      <c r="G26" s="74" t="n">
        <v>46320</v>
      </c>
      <c r="H26" s="71" t="s">
        <v>1759</v>
      </c>
      <c r="I26" s="107" t="str">
        <f aca="false">HYPERLINK("https://www.hsbc.com.hk/insurance/products/savings-and-retirement/early-income-deferred-annuity/","https://www.hsbc.com.hk/insurance/products/savings-and-retirement/early-income-deferred-annuity/")</f>
        <v>https://www.hsbc.com.hk/insurance/products/savings-and-retirement/early-income-deferred-annuity/</v>
      </c>
      <c r="J26" s="107"/>
      <c r="K26" s="71" t="s">
        <v>1760</v>
      </c>
      <c r="L26" s="19" t="s">
        <v>1728</v>
      </c>
    </row>
    <row r="27" customFormat="false" ht="40" hidden="false" customHeight="true" outlineLevel="0" collapsed="false">
      <c r="A27" s="76" t="s">
        <v>1802</v>
      </c>
      <c r="B27" s="77" t="s">
        <v>821</v>
      </c>
      <c r="C27" s="76" t="s">
        <v>983</v>
      </c>
      <c r="D27" s="77" t="s">
        <v>1756</v>
      </c>
      <c r="E27" s="76" t="s">
        <v>1800</v>
      </c>
      <c r="F27" s="76" t="s">
        <v>1803</v>
      </c>
      <c r="G27" s="79" t="n">
        <v>46320</v>
      </c>
      <c r="H27" s="77" t="s">
        <v>1759</v>
      </c>
      <c r="I27" s="108" t="str">
        <f aca="false">HYPERLINK("https://www.hsbc.com.hk/insurance/products/savings-and-retirement/flourish-income-annuity/","https://www.hsbc.com.hk/insurance/products/savings-and-retirement/flourish-income-annuity/")</f>
        <v>https://www.hsbc.com.hk/insurance/products/savings-and-retirement/flourish-income-annuity/</v>
      </c>
      <c r="J27" s="108"/>
      <c r="K27" s="77" t="s">
        <v>1760</v>
      </c>
      <c r="L27" s="19" t="s">
        <v>1728</v>
      </c>
    </row>
    <row r="28" customFormat="false" ht="40" hidden="false" customHeight="true" outlineLevel="0" collapsed="false">
      <c r="A28" s="70" t="s">
        <v>1804</v>
      </c>
      <c r="B28" s="71" t="s">
        <v>821</v>
      </c>
      <c r="C28" s="70" t="s">
        <v>983</v>
      </c>
      <c r="D28" s="71" t="s">
        <v>1756</v>
      </c>
      <c r="E28" s="70" t="s">
        <v>1800</v>
      </c>
      <c r="F28" s="70" t="s">
        <v>1805</v>
      </c>
      <c r="G28" s="74" t="n">
        <v>46320</v>
      </c>
      <c r="H28" s="71" t="s">
        <v>1759</v>
      </c>
      <c r="I28" s="107" t="str">
        <f aca="false">HYPERLINK("https://www.hsbc.com.hk/insurance/products/savings-and-retirement/income-goal-deferred-annuity/","https://www.hsbc.com.hk/insurance/products/savings-and-retirement/income-goal-deferred-annuity/")</f>
        <v>https://www.hsbc.com.hk/insurance/products/savings-and-retirement/income-goal-deferred-annuity/</v>
      </c>
      <c r="J28" s="107"/>
      <c r="K28" s="71" t="s">
        <v>1760</v>
      </c>
      <c r="L28" s="19" t="s">
        <v>1728</v>
      </c>
    </row>
    <row r="29" customFormat="false" ht="40" hidden="false" customHeight="true" outlineLevel="0" collapsed="false">
      <c r="A29" s="76" t="s">
        <v>1806</v>
      </c>
      <c r="B29" s="77" t="s">
        <v>821</v>
      </c>
      <c r="C29" s="76" t="s">
        <v>992</v>
      </c>
      <c r="D29" s="77" t="s">
        <v>1756</v>
      </c>
      <c r="E29" s="76" t="s">
        <v>1807</v>
      </c>
      <c r="F29" s="77" t="s">
        <v>1808</v>
      </c>
      <c r="G29" s="79" t="n">
        <v>46320</v>
      </c>
      <c r="H29" s="77" t="s">
        <v>1759</v>
      </c>
      <c r="I29" s="108" t="str">
        <f aca="false">HYPERLINK("https://www.hangseng.com/zh-hk/personal/insurance-mpf/retirement-wealth-education/fortunelife-deferred-annuity/","https://www.hangseng.com/zh-hk/personal/insurance-mpf/retirement-wealth-education/fortunelife-deferred-annuity/")</f>
        <v>https://www.hangseng.com/zh-hk/personal/insurance-mpf/retirement-wealth-education/fortunelife-deferred-annuity/</v>
      </c>
      <c r="J29" s="108"/>
      <c r="K29" s="77" t="s">
        <v>1760</v>
      </c>
      <c r="L29" s="19" t="s">
        <v>1728</v>
      </c>
    </row>
    <row r="30" customFormat="false" ht="40" hidden="false" customHeight="true" outlineLevel="0" collapsed="false">
      <c r="A30" s="70" t="s">
        <v>1809</v>
      </c>
      <c r="B30" s="71" t="s">
        <v>821</v>
      </c>
      <c r="C30" s="70" t="s">
        <v>992</v>
      </c>
      <c r="D30" s="71" t="s">
        <v>1756</v>
      </c>
      <c r="E30" s="70" t="s">
        <v>1807</v>
      </c>
      <c r="F30" s="71" t="s">
        <v>1810</v>
      </c>
      <c r="G30" s="74" t="n">
        <v>46320</v>
      </c>
      <c r="H30" s="71" t="s">
        <v>1759</v>
      </c>
      <c r="I30" s="107" t="str">
        <f aca="false">HYPERLINK("https://www.hangseng.com/zh-hk/personal/insurance-mpf/retirement-wealth-education/income-power/","https://www.hangseng.com/zh-hk/personal/insurance-mpf/retirement-wealth-education/income-power/")</f>
        <v>https://www.hangseng.com/zh-hk/personal/insurance-mpf/retirement-wealth-education/income-power/</v>
      </c>
      <c r="J30" s="107"/>
      <c r="K30" s="71" t="s">
        <v>1760</v>
      </c>
      <c r="L30" s="19" t="s">
        <v>1728</v>
      </c>
    </row>
    <row r="31" customFormat="false" ht="40" hidden="false" customHeight="true" outlineLevel="0" collapsed="false">
      <c r="A31" s="76" t="s">
        <v>1811</v>
      </c>
      <c r="B31" s="77" t="s">
        <v>821</v>
      </c>
      <c r="C31" s="76" t="s">
        <v>930</v>
      </c>
      <c r="D31" s="77" t="s">
        <v>1756</v>
      </c>
      <c r="E31" s="76" t="s">
        <v>1812</v>
      </c>
      <c r="F31" s="76" t="s">
        <v>1813</v>
      </c>
      <c r="G31" s="79" t="n">
        <v>46320</v>
      </c>
      <c r="H31" s="77" t="s">
        <v>1759</v>
      </c>
      <c r="I31" s="108" t="str">
        <f aca="false">HYPERLINK("https://www.hklife.com.hk/en/products/personal-insurance/savings-plan/wealth-global-multi-currency-insurance-plan/index.html","https://www.hklife.com.hk/en/products/personal-insurance/savings-plan/wealth-global-multi-currency-insurance-plan/index.html")</f>
        <v>https://www.hklife.com.hk/en/products/personal-insurance/savings-plan/wealth-global-multi-currency-insurance-plan/index.html</v>
      </c>
      <c r="J31" s="108"/>
      <c r="K31" s="77" t="s">
        <v>1760</v>
      </c>
      <c r="L31" s="19" t="s">
        <v>1728</v>
      </c>
    </row>
    <row r="32" customFormat="false" ht="40" hidden="false" customHeight="true" outlineLevel="0" collapsed="false">
      <c r="A32" s="70" t="s">
        <v>1814</v>
      </c>
      <c r="B32" s="71" t="s">
        <v>821</v>
      </c>
      <c r="C32" s="70" t="s">
        <v>919</v>
      </c>
      <c r="D32" s="71" t="s">
        <v>1756</v>
      </c>
      <c r="E32" s="70" t="s">
        <v>1815</v>
      </c>
      <c r="F32" s="71" t="s">
        <v>1816</v>
      </c>
      <c r="G32" s="74" t="n">
        <v>46320</v>
      </c>
      <c r="H32" s="71" t="s">
        <v>1759</v>
      </c>
      <c r="I32" s="107" t="str">
        <f aca="false">HYPERLINK("https://www.yflife.com/tc/product/savings/my-flexi-generations-saver/","https://www.yflife.com/tc/product/savings/my-flexi-generations-saver/")</f>
        <v>https://www.yflife.com/tc/product/savings/my-flexi-generations-saver/</v>
      </c>
      <c r="J32" s="107"/>
      <c r="K32" s="71" t="s">
        <v>1760</v>
      </c>
      <c r="L32" s="19" t="s">
        <v>1728</v>
      </c>
    </row>
    <row r="33" customFormat="false" ht="40" hidden="false" customHeight="true" outlineLevel="0" collapsed="false">
      <c r="A33" s="76" t="s">
        <v>1817</v>
      </c>
      <c r="B33" s="77" t="s">
        <v>821</v>
      </c>
      <c r="C33" s="76" t="s">
        <v>935</v>
      </c>
      <c r="D33" s="77" t="s">
        <v>1756</v>
      </c>
      <c r="E33" s="76" t="s">
        <v>1818</v>
      </c>
      <c r="F33" s="76" t="s">
        <v>1819</v>
      </c>
      <c r="G33" s="79" t="n">
        <v>46320</v>
      </c>
      <c r="H33" s="77" t="s">
        <v>1759</v>
      </c>
      <c r="I33" s="108" t="str">
        <f aca="false">HYPERLINK("https://life.zurich.com.hk/en/products/swiss-prime-savings-insurance-plan/","https://life.zurich.com.hk/en/products/swiss-prime-savings-insurance-plan/")</f>
        <v>https://life.zurich.com.hk/en/products/swiss-prime-savings-insurance-plan/</v>
      </c>
      <c r="J33" s="108"/>
      <c r="K33" s="77" t="s">
        <v>1760</v>
      </c>
      <c r="L33" s="19" t="s">
        <v>1728</v>
      </c>
    </row>
    <row r="34" customFormat="false" ht="40" hidden="false" customHeight="true" outlineLevel="0" collapsed="false">
      <c r="A34" s="70" t="s">
        <v>1820</v>
      </c>
      <c r="B34" s="71" t="s">
        <v>821</v>
      </c>
      <c r="C34" s="70" t="s">
        <v>1363</v>
      </c>
      <c r="D34" s="71" t="s">
        <v>1756</v>
      </c>
      <c r="E34" s="70" t="s">
        <v>1821</v>
      </c>
      <c r="F34" s="70" t="s">
        <v>1822</v>
      </c>
      <c r="G34" s="74" t="n">
        <v>46320</v>
      </c>
      <c r="H34" s="71" t="s">
        <v>1743</v>
      </c>
      <c r="I34" s="107" t="str">
        <f aca="false">HYPERLINK("https://www.aia.com.hk/en/products/save/aia-deferred-annuity-plan-2.html","https://www.aia.com.hk/en/products/save/aia-deferred-annuity-plan-2.html")</f>
        <v>https://www.aia.com.hk/en/products/save/aia-deferred-annuity-plan-2.html</v>
      </c>
      <c r="J34" s="107"/>
      <c r="K34" s="71" t="s">
        <v>1727</v>
      </c>
      <c r="L34" s="19" t="s">
        <v>1728</v>
      </c>
    </row>
    <row r="35" customFormat="false" ht="40" hidden="false" customHeight="true" outlineLevel="0" collapsed="false">
      <c r="A35" s="76" t="s">
        <v>1823</v>
      </c>
      <c r="B35" s="77" t="s">
        <v>821</v>
      </c>
      <c r="C35" s="76" t="s">
        <v>1363</v>
      </c>
      <c r="D35" s="77" t="s">
        <v>1756</v>
      </c>
      <c r="E35" s="76" t="s">
        <v>1821</v>
      </c>
      <c r="F35" s="76" t="s">
        <v>1824</v>
      </c>
      <c r="G35" s="79" t="n">
        <v>46320</v>
      </c>
      <c r="H35" s="77" t="s">
        <v>1743</v>
      </c>
      <c r="I35" s="108" t="str">
        <f aca="false">HYPERLINK("https://www.aia.com.hk/en/products/save/global-flexi.html","https://www.aia.com.hk/en/products/save/global-flexi.html")</f>
        <v>https://www.aia.com.hk/en/products/save/global-flexi.html</v>
      </c>
      <c r="J35" s="108"/>
      <c r="K35" s="77" t="s">
        <v>1727</v>
      </c>
      <c r="L35" s="19" t="s">
        <v>1728</v>
      </c>
    </row>
    <row r="36" customFormat="false" ht="40" hidden="false" customHeight="true" outlineLevel="0" collapsed="false">
      <c r="A36" s="70" t="s">
        <v>1825</v>
      </c>
      <c r="B36" s="71" t="s">
        <v>821</v>
      </c>
      <c r="C36" s="70" t="s">
        <v>1363</v>
      </c>
      <c r="D36" s="71" t="s">
        <v>1756</v>
      </c>
      <c r="E36" s="70" t="s">
        <v>1821</v>
      </c>
      <c r="F36" s="70" t="s">
        <v>1826</v>
      </c>
      <c r="G36" s="74" t="n">
        <v>46320</v>
      </c>
      <c r="H36" s="71" t="s">
        <v>1743</v>
      </c>
      <c r="I36" s="107" t="str">
        <f aca="false">HYPERLINK("https://www.aia.com.hk/en/products/save/global-power-3.html","https://www.aia.com.hk/en/products/save/global-power-3.html")</f>
        <v>https://www.aia.com.hk/en/products/save/global-power-3.html</v>
      </c>
      <c r="J36" s="107"/>
      <c r="K36" s="71" t="s">
        <v>1727</v>
      </c>
      <c r="L36" s="19" t="s">
        <v>1728</v>
      </c>
    </row>
    <row r="37" customFormat="false" ht="40" hidden="false" customHeight="true" outlineLevel="0" collapsed="false">
      <c r="A37" s="76" t="s">
        <v>1827</v>
      </c>
      <c r="B37" s="77" t="s">
        <v>821</v>
      </c>
      <c r="C37" s="76" t="s">
        <v>1363</v>
      </c>
      <c r="D37" s="77" t="s">
        <v>1756</v>
      </c>
      <c r="E37" s="76" t="s">
        <v>1821</v>
      </c>
      <c r="F37" s="77" t="s">
        <v>1828</v>
      </c>
      <c r="G37" s="79" t="n">
        <v>46320</v>
      </c>
      <c r="H37" s="77" t="s">
        <v>1743</v>
      </c>
      <c r="I37" s="108" t="str">
        <f aca="false">HYPERLINK("https://www.aia.com.hk/en/products/save/prosperlife.html","https://www.aia.com.hk/en/products/save/prosperlife.html")</f>
        <v>https://www.aia.com.hk/en/products/save/prosperlife.html</v>
      </c>
      <c r="J37" s="108"/>
      <c r="K37" s="77" t="s">
        <v>1727</v>
      </c>
      <c r="L37" s="19" t="s">
        <v>1728</v>
      </c>
    </row>
    <row r="38" customFormat="false" ht="40" hidden="false" customHeight="true" outlineLevel="0" collapsed="false">
      <c r="A38" s="70" t="s">
        <v>1829</v>
      </c>
      <c r="B38" s="71" t="s">
        <v>821</v>
      </c>
      <c r="C38" s="70" t="s">
        <v>1363</v>
      </c>
      <c r="D38" s="71" t="s">
        <v>1756</v>
      </c>
      <c r="E38" s="70" t="s">
        <v>1821</v>
      </c>
      <c r="F38" s="70" t="s">
        <v>1830</v>
      </c>
      <c r="G38" s="74" t="n">
        <v>46320</v>
      </c>
      <c r="H38" s="71" t="s">
        <v>1743</v>
      </c>
      <c r="I38" s="107" t="str">
        <f aca="false">HYPERLINK("https://www.aia.com.hk/en/products/save/wealth-flexi","https://www.aia.com.hk/en/products/save/wealth-flexi")</f>
        <v>https://www.aia.com.hk/en/products/save/wealth-flexi</v>
      </c>
      <c r="J38" s="107"/>
      <c r="K38" s="71" t="s">
        <v>1727</v>
      </c>
      <c r="L38" s="19" t="s">
        <v>1728</v>
      </c>
    </row>
    <row r="39" customFormat="false" ht="40" hidden="false" customHeight="true" outlineLevel="0" collapsed="false">
      <c r="A39" s="76" t="s">
        <v>1831</v>
      </c>
      <c r="B39" s="77" t="s">
        <v>821</v>
      </c>
      <c r="C39" s="76" t="s">
        <v>1369</v>
      </c>
      <c r="D39" s="77" t="s">
        <v>1756</v>
      </c>
      <c r="E39" s="76" t="s">
        <v>1832</v>
      </c>
      <c r="F39" s="77" t="s">
        <v>1833</v>
      </c>
      <c r="G39" s="79" t="n">
        <v>46320</v>
      </c>
      <c r="H39" s="77" t="s">
        <v>1726</v>
      </c>
      <c r="I39" s="108" t="str">
        <f aca="false">HYPERLINK("https://www.manulife.com.hk/en/individual/products/save/savings/future-assure.html","https://www.manulife.com.hk/en/individual/products/save/savings/future-assure.html")</f>
        <v>https://www.manulife.com.hk/en/individual/products/save/savings/future-assure.html</v>
      </c>
      <c r="J39" s="108"/>
      <c r="K39" s="77" t="s">
        <v>1727</v>
      </c>
      <c r="L39" s="19" t="s">
        <v>1728</v>
      </c>
    </row>
    <row r="40" customFormat="false" ht="40" hidden="false" customHeight="true" outlineLevel="0" collapsed="false">
      <c r="A40" s="70" t="s">
        <v>1834</v>
      </c>
      <c r="B40" s="71" t="s">
        <v>821</v>
      </c>
      <c r="C40" s="70" t="s">
        <v>1369</v>
      </c>
      <c r="D40" s="71" t="s">
        <v>1756</v>
      </c>
      <c r="E40" s="70" t="s">
        <v>1832</v>
      </c>
      <c r="F40" s="71" t="s">
        <v>1835</v>
      </c>
      <c r="G40" s="74" t="n">
        <v>46320</v>
      </c>
      <c r="H40" s="71" t="s">
        <v>1743</v>
      </c>
      <c r="I40" s="107" t="str">
        <f aca="false">HYPERLINK("https://www.manulife.com.hk/en/individual/products/save/savings/genesis-centurion.html","https://www.manulife.com.hk/en/individual/products/save/savings/genesis-centurion.html")</f>
        <v>https://www.manulife.com.hk/en/individual/products/save/savings/genesis-centurion.html</v>
      </c>
      <c r="J40" s="107"/>
      <c r="K40" s="71" t="s">
        <v>1727</v>
      </c>
      <c r="L40" s="19" t="s">
        <v>1728</v>
      </c>
    </row>
    <row r="41" customFormat="false" ht="40" hidden="false" customHeight="true" outlineLevel="0" collapsed="false">
      <c r="A41" s="76" t="s">
        <v>1836</v>
      </c>
      <c r="B41" s="77" t="s">
        <v>821</v>
      </c>
      <c r="C41" s="76" t="s">
        <v>1369</v>
      </c>
      <c r="D41" s="77" t="s">
        <v>1756</v>
      </c>
      <c r="E41" s="76" t="s">
        <v>1832</v>
      </c>
      <c r="F41" s="77" t="s">
        <v>1837</v>
      </c>
      <c r="G41" s="79" t="n">
        <v>46320</v>
      </c>
      <c r="H41" s="77" t="s">
        <v>1743</v>
      </c>
      <c r="I41" s="108" t="str">
        <f aca="false">HYPERLINK("https://www.manulife.com.hk/en/individual/products/save/savings/genesis.html","https://www.manulife.com.hk/en/individual/products/save/savings/genesis.html")</f>
        <v>https://www.manulife.com.hk/en/individual/products/save/savings/genesis.html</v>
      </c>
      <c r="J41" s="108"/>
      <c r="K41" s="77" t="s">
        <v>1727</v>
      </c>
      <c r="L41" s="19" t="s">
        <v>1728</v>
      </c>
    </row>
    <row r="42" customFormat="false" ht="40" hidden="false" customHeight="true" outlineLevel="0" collapsed="false">
      <c r="A42" s="70" t="s">
        <v>1838</v>
      </c>
      <c r="B42" s="71" t="s">
        <v>821</v>
      </c>
      <c r="C42" s="70" t="s">
        <v>1369</v>
      </c>
      <c r="D42" s="71" t="s">
        <v>1756</v>
      </c>
      <c r="E42" s="70" t="s">
        <v>1832</v>
      </c>
      <c r="F42" s="71" t="s">
        <v>1839</v>
      </c>
      <c r="G42" s="74" t="n">
        <v>46320</v>
      </c>
      <c r="H42" s="71" t="s">
        <v>1726</v>
      </c>
      <c r="I42" s="107" t="str">
        <f aca="false">HYPERLINK("https://www.manulife.com.hk/en/individual/products/save/savings/la-vie-2.html","https://www.manulife.com.hk/en/individual/products/save/savings/la-vie-2.html")</f>
        <v>https://www.manulife.com.hk/en/individual/products/save/savings/la-vie-2.html</v>
      </c>
      <c r="J42" s="107"/>
      <c r="K42" s="71" t="s">
        <v>1727</v>
      </c>
      <c r="L42" s="19" t="s">
        <v>1728</v>
      </c>
    </row>
    <row r="43" customFormat="false" ht="40" hidden="false" customHeight="true" outlineLevel="0" collapsed="false">
      <c r="A43" s="76" t="s">
        <v>1840</v>
      </c>
      <c r="B43" s="77" t="s">
        <v>821</v>
      </c>
      <c r="C43" s="76" t="s">
        <v>1369</v>
      </c>
      <c r="D43" s="77" t="s">
        <v>1756</v>
      </c>
      <c r="E43" s="76" t="s">
        <v>1832</v>
      </c>
      <c r="F43" s="77" t="s">
        <v>1841</v>
      </c>
      <c r="G43" s="79" t="n">
        <v>46320</v>
      </c>
      <c r="H43" s="77" t="s">
        <v>1726</v>
      </c>
      <c r="I43" s="108" t="str">
        <f aca="false">HYPERLINK("https://www.manulife.com.hk/en/individual/products/save/savings/manuglobal-saver.html","https://www.manulife.com.hk/en/individual/products/save/savings/manuglobal-saver.html")</f>
        <v>https://www.manulife.com.hk/en/individual/products/save/savings/manuglobal-saver.html</v>
      </c>
      <c r="J43" s="108"/>
      <c r="K43" s="77" t="s">
        <v>1727</v>
      </c>
      <c r="L43" s="19" t="s">
        <v>1728</v>
      </c>
    </row>
    <row r="44" customFormat="false" ht="40" hidden="false" customHeight="true" outlineLevel="0" collapsed="false">
      <c r="A44" s="70" t="s">
        <v>1842</v>
      </c>
      <c r="B44" s="71" t="s">
        <v>821</v>
      </c>
      <c r="C44" s="70" t="s">
        <v>1372</v>
      </c>
      <c r="D44" s="71" t="s">
        <v>1756</v>
      </c>
      <c r="E44" s="70" t="s">
        <v>1843</v>
      </c>
      <c r="F44" s="70" t="s">
        <v>1844</v>
      </c>
      <c r="G44" s="74" t="n">
        <v>46320</v>
      </c>
      <c r="H44" s="71" t="s">
        <v>1726</v>
      </c>
      <c r="I44" s="107" t="str">
        <f aca="false">HYPERLINK("https://www.prudential.com.hk/en/products/save/savings/prudential-enlight-savings-insurance-series/","https://www.prudential.com.hk/en/products/save/savings/prudential-enlight-savings-insurance-series/")</f>
        <v>https://www.prudential.com.hk/en/products/save/savings/prudential-enlight-savings-insurance-series/</v>
      </c>
      <c r="J44" s="107"/>
      <c r="K44" s="71" t="s">
        <v>1727</v>
      </c>
      <c r="L44" s="19" t="s">
        <v>1728</v>
      </c>
    </row>
    <row r="45" customFormat="false" ht="40" hidden="false" customHeight="true" outlineLevel="0" collapsed="false">
      <c r="A45" s="76" t="s">
        <v>1845</v>
      </c>
      <c r="B45" s="77" t="s">
        <v>821</v>
      </c>
      <c r="C45" s="76" t="s">
        <v>1372</v>
      </c>
      <c r="D45" s="77" t="s">
        <v>1756</v>
      </c>
      <c r="E45" s="76" t="s">
        <v>1843</v>
      </c>
      <c r="F45" s="76" t="s">
        <v>1846</v>
      </c>
      <c r="G45" s="79" t="n">
        <v>46320</v>
      </c>
      <c r="H45" s="77" t="s">
        <v>1726</v>
      </c>
      <c r="I45" s="108" t="str">
        <f aca="false">HYPERLINK("https://www.prudential.com.hk/en/products/save/savings/prudential-entrust-multi-currency-plan/","https://www.prudential.com.hk/en/products/save/savings/prudential-entrust-multi-currency-plan/")</f>
        <v>https://www.prudential.com.hk/en/products/save/savings/prudential-entrust-multi-currency-plan/</v>
      </c>
      <c r="J45" s="108"/>
      <c r="K45" s="77" t="s">
        <v>1727</v>
      </c>
      <c r="L45" s="19" t="s">
        <v>1728</v>
      </c>
    </row>
    <row r="46" customFormat="false" ht="40" hidden="false" customHeight="true" outlineLevel="0" collapsed="false">
      <c r="A46" s="70" t="s">
        <v>1847</v>
      </c>
      <c r="B46" s="71" t="s">
        <v>821</v>
      </c>
      <c r="C46" s="70" t="s">
        <v>1375</v>
      </c>
      <c r="D46" s="71" t="s">
        <v>1756</v>
      </c>
      <c r="E46" s="70" t="s">
        <v>1848</v>
      </c>
      <c r="F46" s="71" t="s">
        <v>1849</v>
      </c>
      <c r="G46" s="74" t="n">
        <v>46320</v>
      </c>
      <c r="H46" s="71" t="s">
        <v>1726</v>
      </c>
      <c r="I46" s="107" t="str">
        <f aca="false">HYPERLINK("https://www.sunlife.com.hk/en/insurance/wealth-management/retirement/retirefree-immediate-annuity/","https://www.sunlife.com.hk/en/insurance/wealth-management/retirement/retirefree-immediate-annuity/")</f>
        <v>https://www.sunlife.com.hk/en/insurance/wealth-management/retirement/retirefree-immediate-annuity/</v>
      </c>
      <c r="J46" s="107"/>
      <c r="K46" s="71" t="s">
        <v>1727</v>
      </c>
      <c r="L46" s="19" t="s">
        <v>1728</v>
      </c>
    </row>
    <row r="47" customFormat="false" ht="40" hidden="false" customHeight="true" outlineLevel="0" collapsed="false">
      <c r="A47" s="76" t="s">
        <v>1850</v>
      </c>
      <c r="B47" s="77" t="s">
        <v>821</v>
      </c>
      <c r="C47" s="76" t="s">
        <v>1375</v>
      </c>
      <c r="D47" s="77" t="s">
        <v>1756</v>
      </c>
      <c r="E47" s="76" t="s">
        <v>1848</v>
      </c>
      <c r="F47" s="77" t="s">
        <v>1851</v>
      </c>
      <c r="G47" s="79" t="n">
        <v>46320</v>
      </c>
      <c r="H47" s="77" t="s">
        <v>1726</v>
      </c>
      <c r="I47" s="108" t="str">
        <f aca="false">HYPERLINK("https://www.sunlife.com.hk/en/insurance/wealth-management/savings/stellar-multi-currency-ii/","https://www.sunlife.com.hk/en/insurance/wealth-management/savings/stellar-multi-currency-ii/")</f>
        <v>https://www.sunlife.com.hk/en/insurance/wealth-management/savings/stellar-multi-currency-ii/</v>
      </c>
      <c r="J47" s="108"/>
      <c r="K47" s="77" t="s">
        <v>1727</v>
      </c>
      <c r="L47" s="19" t="s">
        <v>1728</v>
      </c>
    </row>
    <row r="48" customFormat="false" ht="40" hidden="false" customHeight="true" outlineLevel="0" collapsed="false">
      <c r="A48" s="70" t="s">
        <v>1852</v>
      </c>
      <c r="B48" s="71" t="s">
        <v>821</v>
      </c>
      <c r="C48" s="70" t="s">
        <v>1375</v>
      </c>
      <c r="D48" s="71" t="s">
        <v>1756</v>
      </c>
      <c r="E48" s="70" t="s">
        <v>1848</v>
      </c>
      <c r="F48" s="71" t="s">
        <v>1853</v>
      </c>
      <c r="G48" s="74" t="n">
        <v>46320</v>
      </c>
      <c r="H48" s="71" t="s">
        <v>1726</v>
      </c>
      <c r="I48" s="107" t="str">
        <f aca="false">HYPERLINK("https://www.sunlife.com.hk/en/insurance/wealth-management/savings/sungift-global-ii/","https://www.sunlife.com.hk/en/insurance/wealth-management/savings/sungift-global-ii/")</f>
        <v>https://www.sunlife.com.hk/en/insurance/wealth-management/savings/sungift-global-ii/</v>
      </c>
      <c r="J48" s="107"/>
      <c r="K48" s="71" t="s">
        <v>1727</v>
      </c>
      <c r="L48" s="19" t="s">
        <v>1728</v>
      </c>
    </row>
    <row r="49" customFormat="false" ht="40" hidden="false" customHeight="true" outlineLevel="0" collapsed="false">
      <c r="A49" s="76" t="s">
        <v>1854</v>
      </c>
      <c r="B49" s="77" t="s">
        <v>821</v>
      </c>
      <c r="C49" s="76" t="s">
        <v>1375</v>
      </c>
      <c r="D49" s="77" t="s">
        <v>1756</v>
      </c>
      <c r="E49" s="76" t="s">
        <v>1848</v>
      </c>
      <c r="F49" s="77" t="s">
        <v>1855</v>
      </c>
      <c r="G49" s="79" t="n">
        <v>46320</v>
      </c>
      <c r="H49" s="77" t="s">
        <v>1726</v>
      </c>
      <c r="I49" s="108" t="str">
        <f aca="false">HYPERLINK("https://www.sunlife.com.hk/en/insurance/wealth-management/savings/sunjoy-global-ii/","https://www.sunlife.com.hk/en/insurance/wealth-management/savings/sunjoy-global-ii/")</f>
        <v>https://www.sunlife.com.hk/en/insurance/wealth-management/savings/sunjoy-global-ii/</v>
      </c>
      <c r="J49" s="108"/>
      <c r="K49" s="77" t="s">
        <v>1727</v>
      </c>
      <c r="L49" s="19" t="s">
        <v>1728</v>
      </c>
    </row>
    <row r="50" customFormat="false" ht="40" hidden="false" customHeight="true" outlineLevel="0" collapsed="false">
      <c r="A50" s="70" t="s">
        <v>1856</v>
      </c>
      <c r="B50" s="71" t="s">
        <v>854</v>
      </c>
      <c r="C50" s="70"/>
      <c r="D50" s="71" t="s">
        <v>1857</v>
      </c>
      <c r="E50" s="70" t="s">
        <v>1858</v>
      </c>
      <c r="F50" s="70" t="s">
        <v>1859</v>
      </c>
      <c r="G50" s="74" t="n">
        <v>46320</v>
      </c>
      <c r="H50" s="71" t="s">
        <v>1860</v>
      </c>
      <c r="I50" s="107" t="str">
        <f aca="false">HYPERLINK("https://shentonbrokers.com/compare/travel/fwd-vs-great-american","https://shentonbrokers.com/compare/travel/fwd-vs-great-american")</f>
        <v>https://shentonbrokers.com/compare/travel/fwd-vs-great-american</v>
      </c>
      <c r="J50" s="107"/>
      <c r="K50" s="71" t="s">
        <v>1733</v>
      </c>
      <c r="L50" s="19" t="s">
        <v>1728</v>
      </c>
    </row>
    <row r="51" customFormat="false" ht="40" hidden="false" customHeight="true" outlineLevel="0" collapsed="false">
      <c r="A51" s="76" t="s">
        <v>1861</v>
      </c>
      <c r="B51" s="77" t="s">
        <v>854</v>
      </c>
      <c r="C51" s="76"/>
      <c r="D51" s="77" t="s">
        <v>1857</v>
      </c>
      <c r="E51" s="76" t="s">
        <v>1858</v>
      </c>
      <c r="F51" s="77" t="s">
        <v>1862</v>
      </c>
      <c r="G51" s="79" t="n">
        <v>46320</v>
      </c>
      <c r="H51" s="77" t="s">
        <v>1863</v>
      </c>
      <c r="I51" s="108" t="str">
        <f aca="false">HYPERLINK("https://shentonbrokers.com/compare/travel/fwd-vs-great-american","https://shentonbrokers.com/compare/travel/fwd-vs-great-american")</f>
        <v>https://shentonbrokers.com/compare/travel/fwd-vs-great-american</v>
      </c>
      <c r="J51" s="108"/>
      <c r="K51" s="77" t="s">
        <v>1733</v>
      </c>
      <c r="L51" s="19" t="s">
        <v>1728</v>
      </c>
    </row>
    <row r="52" customFormat="false" ht="40" hidden="false" customHeight="true" outlineLevel="0" collapsed="false">
      <c r="A52" s="70" t="s">
        <v>1864</v>
      </c>
      <c r="B52" s="71" t="s">
        <v>854</v>
      </c>
      <c r="C52" s="70"/>
      <c r="D52" s="71" t="s">
        <v>1756</v>
      </c>
      <c r="E52" s="70" t="s">
        <v>1865</v>
      </c>
      <c r="F52" s="71" t="s">
        <v>1862</v>
      </c>
      <c r="G52" s="74" t="n">
        <v>46320</v>
      </c>
      <c r="H52" s="71" t="s">
        <v>1863</v>
      </c>
      <c r="I52" s="107" t="str">
        <f aca="false">HYPERLINK("https://www.greatamericaninsurancegroup.com/about-us/business-operations/product/singapore-branch/portfolio-of-products-and-proposal-forms","https://www.greatamericaninsurancegroup.com/about-us/business-operations/product/singapore-branch/portfolio-of-products-and-proposal-forms")</f>
        <v>https://www.greatamericaninsurancegroup.com/about-us/business-operations/product/singapore-branch/portfolio-of-products-and-proposal-forms</v>
      </c>
      <c r="J52" s="107"/>
      <c r="K52" s="71" t="s">
        <v>1733</v>
      </c>
      <c r="L52" s="19" t="s">
        <v>1728</v>
      </c>
    </row>
    <row r="53" customFormat="false" ht="40" hidden="false" customHeight="true" outlineLevel="0" collapsed="false">
      <c r="A53" s="76" t="s">
        <v>1866</v>
      </c>
      <c r="B53" s="77" t="s">
        <v>854</v>
      </c>
      <c r="C53" s="76" t="s">
        <v>1867</v>
      </c>
      <c r="D53" s="77" t="s">
        <v>1756</v>
      </c>
      <c r="E53" s="76" t="s">
        <v>1868</v>
      </c>
      <c r="F53" s="76" t="s">
        <v>1869</v>
      </c>
      <c r="G53" s="79" t="n">
        <v>46320</v>
      </c>
      <c r="H53" s="77" t="s">
        <v>1870</v>
      </c>
      <c r="I53" s="108" t="str">
        <f aca="false">HYPERLINK("https://alliedworldinsurance.com/products/accident-health-singapore/","https://alliedworldinsurance.com/products/accident-health-singapore/")</f>
        <v>https://alliedworldinsurance.com/products/accident-health-singapore/</v>
      </c>
      <c r="J53" s="108"/>
      <c r="K53" s="77" t="s">
        <v>1727</v>
      </c>
      <c r="L53" s="19" t="s">
        <v>1728</v>
      </c>
    </row>
    <row r="54" customFormat="false" ht="40" hidden="false" customHeight="true" outlineLevel="0" collapsed="false">
      <c r="A54" s="70" t="s">
        <v>1871</v>
      </c>
      <c r="B54" s="71" t="s">
        <v>854</v>
      </c>
      <c r="C54" s="70" t="s">
        <v>1867</v>
      </c>
      <c r="D54" s="71" t="s">
        <v>1756</v>
      </c>
      <c r="E54" s="70" t="s">
        <v>1868</v>
      </c>
      <c r="F54" s="70" t="s">
        <v>1872</v>
      </c>
      <c r="G54" s="74" t="n">
        <v>46320</v>
      </c>
      <c r="H54" s="70" t="s">
        <v>1873</v>
      </c>
      <c r="I54" s="107" t="str">
        <f aca="false">HYPERLINK("https://alliedworldinsurance.com/products/personal-lines-singapore/","https://alliedworldinsurance.com/products/personal-lines-singapore/")</f>
        <v>https://alliedworldinsurance.com/products/personal-lines-singapore/</v>
      </c>
      <c r="J54" s="107"/>
      <c r="K54" s="71" t="s">
        <v>1727</v>
      </c>
      <c r="L54" s="19" t="s">
        <v>1728</v>
      </c>
    </row>
    <row r="55" customFormat="false" ht="40" hidden="false" customHeight="true" outlineLevel="0" collapsed="false">
      <c r="A55" s="76" t="s">
        <v>1874</v>
      </c>
      <c r="B55" s="77" t="s">
        <v>854</v>
      </c>
      <c r="C55" s="76" t="s">
        <v>1867</v>
      </c>
      <c r="D55" s="77" t="s">
        <v>1756</v>
      </c>
      <c r="E55" s="76" t="s">
        <v>1868</v>
      </c>
      <c r="F55" s="76" t="s">
        <v>1869</v>
      </c>
      <c r="G55" s="79" t="n">
        <v>46320</v>
      </c>
      <c r="H55" s="77" t="s">
        <v>1870</v>
      </c>
      <c r="I55" s="108" t="str">
        <f aca="false">HYPERLINK("https://alliedworldinsurance.com/products/personal-lines-singapore/","https://alliedworldinsurance.com/products/personal-lines-singapore/")</f>
        <v>https://alliedworldinsurance.com/products/personal-lines-singapore/</v>
      </c>
      <c r="J55" s="108"/>
      <c r="K55" s="77" t="s">
        <v>1727</v>
      </c>
      <c r="L55" s="19" t="s">
        <v>1728</v>
      </c>
    </row>
    <row r="56" customFormat="false" ht="40" hidden="false" customHeight="true" outlineLevel="0" collapsed="false">
      <c r="A56" s="70" t="s">
        <v>1875</v>
      </c>
      <c r="B56" s="71" t="s">
        <v>854</v>
      </c>
      <c r="C56" s="70" t="s">
        <v>1867</v>
      </c>
      <c r="D56" s="71" t="s">
        <v>1756</v>
      </c>
      <c r="E56" s="70" t="s">
        <v>1868</v>
      </c>
      <c r="F56" s="70" t="s">
        <v>1876</v>
      </c>
      <c r="G56" s="74" t="n">
        <v>46320</v>
      </c>
      <c r="H56" s="71" t="s">
        <v>1877</v>
      </c>
      <c r="I56" s="107" t="str">
        <f aca="false">HYPERLINK("https://alliedworldinsurance.com/products/personal-lines-singapore/","https://alliedworldinsurance.com/products/personal-lines-singapore/")</f>
        <v>https://alliedworldinsurance.com/products/personal-lines-singapore/</v>
      </c>
      <c r="J56" s="107"/>
      <c r="K56" s="71" t="s">
        <v>1727</v>
      </c>
      <c r="L56" s="19" t="s">
        <v>1728</v>
      </c>
    </row>
    <row r="57" customFormat="false" ht="40" hidden="false" customHeight="true" outlineLevel="0" collapsed="false">
      <c r="A57" s="76" t="s">
        <v>1878</v>
      </c>
      <c r="B57" s="77" t="s">
        <v>854</v>
      </c>
      <c r="C57" s="76" t="s">
        <v>1879</v>
      </c>
      <c r="D57" s="77" t="s">
        <v>1756</v>
      </c>
      <c r="E57" s="76" t="s">
        <v>1880</v>
      </c>
      <c r="F57" s="76" t="s">
        <v>1881</v>
      </c>
      <c r="G57" s="79" t="n">
        <v>46320</v>
      </c>
      <c r="H57" s="77" t="s">
        <v>1882</v>
      </c>
      <c r="I57" s="108" t="str">
        <f aca="false">HYPERLINK("https://advisers.fpinternational.sg/knowledge/document-library/","https://advisers.fpinternational.sg/knowledge/document-library/")</f>
        <v>https://advisers.fpinternational.sg/knowledge/document-library/</v>
      </c>
      <c r="J57" s="108"/>
      <c r="K57" s="77" t="s">
        <v>1727</v>
      </c>
      <c r="L57" s="19" t="s">
        <v>1728</v>
      </c>
    </row>
    <row r="58" customFormat="false" ht="40" hidden="false" customHeight="true" outlineLevel="0" collapsed="false">
      <c r="A58" s="70" t="s">
        <v>1883</v>
      </c>
      <c r="B58" s="71" t="s">
        <v>854</v>
      </c>
      <c r="C58" s="70" t="s">
        <v>1879</v>
      </c>
      <c r="D58" s="71" t="s">
        <v>1756</v>
      </c>
      <c r="E58" s="70" t="s">
        <v>1880</v>
      </c>
      <c r="F58" s="70" t="s">
        <v>1884</v>
      </c>
      <c r="G58" s="74" t="n">
        <v>46320</v>
      </c>
      <c r="H58" s="71" t="s">
        <v>1882</v>
      </c>
      <c r="I58" s="107" t="str">
        <f aca="false">HYPERLINK("https://advisers.fpinternational.sg/knowledge/document-library/","https://advisers.fpinternational.sg/knowledge/document-library/")</f>
        <v>https://advisers.fpinternational.sg/knowledge/document-library/</v>
      </c>
      <c r="J58" s="107"/>
      <c r="K58" s="71" t="s">
        <v>1727</v>
      </c>
      <c r="L58" s="19" t="s">
        <v>1728</v>
      </c>
    </row>
    <row r="59" customFormat="false" ht="40" hidden="false" customHeight="true" outlineLevel="0" collapsed="false">
      <c r="A59" s="76" t="s">
        <v>1885</v>
      </c>
      <c r="B59" s="77" t="s">
        <v>854</v>
      </c>
      <c r="C59" s="76" t="s">
        <v>1879</v>
      </c>
      <c r="D59" s="77" t="s">
        <v>1756</v>
      </c>
      <c r="E59" s="76" t="s">
        <v>1880</v>
      </c>
      <c r="F59" s="76" t="s">
        <v>1886</v>
      </c>
      <c r="G59" s="79" t="n">
        <v>46320</v>
      </c>
      <c r="H59" s="77" t="s">
        <v>1882</v>
      </c>
      <c r="I59" s="108" t="str">
        <f aca="false">HYPERLINK("https://advisers.fpinternational.sg/knowledge/document-library/","https://advisers.fpinternational.sg/knowledge/document-library/")</f>
        <v>https://advisers.fpinternational.sg/knowledge/document-library/</v>
      </c>
      <c r="J59" s="108"/>
      <c r="K59" s="77" t="s">
        <v>1727</v>
      </c>
      <c r="L59" s="19" t="s">
        <v>1728</v>
      </c>
    </row>
    <row r="60" customFormat="false" ht="40" hidden="false" customHeight="true" outlineLevel="0" collapsed="false">
      <c r="A60" s="70" t="s">
        <v>1887</v>
      </c>
      <c r="B60" s="71" t="s">
        <v>854</v>
      </c>
      <c r="C60" s="70" t="s">
        <v>1879</v>
      </c>
      <c r="D60" s="71" t="s">
        <v>1756</v>
      </c>
      <c r="E60" s="70" t="s">
        <v>1888</v>
      </c>
      <c r="F60" s="70" t="s">
        <v>1881</v>
      </c>
      <c r="G60" s="74" t="n">
        <v>46320</v>
      </c>
      <c r="H60" s="71" t="s">
        <v>1882</v>
      </c>
      <c r="I60" s="107" t="str">
        <f aca="false">HYPERLINK("https://www.fpinternational.sg/knowledge/document-library/","https://www.fpinternational.sg/knowledge/document-library/")</f>
        <v>https://www.fpinternational.sg/knowledge/document-library/</v>
      </c>
      <c r="J60" s="107"/>
      <c r="K60" s="71" t="s">
        <v>1727</v>
      </c>
      <c r="L60" s="19" t="s">
        <v>1728</v>
      </c>
    </row>
    <row r="61" customFormat="false" ht="40" hidden="false" customHeight="true" outlineLevel="0" collapsed="false">
      <c r="A61" s="76" t="s">
        <v>1889</v>
      </c>
      <c r="B61" s="77" t="s">
        <v>854</v>
      </c>
      <c r="C61" s="76" t="s">
        <v>1879</v>
      </c>
      <c r="D61" s="77" t="s">
        <v>1756</v>
      </c>
      <c r="E61" s="76" t="s">
        <v>1888</v>
      </c>
      <c r="F61" s="76" t="s">
        <v>1884</v>
      </c>
      <c r="G61" s="79" t="n">
        <v>46320</v>
      </c>
      <c r="H61" s="77" t="s">
        <v>1882</v>
      </c>
      <c r="I61" s="108" t="str">
        <f aca="false">HYPERLINK("https://www.fpinternational.sg/knowledge/document-library/","https://www.fpinternational.sg/knowledge/document-library/")</f>
        <v>https://www.fpinternational.sg/knowledge/document-library/</v>
      </c>
      <c r="J61" s="108"/>
      <c r="K61" s="77" t="s">
        <v>1727</v>
      </c>
      <c r="L61" s="19" t="s">
        <v>1728</v>
      </c>
    </row>
    <row r="62" customFormat="false" ht="40" hidden="false" customHeight="true" outlineLevel="0" collapsed="false">
      <c r="A62" s="70" t="s">
        <v>1890</v>
      </c>
      <c r="B62" s="71" t="s">
        <v>854</v>
      </c>
      <c r="C62" s="70" t="s">
        <v>1879</v>
      </c>
      <c r="D62" s="71" t="s">
        <v>1756</v>
      </c>
      <c r="E62" s="70" t="s">
        <v>1888</v>
      </c>
      <c r="F62" s="70" t="s">
        <v>1886</v>
      </c>
      <c r="G62" s="74" t="n">
        <v>46320</v>
      </c>
      <c r="H62" s="71" t="s">
        <v>1882</v>
      </c>
      <c r="I62" s="107" t="str">
        <f aca="false">HYPERLINK("https://www.fpinternational.sg/knowledge/document-library/","https://www.fpinternational.sg/knowledge/document-library/")</f>
        <v>https://www.fpinternational.sg/knowledge/document-library/</v>
      </c>
      <c r="J62" s="107"/>
      <c r="K62" s="71" t="s">
        <v>1727</v>
      </c>
      <c r="L62" s="19" t="s">
        <v>1728</v>
      </c>
    </row>
    <row r="63" customFormat="false" ht="40" hidden="false" customHeight="true" outlineLevel="0" collapsed="false">
      <c r="A63" s="76" t="s">
        <v>1891</v>
      </c>
      <c r="B63" s="77" t="s">
        <v>854</v>
      </c>
      <c r="C63" s="76" t="s">
        <v>1892</v>
      </c>
      <c r="D63" s="77" t="s">
        <v>1756</v>
      </c>
      <c r="E63" s="76" t="s">
        <v>1865</v>
      </c>
      <c r="F63" s="76" t="s">
        <v>1893</v>
      </c>
      <c r="G63" s="79" t="n">
        <v>46320</v>
      </c>
      <c r="H63" s="77" t="s">
        <v>1860</v>
      </c>
      <c r="I63" s="108" t="str">
        <f aca="false">HYPERLINK("https://www.greatamericaninsurancegroup.com/about-us/business-operations/product/singapore-branch/portfolio-of-products-and-proposal-forms","https://www.greatamericaninsurancegroup.com/about-us/business-operations/product/singapore-branch/portfolio-of-products-and-proposal-forms")</f>
        <v>https://www.greatamericaninsurancegroup.com/about-us/business-operations/product/singapore-branch/portfolio-of-products-and-proposal-forms</v>
      </c>
      <c r="J63" s="108"/>
      <c r="K63" s="77" t="s">
        <v>1733</v>
      </c>
      <c r="L63" s="19" t="s">
        <v>1728</v>
      </c>
    </row>
    <row r="64" customFormat="false" ht="40" hidden="false" customHeight="true" outlineLevel="0" collapsed="false">
      <c r="A64" s="70" t="s">
        <v>1894</v>
      </c>
      <c r="B64" s="71" t="s">
        <v>854</v>
      </c>
      <c r="C64" s="70" t="s">
        <v>1892</v>
      </c>
      <c r="D64" s="71" t="s">
        <v>1756</v>
      </c>
      <c r="E64" s="70" t="s">
        <v>1865</v>
      </c>
      <c r="F64" s="70" t="s">
        <v>1895</v>
      </c>
      <c r="G64" s="74" t="n">
        <v>46320</v>
      </c>
      <c r="H64" s="71" t="s">
        <v>1860</v>
      </c>
      <c r="I64" s="107" t="str">
        <f aca="false">HYPERLINK("https://www.greatamericaninsurancegroup.com/about-us/business-operations/product/singapore-branch/portfolio-of-products-and-proposal-forms","https://www.greatamericaninsurancegroup.com/about-us/business-operations/product/singapore-branch/portfolio-of-products-and-proposal-forms")</f>
        <v>https://www.greatamericaninsurancegroup.com/about-us/business-operations/product/singapore-branch/portfolio-of-products-and-proposal-forms</v>
      </c>
      <c r="J64" s="107"/>
      <c r="K64" s="71" t="s">
        <v>1733</v>
      </c>
      <c r="L64" s="19" t="s">
        <v>1728</v>
      </c>
    </row>
    <row r="65" customFormat="false" ht="40" hidden="false" customHeight="true" outlineLevel="0" collapsed="false">
      <c r="A65" s="76" t="s">
        <v>1896</v>
      </c>
      <c r="B65" s="77" t="s">
        <v>854</v>
      </c>
      <c r="C65" s="76" t="s">
        <v>1892</v>
      </c>
      <c r="D65" s="77" t="s">
        <v>1756</v>
      </c>
      <c r="E65" s="76" t="s">
        <v>1865</v>
      </c>
      <c r="F65" s="76" t="s">
        <v>1897</v>
      </c>
      <c r="G65" s="79" t="n">
        <v>46320</v>
      </c>
      <c r="H65" s="77" t="s">
        <v>1860</v>
      </c>
      <c r="I65" s="108" t="str">
        <f aca="false">HYPERLINK("https://www.greatamericaninsurancegroup.com/about-us/business-operations/product/singapore-branch/portfolio-of-products-and-proposal-forms","https://www.greatamericaninsurancegroup.com/about-us/business-operations/product/singapore-branch/portfolio-of-products-and-proposal-forms")</f>
        <v>https://www.greatamericaninsurancegroup.com/about-us/business-operations/product/singapore-branch/portfolio-of-products-and-proposal-forms</v>
      </c>
      <c r="J65" s="108"/>
      <c r="K65" s="77" t="s">
        <v>1733</v>
      </c>
      <c r="L65" s="19" t="s">
        <v>1728</v>
      </c>
    </row>
    <row r="66" customFormat="false" ht="40" hidden="false" customHeight="true" outlineLevel="0" collapsed="false">
      <c r="A66" s="70" t="s">
        <v>1898</v>
      </c>
      <c r="B66" s="71" t="s">
        <v>854</v>
      </c>
      <c r="C66" s="70" t="s">
        <v>1892</v>
      </c>
      <c r="D66" s="71" t="s">
        <v>1756</v>
      </c>
      <c r="E66" s="70" t="s">
        <v>1865</v>
      </c>
      <c r="F66" s="70" t="s">
        <v>1899</v>
      </c>
      <c r="G66" s="74" t="n">
        <v>46320</v>
      </c>
      <c r="H66" s="71" t="s">
        <v>1860</v>
      </c>
      <c r="I66" s="107" t="str">
        <f aca="false">HYPERLINK("https://www.greatamericaninsurancegroup.com/about-us/business-operations/product/singapore-branch/portfolio-of-products-and-proposal-forms","https://www.greatamericaninsurancegroup.com/about-us/business-operations/product/singapore-branch/portfolio-of-products-and-proposal-forms")</f>
        <v>https://www.greatamericaninsurancegroup.com/about-us/business-operations/product/singapore-branch/portfolio-of-products-and-proposal-forms</v>
      </c>
      <c r="J66" s="107"/>
      <c r="K66" s="71" t="s">
        <v>1733</v>
      </c>
      <c r="L66" s="19" t="s">
        <v>1728</v>
      </c>
    </row>
    <row r="67" customFormat="false" ht="40" hidden="false" customHeight="true" outlineLevel="0" collapsed="false">
      <c r="A67" s="76" t="s">
        <v>1900</v>
      </c>
      <c r="B67" s="77" t="s">
        <v>854</v>
      </c>
      <c r="C67" s="76" t="s">
        <v>1892</v>
      </c>
      <c r="D67" s="77" t="s">
        <v>1756</v>
      </c>
      <c r="E67" s="76" t="s">
        <v>1865</v>
      </c>
      <c r="F67" s="76" t="s">
        <v>1859</v>
      </c>
      <c r="G67" s="79" t="n">
        <v>46320</v>
      </c>
      <c r="H67" s="77" t="s">
        <v>1860</v>
      </c>
      <c r="I67" s="108" t="str">
        <f aca="false">HYPERLINK("https://www.greatamericaninsurancegroup.com/about-us/business-operations/product/singapore-branch/portfolio-of-products-and-proposal-forms","https://www.greatamericaninsurancegroup.com/about-us/business-operations/product/singapore-branch/portfolio-of-products-and-proposal-forms")</f>
        <v>https://www.greatamericaninsurancegroup.com/about-us/business-operations/product/singapore-branch/portfolio-of-products-and-proposal-forms</v>
      </c>
      <c r="J67" s="108"/>
      <c r="K67" s="77" t="s">
        <v>1733</v>
      </c>
      <c r="L67" s="19" t="s">
        <v>1728</v>
      </c>
    </row>
    <row r="68" customFormat="false" ht="40" hidden="false" customHeight="true" outlineLevel="0" collapsed="false">
      <c r="A68" s="70" t="s">
        <v>1901</v>
      </c>
      <c r="B68" s="71" t="s">
        <v>854</v>
      </c>
      <c r="C68" s="70" t="s">
        <v>1892</v>
      </c>
      <c r="D68" s="71" t="s">
        <v>1756</v>
      </c>
      <c r="E68" s="70" t="s">
        <v>1865</v>
      </c>
      <c r="F68" s="70" t="s">
        <v>1902</v>
      </c>
      <c r="G68" s="74" t="n">
        <v>46320</v>
      </c>
      <c r="H68" s="71" t="s">
        <v>1860</v>
      </c>
      <c r="I68" s="107" t="str">
        <f aca="false">HYPERLINK("https://www.greatamericaninsurancegroup.com/about-us/business-operations/product/singapore-branch/portfolio-of-products-and-proposal-forms","https://www.greatamericaninsurancegroup.com/about-us/business-operations/product/singapore-branch/portfolio-of-products-and-proposal-forms")</f>
        <v>https://www.greatamericaninsurancegroup.com/about-us/business-operations/product/singapore-branch/portfolio-of-products-and-proposal-forms</v>
      </c>
      <c r="J68" s="107"/>
      <c r="K68" s="71" t="s">
        <v>1733</v>
      </c>
      <c r="L68" s="19" t="s">
        <v>1728</v>
      </c>
    </row>
    <row r="69" customFormat="false" ht="40" hidden="false" customHeight="true" outlineLevel="0" collapsed="false">
      <c r="A69" s="76" t="s">
        <v>1903</v>
      </c>
      <c r="B69" s="77" t="s">
        <v>854</v>
      </c>
      <c r="C69" s="76" t="s">
        <v>1904</v>
      </c>
      <c r="D69" s="77" t="s">
        <v>1756</v>
      </c>
      <c r="E69" s="76" t="s">
        <v>1905</v>
      </c>
      <c r="F69" s="76" t="s">
        <v>1906</v>
      </c>
      <c r="G69" s="79" t="n">
        <v>46320</v>
      </c>
      <c r="H69" s="77" t="s">
        <v>1907</v>
      </c>
      <c r="I69" s="108" t="str">
        <f aca="false">HYPERLINK("https://www.income.com.sg/life-insurance/ocbc-protect","https://www.income.com.sg/life-insurance/ocbc-protect")</f>
        <v>https://www.income.com.sg/life-insurance/ocbc-protect</v>
      </c>
      <c r="J69" s="108"/>
      <c r="K69" s="77" t="s">
        <v>1727</v>
      </c>
      <c r="L69" s="19" t="s">
        <v>1728</v>
      </c>
    </row>
    <row r="70" customFormat="false" ht="40" hidden="false" customHeight="true" outlineLevel="0" collapsed="false">
      <c r="A70" s="70" t="s">
        <v>1908</v>
      </c>
      <c r="B70" s="71" t="s">
        <v>854</v>
      </c>
      <c r="C70" s="70" t="s">
        <v>1904</v>
      </c>
      <c r="D70" s="71" t="s">
        <v>1756</v>
      </c>
      <c r="E70" s="70" t="s">
        <v>1905</v>
      </c>
      <c r="F70" s="70" t="s">
        <v>1909</v>
      </c>
      <c r="G70" s="74" t="n">
        <v>46320</v>
      </c>
      <c r="H70" s="71" t="s">
        <v>1907</v>
      </c>
      <c r="I70" s="107" t="str">
        <f aca="false">HYPERLINK("https://www.income.com.sg/life-insurance/ocbc-protect","https://www.income.com.sg/life-insurance/ocbc-protect")</f>
        <v>https://www.income.com.sg/life-insurance/ocbc-protect</v>
      </c>
      <c r="J70" s="107"/>
      <c r="K70" s="71" t="s">
        <v>1727</v>
      </c>
      <c r="L70" s="19" t="s">
        <v>1728</v>
      </c>
    </row>
    <row r="71" customFormat="false" ht="40" hidden="false" customHeight="true" outlineLevel="0" collapsed="false">
      <c r="A71" s="76" t="s">
        <v>1910</v>
      </c>
      <c r="B71" s="77" t="s">
        <v>854</v>
      </c>
      <c r="C71" s="76" t="s">
        <v>1911</v>
      </c>
      <c r="D71" s="77" t="s">
        <v>1756</v>
      </c>
      <c r="E71" s="76" t="s">
        <v>1912</v>
      </c>
      <c r="F71" s="76" t="s">
        <v>1913</v>
      </c>
      <c r="G71" s="79" t="n">
        <v>46320</v>
      </c>
      <c r="H71" s="77" t="s">
        <v>1914</v>
      </c>
      <c r="I71" s="108" t="str">
        <f aca="false">HYPERLINK("https://www.utmostgroup.com/document-library/future/business-section/surrender-or-claim/business-topic/policy-conditions","https://www.utmostgroup.com/document-library/future/business-section/surrender-or-claim/business-topic/policy-conditions")</f>
        <v>https://www.utmostgroup.com/document-library/future/business-section/surrender-or-claim/business-topic/policy-conditions</v>
      </c>
      <c r="J71" s="108"/>
      <c r="K71" s="77" t="s">
        <v>1727</v>
      </c>
      <c r="L71" s="19" t="s">
        <v>1728</v>
      </c>
    </row>
    <row r="72" customFormat="false" ht="40" hidden="false" customHeight="true" outlineLevel="0" collapsed="false">
      <c r="A72" s="70" t="s">
        <v>1915</v>
      </c>
      <c r="B72" s="71" t="s">
        <v>872</v>
      </c>
      <c r="C72" s="70" t="s">
        <v>876</v>
      </c>
      <c r="D72" s="71" t="s">
        <v>1756</v>
      </c>
      <c r="E72" s="70" t="s">
        <v>1916</v>
      </c>
      <c r="F72" s="70" t="s">
        <v>1917</v>
      </c>
      <c r="G72" s="74" t="n">
        <v>46320</v>
      </c>
      <c r="H72" s="71" t="s">
        <v>1918</v>
      </c>
      <c r="I72" s="107" t="str">
        <f aca="false">HYPERLINK("https://www.sunlifemalaysia.com/client-care/downloads/","https://www.sunlifemalaysia.com/client-care/downloads/")</f>
        <v>https://www.sunlifemalaysia.com/client-care/downloads/</v>
      </c>
      <c r="J72" s="107"/>
      <c r="K72" s="71" t="s">
        <v>1727</v>
      </c>
      <c r="L72" s="19" t="s">
        <v>1728</v>
      </c>
    </row>
    <row r="73" customFormat="false" ht="40" hidden="false" customHeight="true" outlineLevel="0" collapsed="false">
      <c r="A73" s="76" t="s">
        <v>1919</v>
      </c>
      <c r="B73" s="77" t="s">
        <v>872</v>
      </c>
      <c r="C73" s="76" t="s">
        <v>883</v>
      </c>
      <c r="D73" s="77" t="s">
        <v>1756</v>
      </c>
      <c r="E73" s="76" t="s">
        <v>1916</v>
      </c>
      <c r="F73" s="76" t="s">
        <v>1920</v>
      </c>
      <c r="G73" s="79" t="n">
        <v>46320</v>
      </c>
      <c r="H73" s="77" t="s">
        <v>1921</v>
      </c>
      <c r="I73" s="108" t="str">
        <f aca="false">HYPERLINK("https://www.sunlifemalaysia.com/client-care/downloads/","https://www.sunlifemalaysia.com/client-care/downloads/")</f>
        <v>https://www.sunlifemalaysia.com/client-care/downloads/</v>
      </c>
      <c r="J73" s="108"/>
      <c r="K73" s="77" t="s">
        <v>1727</v>
      </c>
      <c r="L73" s="19" t="s">
        <v>1728</v>
      </c>
    </row>
    <row r="74" customFormat="false" ht="40" hidden="false" customHeight="true" outlineLevel="0" collapsed="false">
      <c r="A74" s="70" t="s">
        <v>1922</v>
      </c>
      <c r="B74" s="71" t="s">
        <v>995</v>
      </c>
      <c r="C74" s="70"/>
      <c r="D74" s="71" t="s">
        <v>1756</v>
      </c>
      <c r="E74" s="70" t="s">
        <v>1923</v>
      </c>
      <c r="F74" s="71" t="s">
        <v>1924</v>
      </c>
      <c r="G74" s="74" t="n">
        <v>46320</v>
      </c>
      <c r="H74" s="71" t="s">
        <v>1925</v>
      </c>
      <c r="I74" s="107" t="str">
        <f aca="false">HYPERLINK("https://plgic-production.s3.ap-southeast-1.amazonaws.com/2023%2BCorporate%2BWebsite%2BAsset%2BUpdate/OFW%2BPage/Paramount%2BOFW%2BPolicy.pdf.pdf","https://plgic-production.s3.ap-southeast-1.amazonaws.com/2023%2BCorporate%2BWebsite%2BAsset%2BUpdate/OFW%2BPage/Paramount%2BOFW%2BPolicy.pdf.pdf")</f>
        <v>https://plgic-production.s3.ap-southeast-1.amazonaws.com/2023%2BCorporate%2BWebsite%2BAsset%2BUpdate/OFW%2BPage/Paramount%2BOFW%2BPolicy.pdf.pdf</v>
      </c>
      <c r="J74" s="107"/>
      <c r="K74" s="71" t="s">
        <v>1733</v>
      </c>
      <c r="L74" s="19" t="s">
        <v>1728</v>
      </c>
    </row>
    <row r="75" customFormat="false" ht="40" hidden="false" customHeight="true" outlineLevel="0" collapsed="false">
      <c r="A75" s="76" t="s">
        <v>1926</v>
      </c>
      <c r="B75" s="77" t="s">
        <v>995</v>
      </c>
      <c r="C75" s="76" t="s">
        <v>1927</v>
      </c>
      <c r="D75" s="77" t="s">
        <v>1756</v>
      </c>
      <c r="E75" s="76" t="s">
        <v>1928</v>
      </c>
      <c r="F75" s="76" t="s">
        <v>1929</v>
      </c>
      <c r="G75" s="79" t="n">
        <v>46320</v>
      </c>
      <c r="H75" s="77" t="s">
        <v>1930</v>
      </c>
      <c r="I75" s="108" t="str">
        <f aca="false">HYPERLINK("https://www.aaa.com.vn/bao-hiem-can-ho-va-chung-cu","https://www.aaa.com.vn/bao-hiem-can-ho-va-chung-cu")</f>
        <v>https://www.aaa.com.vn/bao-hiem-can-ho-va-chung-cu</v>
      </c>
      <c r="J75" s="108" t="str">
        <f aca="false">HYPERLINK("https://www.aaa.com.vn/storage/download/[Web]_Quy tac Bao hiem can ho chung cu.pdf","https://www.aaa.com.vn/storage/download/[Web]_Quy tac Bao hiem can ho chung cu.pdf")</f>
        <v>https://www.aaa.com.vn/storage/download/[Web]_Quy tac Bao hiem can ho chung cu.pdf</v>
      </c>
      <c r="K75" s="77" t="s">
        <v>1931</v>
      </c>
      <c r="L75" s="19" t="s">
        <v>1728</v>
      </c>
    </row>
    <row r="76" customFormat="false" ht="40" hidden="false" customHeight="true" outlineLevel="0" collapsed="false">
      <c r="A76" s="70" t="s">
        <v>1932</v>
      </c>
      <c r="B76" s="71" t="s">
        <v>995</v>
      </c>
      <c r="C76" s="70" t="s">
        <v>1927</v>
      </c>
      <c r="D76" s="71" t="s">
        <v>1756</v>
      </c>
      <c r="E76" s="70" t="s">
        <v>1928</v>
      </c>
      <c r="F76" s="70" t="s">
        <v>1933</v>
      </c>
      <c r="G76" s="74" t="n">
        <v>46320</v>
      </c>
      <c r="H76" s="71" t="s">
        <v>1930</v>
      </c>
      <c r="I76" s="107" t="str">
        <f aca="false">HYPERLINK("https://www.aaa.com.vn/bao-hiem-cham-soc-suc-khoe","https://www.aaa.com.vn/bao-hiem-cham-soc-suc-khoe")</f>
        <v>https://www.aaa.com.vn/bao-hiem-cham-soc-suc-khoe</v>
      </c>
      <c r="J76" s="107" t="str">
        <f aca="false">HYPERLINK("https://www.aaa.com.vn/storage/download/quy%20tac%20bao%20hiem%20cham%20soc%20suc%20khoe_compressed.pdf","https://www.aaa.com.vn/storage/download/quy%20tac%20bao%20hiem%20cham%20soc%20suc%20khoe_compressed.pdf")</f>
        <v>https://www.aaa.com.vn/storage/download/quy%20tac%20bao%20hiem%20cham%20soc%20suc%20khoe_compressed.pdf</v>
      </c>
      <c r="K76" s="71" t="s">
        <v>1931</v>
      </c>
      <c r="L76" s="19" t="s">
        <v>1728</v>
      </c>
    </row>
    <row r="77" customFormat="false" ht="40" hidden="false" customHeight="true" outlineLevel="0" collapsed="false">
      <c r="A77" s="76" t="s">
        <v>1934</v>
      </c>
      <c r="B77" s="77" t="s">
        <v>995</v>
      </c>
      <c r="C77" s="76" t="s">
        <v>1935</v>
      </c>
      <c r="D77" s="77" t="s">
        <v>1756</v>
      </c>
      <c r="E77" s="76" t="s">
        <v>1936</v>
      </c>
      <c r="F77" s="76" t="s">
        <v>1937</v>
      </c>
      <c r="G77" s="79" t="n">
        <v>46320</v>
      </c>
      <c r="H77" s="77" t="s">
        <v>1930</v>
      </c>
      <c r="I77" s="108" t="str">
        <f aca="false">HYPERLINK("https://baolonginsurance.com.vn/san-pham/san-pham-ca-nhan/bao-hiem-du-lich/quyen-loi-bao-hiem-du-lich","https://baolonginsurance.com.vn/san-pham/san-pham-ca-nhan/bao-hiem-du-lich/quyen-loi-bao-hiem-du-lich")</f>
        <v>https://baolonginsurance.com.vn/san-pham/san-pham-ca-nhan/bao-hiem-du-lich/quyen-loi-bao-hiem-du-lich</v>
      </c>
      <c r="J77" s="108" t="str">
        <f aca="false">HYPERLINK("https://baolonginsurance.com.vn/Data/Sites/1/media/bao hiem ca nhan/bh-du-lich/quy-tac-bao-hiem-du-lich-quoc-te.pdf","https://baolonginsurance.com.vn/Data/Sites/1/media/bao hiem ca nhan/bh-du-lich/quy-tac-bao-hiem-du-lich-quoc-te.pdf")</f>
        <v>https://baolonginsurance.com.vn/Data/Sites/1/media/bao hiem ca nhan/bh-du-lich/quy-tac-bao-hiem-du-lich-quoc-te.pdf</v>
      </c>
      <c r="K77" s="77" t="s">
        <v>1931</v>
      </c>
      <c r="L77" s="19" t="s">
        <v>1728</v>
      </c>
    </row>
    <row r="78" customFormat="false" ht="40" hidden="false" customHeight="true" outlineLevel="0" collapsed="false">
      <c r="A78" s="70" t="s">
        <v>1938</v>
      </c>
      <c r="B78" s="71" t="s">
        <v>995</v>
      </c>
      <c r="C78" s="70" t="s">
        <v>1939</v>
      </c>
      <c r="D78" s="71" t="s">
        <v>1756</v>
      </c>
      <c r="E78" s="70" t="s">
        <v>1940</v>
      </c>
      <c r="F78" s="70" t="s">
        <v>1941</v>
      </c>
      <c r="G78" s="74" t="n">
        <v>46320</v>
      </c>
      <c r="H78" s="71" t="s">
        <v>1930</v>
      </c>
      <c r="I78" s="107" t="str">
        <f aca="false">HYPERLINK("https://www.prudential.com.vn/vi/cham-soc-khach-hang/tai-lieu-va-bieu-mau/","https://www.prudential.com.vn/vi/cham-soc-khach-hang/tai-lieu-va-bieu-mau/")</f>
        <v>https://www.prudential.com.vn/vi/cham-soc-khach-hang/tai-lieu-va-bieu-mau/</v>
      </c>
      <c r="J78" s="107" t="str">
        <f aca="false">HYPERLINK("https://www.prudential.com.vn/content/dam/prudential-aem-lbu/pva/vi_VN/pdf/san-pham-bao-hiem/pru-tuong-lai-tuoi-sang-tnc.pdf","https://www.prudential.com.vn/content/dam/prudential-aem-lbu/pva/vi_VN/pdf/san-pham-bao-hiem/pru-tuong-lai-tuoi-sang-tnc.pdf")</f>
        <v>https://www.prudential.com.vn/content/dam/prudential-aem-lbu/pva/vi_VN/pdf/san-pham-bao-hiem/pru-tuong-lai-tuoi-sang-tnc.pdf</v>
      </c>
      <c r="K78" s="71" t="s">
        <v>1931</v>
      </c>
      <c r="L78" s="19" t="s">
        <v>1728</v>
      </c>
    </row>
    <row r="79" customFormat="false" ht="40" hidden="false" customHeight="true" outlineLevel="0" collapsed="false">
      <c r="A79" s="76" t="s">
        <v>1942</v>
      </c>
      <c r="B79" s="77" t="s">
        <v>995</v>
      </c>
      <c r="C79" s="76" t="s">
        <v>1939</v>
      </c>
      <c r="D79" s="77" t="s">
        <v>1756</v>
      </c>
      <c r="E79" s="76" t="s">
        <v>1940</v>
      </c>
      <c r="F79" s="76" t="s">
        <v>1943</v>
      </c>
      <c r="G79" s="79" t="n">
        <v>46320</v>
      </c>
      <c r="H79" s="77" t="s">
        <v>1930</v>
      </c>
      <c r="I79" s="108" t="str">
        <f aca="false">HYPERLINK("https://www.prudential.com.vn/vi/cham-soc-khach-hang/tai-lieu-va-bieu-mau/","https://www.prudential.com.vn/vi/cham-soc-khach-hang/tai-lieu-va-bieu-mau/")</f>
        <v>https://www.prudential.com.vn/vi/cham-soc-khach-hang/tai-lieu-va-bieu-mau/</v>
      </c>
      <c r="J79" s="108" t="str">
        <f aca="false">HYPERLINK("https://www.prudential.com.vn/content/dam/prudential-aem-lbu/pva/vi_VN/pdf/san-pham-bao-hiem/pru-an-tam-bao-tin-ke-hoach-a-qlnc-tnc.pdf","https://www.prudential.com.vn/content/dam/prudential-aem-lbu/pva/vi_VN/pdf/san-pham-bao-hiem/pru-an-tam-bao-tin-ke-hoach-a-qlnc-tnc.pdf")</f>
        <v>https://www.prudential.com.vn/content/dam/prudential-aem-lbu/pva/vi_VN/pdf/san-pham-bao-hiem/pru-an-tam-bao-tin-ke-hoach-a-qlnc-tnc.pdf</v>
      </c>
      <c r="K79" s="77" t="s">
        <v>1931</v>
      </c>
      <c r="L79" s="19" t="s">
        <v>1728</v>
      </c>
    </row>
    <row r="80" customFormat="false" ht="40" hidden="false" customHeight="true" outlineLevel="0" collapsed="false">
      <c r="A80" s="70" t="s">
        <v>1944</v>
      </c>
      <c r="B80" s="71" t="s">
        <v>995</v>
      </c>
      <c r="C80" s="70" t="s">
        <v>1939</v>
      </c>
      <c r="D80" s="71" t="s">
        <v>1756</v>
      </c>
      <c r="E80" s="70" t="s">
        <v>1940</v>
      </c>
      <c r="F80" s="70" t="s">
        <v>1945</v>
      </c>
      <c r="G80" s="74" t="n">
        <v>46320</v>
      </c>
      <c r="H80" s="71" t="s">
        <v>1930</v>
      </c>
      <c r="I80" s="107" t="str">
        <f aca="false">HYPERLINK("https://www.prudential.com.vn/vi/cham-soc-khach-hang/tai-lieu-va-bieu-mau/","https://www.prudential.com.vn/vi/cham-soc-khach-hang/tai-lieu-va-bieu-mau/")</f>
        <v>https://www.prudential.com.vn/vi/cham-soc-khach-hang/tai-lieu-va-bieu-mau/</v>
      </c>
      <c r="J80" s="107" t="str">
        <f aca="false">HYPERLINK("https://www.prudential.com.vn/content/dam/prudential-aem-lbu/pva/vi_VN/pdf/san-pham-bao-hiem/pru-dau-tu-vung-tien-tnc.pdf","https://www.prudential.com.vn/content/dam/prudential-aem-lbu/pva/vi_VN/pdf/san-pham-bao-hiem/pru-dau-tu-vung-tien-tnc.pdf")</f>
        <v>https://www.prudential.com.vn/content/dam/prudential-aem-lbu/pva/vi_VN/pdf/san-pham-bao-hiem/pru-dau-tu-vung-tien-tnc.pdf</v>
      </c>
      <c r="K80" s="71" t="s">
        <v>1931</v>
      </c>
      <c r="L80" s="19" t="s">
        <v>1728</v>
      </c>
    </row>
    <row r="81" customFormat="false" ht="40" hidden="false" customHeight="true" outlineLevel="0" collapsed="false">
      <c r="A81" s="76" t="s">
        <v>1946</v>
      </c>
      <c r="B81" s="77" t="s">
        <v>995</v>
      </c>
      <c r="C81" s="76" t="s">
        <v>1939</v>
      </c>
      <c r="D81" s="77" t="s">
        <v>1756</v>
      </c>
      <c r="E81" s="76" t="s">
        <v>1940</v>
      </c>
      <c r="F81" s="76" t="s">
        <v>1947</v>
      </c>
      <c r="G81" s="79" t="n">
        <v>46320</v>
      </c>
      <c r="H81" s="77" t="s">
        <v>1930</v>
      </c>
      <c r="I81" s="108" t="str">
        <f aca="false">HYPERLINK("https://www.prudential.com.vn/vi/cham-soc-khach-hang/tai-lieu-va-bieu-mau/","https://www.prudential.com.vn/vi/cham-soc-khach-hang/tai-lieu-va-bieu-mau/")</f>
        <v>https://www.prudential.com.vn/vi/cham-soc-khach-hang/tai-lieu-va-bieu-mau/</v>
      </c>
      <c r="J81" s="108" t="str">
        <f aca="false">HYPERLINK("https://www.prudential.com.vn/content/dam/prudential-aem-lbu/pva/vi_VN/pdf/san-pham-bao-hiem/pru-bao-ve-toi-da2-tnc.pdf","https://www.prudential.com.vn/content/dam/prudential-aem-lbu/pva/vi_VN/pdf/san-pham-bao-hiem/pru-bao-ve-toi-da2-tnc.pdf")</f>
        <v>https://www.prudential.com.vn/content/dam/prudential-aem-lbu/pva/vi_VN/pdf/san-pham-bao-hiem/pru-bao-ve-toi-da2-tnc.pdf</v>
      </c>
      <c r="K81" s="77" t="s">
        <v>1931</v>
      </c>
      <c r="L81" s="19" t="s">
        <v>1728</v>
      </c>
    </row>
    <row r="82" customFormat="false" ht="40" hidden="false" customHeight="true" outlineLevel="0" collapsed="false">
      <c r="A82" s="70" t="s">
        <v>1948</v>
      </c>
      <c r="B82" s="71" t="s">
        <v>995</v>
      </c>
      <c r="C82" s="70" t="s">
        <v>1939</v>
      </c>
      <c r="D82" s="71" t="s">
        <v>1756</v>
      </c>
      <c r="E82" s="70" t="s">
        <v>1940</v>
      </c>
      <c r="F82" s="70" t="s">
        <v>1949</v>
      </c>
      <c r="G82" s="74" t="n">
        <v>46320</v>
      </c>
      <c r="H82" s="71" t="s">
        <v>1930</v>
      </c>
      <c r="I82" s="107" t="str">
        <f aca="false">HYPERLINK("https://www.prudential.com.vn/vi/cham-soc-khach-hang/tai-lieu-va-bieu-mau/","https://www.prudential.com.vn/vi/cham-soc-khach-hang/tai-lieu-va-bieu-mau/")</f>
        <v>https://www.prudential.com.vn/vi/cham-soc-khach-hang/tai-lieu-va-bieu-mau/</v>
      </c>
      <c r="J82" s="107" t="str">
        <f aca="false">HYPERLINK("https://www.prudential.com.vn/content/dam/prudential-aem-lbu/pva/vi_VN/pdf/san-pham-bao-hiem/phu-toan-gia-hung-thinh-tnc.pdf","https://www.prudential.com.vn/content/dam/prudential-aem-lbu/pva/vi_VN/pdf/san-pham-bao-hiem/phu-toan-gia-hung-thinh-tnc.pdf")</f>
        <v>https://www.prudential.com.vn/content/dam/prudential-aem-lbu/pva/vi_VN/pdf/san-pham-bao-hiem/phu-toan-gia-hung-thinh-tnc.pdf</v>
      </c>
      <c r="K82" s="71" t="s">
        <v>1931</v>
      </c>
      <c r="L82" s="19" t="s">
        <v>1728</v>
      </c>
    </row>
    <row r="83" customFormat="false" ht="40" hidden="false" customHeight="true" outlineLevel="0" collapsed="false">
      <c r="A83" s="76" t="s">
        <v>1950</v>
      </c>
      <c r="B83" s="77" t="s">
        <v>995</v>
      </c>
      <c r="C83" s="76" t="s">
        <v>1939</v>
      </c>
      <c r="D83" s="77" t="s">
        <v>1756</v>
      </c>
      <c r="E83" s="76" t="s">
        <v>1940</v>
      </c>
      <c r="F83" s="76" t="s">
        <v>1951</v>
      </c>
      <c r="G83" s="79" t="n">
        <v>46320</v>
      </c>
      <c r="H83" s="77" t="s">
        <v>1930</v>
      </c>
      <c r="I83" s="108" t="str">
        <f aca="false">HYPERLINK("https://www.prudential.com.vn/vi/cham-soc-khach-hang/tai-lieu-va-bieu-mau/","https://www.prudential.com.vn/vi/cham-soc-khach-hang/tai-lieu-va-bieu-mau/")</f>
        <v>https://www.prudential.com.vn/vi/cham-soc-khach-hang/tai-lieu-va-bieu-mau/</v>
      </c>
      <c r="J83" s="108" t="str">
        <f aca="false">HYPERLINK("https://www.prudential.com.vn/content/dam/prudential-aem-lbu/pva/vi_VN/pdf/tai-lieu-bieu-mau/phu-tam-an-dieu-kien-dieu-khoan.pdf","https://www.prudential.com.vn/content/dam/prudential-aem-lbu/pva/vi_VN/pdf/tai-lieu-bieu-mau/phu-tam-an-dieu-kien-dieu-khoan.pdf")</f>
        <v>https://www.prudential.com.vn/content/dam/prudential-aem-lbu/pva/vi_VN/pdf/tai-lieu-bieu-mau/phu-tam-an-dieu-kien-dieu-khoan.pdf</v>
      </c>
      <c r="K83" s="77" t="s">
        <v>1931</v>
      </c>
      <c r="L83" s="19" t="s">
        <v>1728</v>
      </c>
    </row>
    <row r="84" customFormat="false" ht="40" hidden="false" customHeight="true" outlineLevel="0" collapsed="false">
      <c r="A84" s="70" t="s">
        <v>1952</v>
      </c>
      <c r="B84" s="71" t="s">
        <v>995</v>
      </c>
      <c r="C84" s="70" t="s">
        <v>1939</v>
      </c>
      <c r="D84" s="71" t="s">
        <v>1756</v>
      </c>
      <c r="E84" s="70" t="s">
        <v>1940</v>
      </c>
      <c r="F84" s="70" t="s">
        <v>1953</v>
      </c>
      <c r="G84" s="74" t="n">
        <v>46320</v>
      </c>
      <c r="H84" s="71" t="s">
        <v>1930</v>
      </c>
      <c r="I84" s="107" t="str">
        <f aca="false">HYPERLINK("https://www.prudential.com.vn/vi/cham-soc-khach-hang/tai-lieu-va-bieu-mau/","https://www.prudential.com.vn/vi/cham-soc-khach-hang/tai-lieu-va-bieu-mau/")</f>
        <v>https://www.prudential.com.vn/vi/cham-soc-khach-hang/tai-lieu-va-bieu-mau/</v>
      </c>
      <c r="J84" s="107" t="str">
        <f aca="false">HYPERLINK("https://www.prudential.com.vn/content/dam/prudential-aem-lbu/pva/vi_VN/pdf/tai-lieu-bieu-mau/phu-an-gia-thanh-tai-dieu-kien-dieu-khoan.pdf","https://www.prudential.com.vn/content/dam/prudential-aem-lbu/pva/vi_VN/pdf/tai-lieu-bieu-mau/phu-an-gia-thanh-tai-dieu-kien-dieu-khoan.pdf")</f>
        <v>https://www.prudential.com.vn/content/dam/prudential-aem-lbu/pva/vi_VN/pdf/tai-lieu-bieu-mau/phu-an-gia-thanh-tai-dieu-kien-dieu-khoan.pdf</v>
      </c>
      <c r="K84" s="71" t="s">
        <v>1931</v>
      </c>
      <c r="L84" s="19" t="s">
        <v>1728</v>
      </c>
    </row>
    <row r="85" customFormat="false" ht="40" hidden="false" customHeight="true" outlineLevel="0" collapsed="false">
      <c r="A85" s="76" t="s">
        <v>1954</v>
      </c>
      <c r="B85" s="77" t="s">
        <v>995</v>
      </c>
      <c r="C85" s="76" t="s">
        <v>1939</v>
      </c>
      <c r="D85" s="77" t="s">
        <v>1756</v>
      </c>
      <c r="E85" s="76" t="s">
        <v>1940</v>
      </c>
      <c r="F85" s="76" t="s">
        <v>1955</v>
      </c>
      <c r="G85" s="79" t="n">
        <v>46320</v>
      </c>
      <c r="H85" s="77" t="s">
        <v>1930</v>
      </c>
      <c r="I85" s="108" t="str">
        <f aca="false">HYPERLINK("https://www.prudential.com.vn/vi/cham-soc-khach-hang/tai-lieu-va-bieu-mau/","https://www.prudential.com.vn/vi/cham-soc-khach-hang/tai-lieu-va-bieu-mau/")</f>
        <v>https://www.prudential.com.vn/vi/cham-soc-khach-hang/tai-lieu-va-bieu-mau/</v>
      </c>
      <c r="J85" s="108" t="str">
        <f aca="false">HYPERLINK("https://www.prudential.com.vn/content/dam/prudential-aem-lbu/pva/vi_VN/pdf/san-pham-bao-hiem/pru-nang-dong-tnc.pdf","https://www.prudential.com.vn/content/dam/prudential-aem-lbu/pva/vi_VN/pdf/san-pham-bao-hiem/pru-nang-dong-tnc.pdf")</f>
        <v>https://www.prudential.com.vn/content/dam/prudential-aem-lbu/pva/vi_VN/pdf/san-pham-bao-hiem/pru-nang-dong-tnc.pdf</v>
      </c>
      <c r="K85" s="77" t="s">
        <v>1931</v>
      </c>
      <c r="L85" s="19" t="s">
        <v>1728</v>
      </c>
    </row>
    <row r="86" customFormat="false" ht="40" hidden="false" customHeight="true" outlineLevel="0" collapsed="false">
      <c r="A86" s="70" t="s">
        <v>1956</v>
      </c>
      <c r="B86" s="71" t="s">
        <v>995</v>
      </c>
      <c r="C86" s="70" t="s">
        <v>1939</v>
      </c>
      <c r="D86" s="71" t="s">
        <v>1756</v>
      </c>
      <c r="E86" s="70" t="s">
        <v>1940</v>
      </c>
      <c r="F86" s="70" t="s">
        <v>1957</v>
      </c>
      <c r="G86" s="74" t="n">
        <v>46320</v>
      </c>
      <c r="H86" s="71" t="s">
        <v>1930</v>
      </c>
      <c r="I86" s="107" t="str">
        <f aca="false">HYPERLINK("https://www.prudential.com.vn/vi/cham-soc-khach-hang/tai-lieu-va-bieu-mau/","https://www.prudential.com.vn/vi/cham-soc-khach-hang/tai-lieu-va-bieu-mau/")</f>
        <v>https://www.prudential.com.vn/vi/cham-soc-khach-hang/tai-lieu-va-bieu-mau/</v>
      </c>
      <c r="J86" s="107" t="str">
        <f aca="false">HYPERLINK("https://www.prudential.com.vn/content/dam/prudential-aem-lbu/pva/vi_VN/pdf/tai-lieu-bieu-mau/phu-truong-an-dieu-kien-dieu-khoan.pdf","https://www.prudential.com.vn/content/dam/prudential-aem-lbu/pva/vi_VN/pdf/tai-lieu-bieu-mau/phu-truong-an-dieu-kien-dieu-khoan.pdf")</f>
        <v>https://www.prudential.com.vn/content/dam/prudential-aem-lbu/pva/vi_VN/pdf/tai-lieu-bieu-mau/phu-truong-an-dieu-kien-dieu-khoan.pdf</v>
      </c>
      <c r="K86" s="71" t="s">
        <v>1931</v>
      </c>
      <c r="L86" s="19" t="s">
        <v>1728</v>
      </c>
    </row>
    <row r="87" customFormat="false" ht="40" hidden="false" customHeight="true" outlineLevel="0" collapsed="false">
      <c r="A87" s="76" t="s">
        <v>1958</v>
      </c>
      <c r="B87" s="77" t="s">
        <v>995</v>
      </c>
      <c r="C87" s="76" t="s">
        <v>1939</v>
      </c>
      <c r="D87" s="77" t="s">
        <v>1756</v>
      </c>
      <c r="E87" s="76" t="s">
        <v>1940</v>
      </c>
      <c r="F87" s="76" t="s">
        <v>1959</v>
      </c>
      <c r="G87" s="79" t="n">
        <v>46320</v>
      </c>
      <c r="H87" s="77" t="s">
        <v>1930</v>
      </c>
      <c r="I87" s="108" t="str">
        <f aca="false">HYPERLINK("https://www.prudential.com.vn/vi/cham-soc-khach-hang/tai-lieu-va-bieu-mau/","https://www.prudential.com.vn/vi/cham-soc-khach-hang/tai-lieu-va-bieu-mau/")</f>
        <v>https://www.prudential.com.vn/vi/cham-soc-khach-hang/tai-lieu-va-bieu-mau/</v>
      </c>
      <c r="J87" s="108" t="str">
        <f aca="false">HYPERLINK("https://www.prudential.com.vn/content/dam/prudential-aem-lbu/pva/vi_VN/pdf/san-pham-bao-hiem/yen-tam-vui-khoe-tnc.pdf","https://www.prudential.com.vn/content/dam/prudential-aem-lbu/pva/vi_VN/pdf/san-pham-bao-hiem/yen-tam-vui-khoe-tnc.pdf")</f>
        <v>https://www.prudential.com.vn/content/dam/prudential-aem-lbu/pva/vi_VN/pdf/san-pham-bao-hiem/yen-tam-vui-khoe-tnc.pdf</v>
      </c>
      <c r="K87" s="77" t="s">
        <v>1931</v>
      </c>
      <c r="L87" s="19" t="s">
        <v>1728</v>
      </c>
    </row>
    <row r="88" customFormat="false" ht="40" hidden="false" customHeight="true" outlineLevel="0" collapsed="false">
      <c r="A88" s="70" t="s">
        <v>1960</v>
      </c>
      <c r="B88" s="71" t="s">
        <v>995</v>
      </c>
      <c r="C88" s="70" t="s">
        <v>1939</v>
      </c>
      <c r="D88" s="71" t="s">
        <v>1756</v>
      </c>
      <c r="E88" s="70" t="s">
        <v>1940</v>
      </c>
      <c r="F88" s="70" t="s">
        <v>1961</v>
      </c>
      <c r="G88" s="74" t="n">
        <v>46320</v>
      </c>
      <c r="H88" s="71" t="s">
        <v>1930</v>
      </c>
      <c r="I88" s="107" t="str">
        <f aca="false">HYPERLINK("https://www.prudential.com.vn/vi/cham-soc-khach-hang/tai-lieu-va-bieu-mau/","https://www.prudential.com.vn/vi/cham-soc-khach-hang/tai-lieu-va-bieu-mau/")</f>
        <v>https://www.prudential.com.vn/vi/cham-soc-khach-hang/tai-lieu-va-bieu-mau/</v>
      </c>
      <c r="J88" s="107" t="str">
        <f aca="false">HYPERLINK("https://www.prudential.com.vn/content/dam/prudential-aem-lbu/pva/vi_VN/pdf/tai-lieu-bieu-mau/phu-an-gia-tich-luy-dinh-ky-dieu-kien-dieu-khoan.pdf","https://www.prudential.com.vn/content/dam/prudential-aem-lbu/pva/vi_VN/pdf/tai-lieu-bieu-mau/phu-an-gia-tich-luy-dinh-ky-dieu-kien-dieu-khoan.pdf")</f>
        <v>https://www.prudential.com.vn/content/dam/prudential-aem-lbu/pva/vi_VN/pdf/tai-lieu-bieu-mau/phu-an-gia-tich-luy-dinh-ky-dieu-kien-dieu-khoan.pdf</v>
      </c>
      <c r="K88" s="71" t="s">
        <v>1931</v>
      </c>
      <c r="L88" s="19" t="s">
        <v>1728</v>
      </c>
    </row>
    <row r="89" customFormat="false" ht="40" hidden="false" customHeight="true" outlineLevel="0" collapsed="false">
      <c r="A89" s="76" t="s">
        <v>1962</v>
      </c>
      <c r="B89" s="77" t="s">
        <v>995</v>
      </c>
      <c r="C89" s="76" t="s">
        <v>1939</v>
      </c>
      <c r="D89" s="77" t="s">
        <v>1756</v>
      </c>
      <c r="E89" s="76" t="s">
        <v>1940</v>
      </c>
      <c r="F89" s="76" t="s">
        <v>1963</v>
      </c>
      <c r="G89" s="79" t="n">
        <v>46320</v>
      </c>
      <c r="H89" s="77" t="s">
        <v>1930</v>
      </c>
      <c r="I89" s="108" t="str">
        <f aca="false">HYPERLINK("https://www.prudential.com.vn/vi/cham-soc-khach-hang/tai-lieu-va-bieu-mau/","https://www.prudential.com.vn/vi/cham-soc-khach-hang/tai-lieu-va-bieu-mau/")</f>
        <v>https://www.prudential.com.vn/vi/cham-soc-khach-hang/tai-lieu-va-bieu-mau/</v>
      </c>
      <c r="J89" s="108" t="str">
        <f aca="false">HYPERLINK("https://www.prudential.com.vn/content/dam/prudential-aem-lbu/pva/vi_VN/pdf/san-pham-bao-hiem/pru-nang-dong-tnc.pdf","https://www.prudential.com.vn/content/dam/prudential-aem-lbu/pva/vi_VN/pdf/san-pham-bao-hiem/pru-nang-dong-tnc.pdf")</f>
        <v>https://www.prudential.com.vn/content/dam/prudential-aem-lbu/pva/vi_VN/pdf/san-pham-bao-hiem/pru-nang-dong-tnc.pdf</v>
      </c>
      <c r="K89" s="77" t="s">
        <v>1931</v>
      </c>
      <c r="L89" s="19" t="s">
        <v>1728</v>
      </c>
    </row>
    <row r="90" customFormat="false" ht="40" hidden="false" customHeight="true" outlineLevel="0" collapsed="false">
      <c r="A90" s="70" t="s">
        <v>1964</v>
      </c>
      <c r="B90" s="71" t="s">
        <v>995</v>
      </c>
      <c r="C90" s="70" t="s">
        <v>1939</v>
      </c>
      <c r="D90" s="71" t="s">
        <v>1756</v>
      </c>
      <c r="E90" s="70" t="s">
        <v>1940</v>
      </c>
      <c r="F90" s="70" t="s">
        <v>1965</v>
      </c>
      <c r="G90" s="74" t="n">
        <v>46320</v>
      </c>
      <c r="H90" s="71" t="s">
        <v>1930</v>
      </c>
      <c r="I90" s="107" t="str">
        <f aca="false">HYPERLINK("https://www.prudential.com.vn/vi/cham-soc-khach-hang/tai-lieu-va-bieu-mau/","https://www.prudential.com.vn/vi/cham-soc-khach-hang/tai-lieu-va-bieu-mau/")</f>
        <v>https://www.prudential.com.vn/vi/cham-soc-khach-hang/tai-lieu-va-bieu-mau/</v>
      </c>
      <c r="J90" s="107" t="str">
        <f aca="false">HYPERLINK("https://www.prudential.com.vn/content/dam/prudential-aem-lbu/pva/vi_VN/pdf/san-pham-bao-hiem/pru-bao-ve-24-7-tc.pdf","https://www.prudential.com.vn/content/dam/prudential-aem-lbu/pva/vi_VN/pdf/san-pham-bao-hiem/pru-bao-ve-24-7-tc.pdf")</f>
        <v>https://www.prudential.com.vn/content/dam/prudential-aem-lbu/pva/vi_VN/pdf/san-pham-bao-hiem/pru-bao-ve-24-7-tc.pdf</v>
      </c>
      <c r="K90" s="71" t="s">
        <v>1931</v>
      </c>
      <c r="L90" s="19" t="s">
        <v>1728</v>
      </c>
    </row>
    <row r="91" customFormat="false" ht="40" hidden="false" customHeight="true" outlineLevel="0" collapsed="false">
      <c r="A91" s="76" t="s">
        <v>1966</v>
      </c>
      <c r="B91" s="77" t="s">
        <v>995</v>
      </c>
      <c r="C91" s="76" t="s">
        <v>1939</v>
      </c>
      <c r="D91" s="77" t="s">
        <v>1756</v>
      </c>
      <c r="E91" s="76" t="s">
        <v>1940</v>
      </c>
      <c r="F91" s="76" t="s">
        <v>1967</v>
      </c>
      <c r="G91" s="79" t="n">
        <v>46320</v>
      </c>
      <c r="H91" s="77" t="s">
        <v>1930</v>
      </c>
      <c r="I91" s="108" t="str">
        <f aca="false">HYPERLINK("https://www.prudential.com.vn/vi/cham-soc-khach-hang/tai-lieu-va-bieu-mau/","https://www.prudential.com.vn/vi/cham-soc-khach-hang/tai-lieu-va-bieu-mau/")</f>
        <v>https://www.prudential.com.vn/vi/cham-soc-khach-hang/tai-lieu-va-bieu-mau/</v>
      </c>
      <c r="J91" s="108" t="str">
        <f aca="false">HYPERLINK("https://www.prudential.com.vn/content/dam/prudential-aem-lbu/pva/vi_VN/pdf/san-pham-bao-hiem/pru-nhiet-doi-tnc.pdf","https://www.prudential.com.vn/content/dam/prudential-aem-lbu/pva/vi_VN/pdf/san-pham-bao-hiem/pru-nhiet-doi-tnc.pdf")</f>
        <v>https://www.prudential.com.vn/content/dam/prudential-aem-lbu/pva/vi_VN/pdf/san-pham-bao-hiem/pru-nhiet-doi-tnc.pdf</v>
      </c>
      <c r="K91" s="77" t="s">
        <v>1931</v>
      </c>
      <c r="L91" s="19" t="s">
        <v>1728</v>
      </c>
    </row>
    <row r="92" customFormat="false" ht="40" hidden="false" customHeight="true" outlineLevel="0" collapsed="false">
      <c r="A92" s="70" t="s">
        <v>1968</v>
      </c>
      <c r="B92" s="71" t="s">
        <v>995</v>
      </c>
      <c r="C92" s="70" t="s">
        <v>1939</v>
      </c>
      <c r="D92" s="71" t="s">
        <v>1756</v>
      </c>
      <c r="E92" s="70" t="s">
        <v>1940</v>
      </c>
      <c r="F92" s="70" t="s">
        <v>1969</v>
      </c>
      <c r="G92" s="74" t="n">
        <v>46320</v>
      </c>
      <c r="H92" s="71" t="s">
        <v>1930</v>
      </c>
      <c r="I92" s="107" t="str">
        <f aca="false">HYPERLINK("https://www.prudential.com.vn/vi/cham-soc-khach-hang/tai-lieu-va-bieu-mau/","https://www.prudential.com.vn/vi/cham-soc-khach-hang/tai-lieu-va-bieu-mau/")</f>
        <v>https://www.prudential.com.vn/vi/cham-soc-khach-hang/tai-lieu-va-bieu-mau/</v>
      </c>
      <c r="J92" s="107" t="str">
        <f aca="false">HYPERLINK("https://www.prudential.com.vn/content/dam/prudential-aem-lbu/pva/vi_VN/pdf/san-pham-bao-hiem/pru-vui-song-tc.pdf","https://www.prudential.com.vn/content/dam/prudential-aem-lbu/pva/vi_VN/pdf/san-pham-bao-hiem/pru-vui-song-tc.pdf")</f>
        <v>https://www.prudential.com.vn/content/dam/prudential-aem-lbu/pva/vi_VN/pdf/san-pham-bao-hiem/pru-vui-song-tc.pdf</v>
      </c>
      <c r="K92" s="71" t="s">
        <v>1931</v>
      </c>
      <c r="L92" s="19" t="s">
        <v>1728</v>
      </c>
    </row>
    <row r="93" customFormat="false" ht="40" hidden="false" customHeight="true" outlineLevel="0" collapsed="false">
      <c r="A93" s="76" t="s">
        <v>1970</v>
      </c>
      <c r="B93" s="77" t="s">
        <v>995</v>
      </c>
      <c r="C93" s="76" t="s">
        <v>998</v>
      </c>
      <c r="D93" s="77" t="s">
        <v>1756</v>
      </c>
      <c r="E93" s="76" t="s">
        <v>1971</v>
      </c>
      <c r="F93" s="76" t="s">
        <v>1972</v>
      </c>
      <c r="G93" s="79" t="n">
        <v>46320</v>
      </c>
      <c r="H93" s="77" t="s">
        <v>1930</v>
      </c>
      <c r="I93" s="108" t="str">
        <f aca="false">HYPERLINK("https://www.manulife.com.vn/vi/san-pham-bao-hiem/danh-muc-dieu-khoan-san-pham/dieu-khoan-san-pham-chinh.html","https://www.manulife.com.vn/vi/san-pham-bao-hiem/danh-muc-dieu-khoan-san-pham/dieu-khoan-san-pham-chinh.html")</f>
        <v>https://www.manulife.com.vn/vi/san-pham-bao-hiem/danh-muc-dieu-khoan-san-pham/dieu-khoan-san-pham-chinh.html</v>
      </c>
      <c r="J93" s="108" t="str">
        <f aca="false">HYPERLINK("https://www.manulife.com.vn/content/dam/insurance/vn/documents/about-us/pd_brochure-scb/kien-tao-thinh-vuong/SCB-Kien-Tao-Thinh-Vuong-TnC.pdf","https://www.manulife.com.vn/content/dam/insurance/vn/documents/about-us/pd_brochure-scb/kien-tao-thinh-vuong/SCB-Kien-Tao-Thinh-Vuong-TnC.pdf")</f>
        <v>https://www.manulife.com.vn/content/dam/insurance/vn/documents/about-us/pd_brochure-scb/kien-tao-thinh-vuong/SCB-Kien-Tao-Thinh-Vuong-TnC.pdf</v>
      </c>
      <c r="K93" s="77" t="s">
        <v>1931</v>
      </c>
      <c r="L93" s="19" t="s">
        <v>1728</v>
      </c>
    </row>
    <row r="94" customFormat="false" ht="40" hidden="false" customHeight="true" outlineLevel="0" collapsed="false">
      <c r="A94" s="70" t="s">
        <v>1973</v>
      </c>
      <c r="B94" s="71" t="s">
        <v>995</v>
      </c>
      <c r="C94" s="70" t="s">
        <v>998</v>
      </c>
      <c r="D94" s="71" t="s">
        <v>1756</v>
      </c>
      <c r="E94" s="70" t="s">
        <v>1971</v>
      </c>
      <c r="F94" s="70" t="s">
        <v>1974</v>
      </c>
      <c r="G94" s="74" t="n">
        <v>46320</v>
      </c>
      <c r="H94" s="71" t="s">
        <v>1930</v>
      </c>
      <c r="I94" s="107" t="str">
        <f aca="false">HYPERLINK("https://www.manulife.com.vn/vi/san-pham-bao-hiem/danh-muc-dieu-khoan-san-pham/dieu-khoan-san-pham-chinh.html","https://www.manulife.com.vn/vi/san-pham-bao-hiem/danh-muc-dieu-khoan-san-pham/dieu-khoan-san-pham-chinh.html")</f>
        <v>https://www.manulife.com.vn/vi/san-pham-bao-hiem/danh-muc-dieu-khoan-san-pham/dieu-khoan-san-pham-chinh.html</v>
      </c>
      <c r="J94" s="107" t="str">
        <f aca="false">HYPERLINK("https://www.manulife.com.vn/content/dam/insurance/vn/documents/about-us/pd_brochure-scb/tam-an-360/dieu-khoan-san-pham.pdf","https://www.manulife.com.vn/content/dam/insurance/vn/documents/about-us/pd_brochure-scb/tam-an-360/dieu-khoan-san-pham.pdf")</f>
        <v>https://www.manulife.com.vn/content/dam/insurance/vn/documents/about-us/pd_brochure-scb/tam-an-360/dieu-khoan-san-pham.pdf</v>
      </c>
      <c r="K94" s="71" t="s">
        <v>1931</v>
      </c>
      <c r="L94" s="19" t="s">
        <v>1728</v>
      </c>
    </row>
    <row r="95" customFormat="false" ht="40" hidden="false" customHeight="true" outlineLevel="0" collapsed="false">
      <c r="A95" s="76" t="s">
        <v>1975</v>
      </c>
      <c r="B95" s="77" t="s">
        <v>995</v>
      </c>
      <c r="C95" s="76" t="s">
        <v>998</v>
      </c>
      <c r="D95" s="77" t="s">
        <v>1756</v>
      </c>
      <c r="E95" s="76" t="s">
        <v>1971</v>
      </c>
      <c r="F95" s="76" t="s">
        <v>1976</v>
      </c>
      <c r="G95" s="79" t="n">
        <v>46320</v>
      </c>
      <c r="H95" s="77" t="s">
        <v>1930</v>
      </c>
      <c r="I95" s="108" t="str">
        <f aca="false">HYPERLINK("https://www.manulife.com.vn/vi/san-pham-bao-hiem/danh-muc-dieu-khoan-san-pham/dieu-khoan-san-pham-chinh.html","https://www.manulife.com.vn/vi/san-pham-bao-hiem/danh-muc-dieu-khoan-san-pham/dieu-khoan-san-pham-chinh.html")</f>
        <v>https://www.manulife.com.vn/vi/san-pham-bao-hiem/danh-muc-dieu-khoan-san-pham/dieu-khoan-san-pham-chinh.html</v>
      </c>
      <c r="J95" s="108" t="str">
        <f aca="false">HYPERLINK("https://www.manulife.com.vn/content/dam/insurance/vn/documents/ngan-hang/brochure/scb/Quy-Tac-Va-Dieu-Khoan-Song-Khoe-Moi-Ngay.pdf","https://www.manulife.com.vn/content/dam/insurance/vn/documents/ngan-hang/brochure/scb/Quy-Tac-Va-Dieu-Khoan-Song-Khoe-Moi-Ngay.pdf")</f>
        <v>https://www.manulife.com.vn/content/dam/insurance/vn/documents/ngan-hang/brochure/scb/Quy-Tac-Va-Dieu-Khoan-Song-Khoe-Moi-Ngay.pdf</v>
      </c>
      <c r="K95" s="77" t="s">
        <v>1931</v>
      </c>
      <c r="L95" s="19" t="s">
        <v>1728</v>
      </c>
    </row>
    <row r="96" customFormat="false" ht="40" hidden="false" customHeight="true" outlineLevel="0" collapsed="false">
      <c r="A96" s="70" t="s">
        <v>1977</v>
      </c>
      <c r="B96" s="71" t="s">
        <v>995</v>
      </c>
      <c r="C96" s="70" t="s">
        <v>1978</v>
      </c>
      <c r="D96" s="71" t="s">
        <v>1756</v>
      </c>
      <c r="E96" s="70" t="s">
        <v>1979</v>
      </c>
      <c r="F96" s="70" t="s">
        <v>1980</v>
      </c>
      <c r="G96" s="74" t="n">
        <v>46320</v>
      </c>
      <c r="H96" s="71" t="s">
        <v>1930</v>
      </c>
      <c r="I96" s="107" t="str">
        <f aca="false">HYPERLINK("https://www.pti.com.vn/pticare/bao-hiem-elite-care/","https://www.pti.com.vn/pticare/bao-hiem-elite-care/")</f>
        <v>https://www.pti.com.vn/pticare/bao-hiem-elite-care/</v>
      </c>
      <c r="J96" s="107" t="str">
        <f aca="false">HYPERLINK("https://www.pti.com.vn/wp-content/uploads/2026/10/QTBH-suc-khoe-Cao-cap-21_Elitecare.pdf","https://www.pti.com.vn/wp-content/uploads/2026/10/QTBH-suc-khoe-Cao-cap-21_Elitecare.pdf")</f>
        <v>https://www.pti.com.vn/wp-content/uploads/2026/10/QTBH-suc-khoe-Cao-cap-21_Elitecare.pdf</v>
      </c>
      <c r="K96" s="71" t="s">
        <v>1931</v>
      </c>
      <c r="L96" s="19" t="s">
        <v>1728</v>
      </c>
    </row>
    <row r="97" customFormat="false" ht="40" hidden="false" customHeight="true" outlineLevel="0" collapsed="false">
      <c r="A97" s="76" t="s">
        <v>1981</v>
      </c>
      <c r="B97" s="77" t="s">
        <v>995</v>
      </c>
      <c r="C97" s="76" t="s">
        <v>1978</v>
      </c>
      <c r="D97" s="77" t="s">
        <v>1756</v>
      </c>
      <c r="E97" s="76" t="s">
        <v>1979</v>
      </c>
      <c r="F97" s="76" t="s">
        <v>1982</v>
      </c>
      <c r="G97" s="79" t="n">
        <v>46320</v>
      </c>
      <c r="H97" s="77" t="s">
        <v>1930</v>
      </c>
      <c r="I97" s="108" t="str">
        <f aca="false">HYPERLINK("https://www.pti.com.vn/pticare/bao-hiem-phuc-an-sinh/","https://www.pti.com.vn/pticare/bao-hiem-phuc-an-sinh/")</f>
        <v>https://www.pti.com.vn/pticare/bao-hiem-phuc-an-sinh/</v>
      </c>
      <c r="J97" s="108" t="str">
        <f aca="false">HYPERLINK("https://www.pti.com.vn/wp-content/uploads/2025/01/Quy-tac-BH-Phuc-An-Sinh.pdf","https://www.pti.com.vn/wp-content/uploads/2025/01/Quy-tac-BH-Phuc-An-Sinh.pdf")</f>
        <v>https://www.pti.com.vn/wp-content/uploads/2025/01/Quy-tac-BH-Phuc-An-Sinh.pdf</v>
      </c>
      <c r="K97" s="77" t="s">
        <v>1931</v>
      </c>
      <c r="L97" s="19" t="s">
        <v>1728</v>
      </c>
    </row>
    <row r="98" customFormat="false" ht="40" hidden="false" customHeight="true" outlineLevel="0" collapsed="false">
      <c r="A98" s="70" t="s">
        <v>1983</v>
      </c>
      <c r="B98" s="71" t="s">
        <v>1057</v>
      </c>
      <c r="C98" s="70" t="s">
        <v>1061</v>
      </c>
      <c r="D98" s="71" t="s">
        <v>1756</v>
      </c>
      <c r="E98" s="70" t="s">
        <v>1984</v>
      </c>
      <c r="F98" s="70" t="s">
        <v>1985</v>
      </c>
      <c r="G98" s="74" t="n">
        <v>46320</v>
      </c>
      <c r="H98" s="71" t="s">
        <v>1986</v>
      </c>
      <c r="I98" s="107" t="str">
        <f aca="false">HYPERLINK("https://www.mag.co.id/download/","https://www.mag.co.id/download/")</f>
        <v>https://www.mag.co.id/download/</v>
      </c>
      <c r="J98" s="107"/>
      <c r="K98" s="71" t="s">
        <v>1727</v>
      </c>
      <c r="L98" s="19" t="s">
        <v>1728</v>
      </c>
    </row>
    <row r="99" customFormat="false" ht="40" hidden="false" customHeight="true" outlineLevel="0" collapsed="false">
      <c r="A99" s="76" t="s">
        <v>1987</v>
      </c>
      <c r="B99" s="77" t="s">
        <v>1682</v>
      </c>
      <c r="C99" s="76" t="s">
        <v>1988</v>
      </c>
      <c r="D99" s="77" t="s">
        <v>1857</v>
      </c>
      <c r="E99" s="76" t="s">
        <v>1989</v>
      </c>
      <c r="F99" s="76" t="s">
        <v>1990</v>
      </c>
      <c r="G99" s="79" t="n">
        <v>46320</v>
      </c>
      <c r="H99" s="77" t="s">
        <v>1991</v>
      </c>
      <c r="I99" s="108" t="str">
        <f aca="false">HYPERLINK("https://insurance.add-digital.co.th/th/prueasy-saver-104","https://insurance.add-digital.co.th/th/prueasy-saver-104")</f>
        <v>https://insurance.add-digital.co.th/th/prueasy-saver-104</v>
      </c>
      <c r="J99" s="108" t="str">
        <f aca="false">HYPERLINK("https://insurance.add-digital.co.th/medias/add-cloudcms/space/Saving/PRUEasy-Saver-10-4/PRUEasy-Saver-10-4.pdf","https://insurance.add-digital.co.th/medias/add-cloudcms/space/Saving/PRUEasy-Saver-10-4/PRUEasy-Saver-10-4.pdf")</f>
        <v>https://insurance.add-digital.co.th/medias/add-cloudcms/space/Saving/PRUEasy-Saver-10-4/PRUEasy-Saver-10-4.pdf</v>
      </c>
      <c r="K99" s="77" t="s">
        <v>1733</v>
      </c>
      <c r="L99" s="19" t="s">
        <v>1728</v>
      </c>
    </row>
    <row r="100" customFormat="false" ht="40" hidden="false" customHeight="true" outlineLevel="0" collapsed="false">
      <c r="A100" s="70" t="s">
        <v>1992</v>
      </c>
      <c r="B100" s="71" t="s">
        <v>1682</v>
      </c>
      <c r="C100" s="70" t="s">
        <v>1993</v>
      </c>
      <c r="D100" s="71" t="s">
        <v>1756</v>
      </c>
      <c r="E100" s="70" t="s">
        <v>1994</v>
      </c>
      <c r="F100" s="71" t="s">
        <v>1995</v>
      </c>
      <c r="G100" s="74" t="n">
        <v>46320</v>
      </c>
      <c r="H100" s="71" t="s">
        <v>1996</v>
      </c>
      <c r="I100" s="107" t="str">
        <f aca="false">HYPERLINK("https://www.roojai.com/en/policy-wordings/","https://www.roojai.com/en/policy-wordings/")</f>
        <v>https://www.roojai.com/en/policy-wordings/</v>
      </c>
      <c r="J100" s="107"/>
      <c r="K100" s="71" t="s">
        <v>1997</v>
      </c>
      <c r="L100" s="19" t="s">
        <v>1728</v>
      </c>
    </row>
    <row r="101" customFormat="false" ht="40" hidden="false" customHeight="true" outlineLevel="0" collapsed="false">
      <c r="A101" s="76" t="s">
        <v>1998</v>
      </c>
      <c r="B101" s="77" t="s">
        <v>1682</v>
      </c>
      <c r="C101" s="76" t="s">
        <v>1993</v>
      </c>
      <c r="D101" s="77" t="s">
        <v>1756</v>
      </c>
      <c r="E101" s="76" t="s">
        <v>1994</v>
      </c>
      <c r="F101" s="77" t="s">
        <v>1995</v>
      </c>
      <c r="G101" s="79" t="n">
        <v>46320</v>
      </c>
      <c r="H101" s="77" t="s">
        <v>1999</v>
      </c>
      <c r="I101" s="108" t="str">
        <f aca="false">HYPERLINK("https://www.roojai.com/policy-wordings/","https://www.roojai.com/policy-wordings/")</f>
        <v>https://www.roojai.com/policy-wordings/</v>
      </c>
      <c r="J101" s="108"/>
      <c r="K101" s="77" t="s">
        <v>1997</v>
      </c>
      <c r="L101" s="19" t="s">
        <v>1728</v>
      </c>
    </row>
    <row r="102" customFormat="false" ht="40" hidden="false" customHeight="true" outlineLevel="0" collapsed="false">
      <c r="A102" s="70" t="s">
        <v>2000</v>
      </c>
      <c r="B102" s="71" t="s">
        <v>1340</v>
      </c>
      <c r="C102" s="70"/>
      <c r="D102" s="71" t="s">
        <v>1756</v>
      </c>
      <c r="E102" s="70" t="s">
        <v>2001</v>
      </c>
      <c r="F102" s="71" t="s">
        <v>1924</v>
      </c>
      <c r="G102" s="74" t="n">
        <v>46320</v>
      </c>
      <c r="H102" s="71" t="s">
        <v>1925</v>
      </c>
      <c r="I102" s="107" t="str">
        <f aca="false">HYPERLINK("https://www.axa.com.ph/products/savings-and-investments","https://www.axa.com.ph/products/savings-and-investments")</f>
        <v>https://www.axa.com.ph/products/savings-and-investments</v>
      </c>
      <c r="J102" s="107"/>
      <c r="K102" s="71" t="s">
        <v>1733</v>
      </c>
      <c r="L102" s="19" t="s">
        <v>1728</v>
      </c>
    </row>
    <row r="103" customFormat="false" ht="40" hidden="false" customHeight="true" outlineLevel="0" collapsed="false">
      <c r="A103" s="76" t="s">
        <v>2002</v>
      </c>
      <c r="B103" s="77" t="s">
        <v>1340</v>
      </c>
      <c r="C103" s="76" t="s">
        <v>2003</v>
      </c>
      <c r="D103" s="77" t="s">
        <v>1756</v>
      </c>
      <c r="E103" s="76" t="s">
        <v>2004</v>
      </c>
      <c r="F103" s="76" t="s">
        <v>2005</v>
      </c>
      <c r="G103" s="79" t="n">
        <v>46320</v>
      </c>
      <c r="H103" s="77" t="s">
        <v>2006</v>
      </c>
      <c r="I103" s="108" t="str">
        <f aca="false">HYPERLINK("https://www.fwd.com.ph/critical-illness-insurance/kanmend/","https://www.fwd.com.ph/critical-illness-insurance/kanmend/")</f>
        <v>https://www.fwd.com.ph/critical-illness-insurance/kanmend/</v>
      </c>
      <c r="J103" s="108" t="str">
        <f aca="false">HYPERLINK("https://www.fwd.com.ph/files/v3/assets/blt9d245055972fde4e/bltbe04cdee24f0cea8/6a3b13c1ef55846f7ea371f5/KanMend.pdf","https://www.fwd.com.ph/files/v3/assets/blt9d245055972fde4e/bltbe04cdee24f0cea8/6a3b13c1ef55846f7ea371f5/KanMend.pdf")</f>
        <v>https://www.fwd.com.ph/files/v3/assets/blt9d245055972fde4e/bltbe04cdee24f0cea8/6a3b13c1ef55846f7ea371f5/KanMend.pdf</v>
      </c>
      <c r="K103" s="77" t="s">
        <v>1727</v>
      </c>
      <c r="L103" s="19" t="s">
        <v>1728</v>
      </c>
    </row>
    <row r="104" customFormat="false" ht="40" hidden="false" customHeight="true" outlineLevel="0" collapsed="false">
      <c r="A104" s="70" t="s">
        <v>2007</v>
      </c>
      <c r="B104" s="71" t="s">
        <v>1340</v>
      </c>
      <c r="C104" s="70" t="s">
        <v>2003</v>
      </c>
      <c r="D104" s="71" t="s">
        <v>1756</v>
      </c>
      <c r="E104" s="70" t="s">
        <v>2004</v>
      </c>
      <c r="F104" s="70" t="s">
        <v>2008</v>
      </c>
      <c r="G104" s="74" t="n">
        <v>46320</v>
      </c>
      <c r="H104" s="71" t="s">
        <v>2006</v>
      </c>
      <c r="I104" s="107" t="str">
        <f aca="false">HYPERLINK("https://www.fwd.com.ph/life-insurance/kanguard/","https://www.fwd.com.ph/life-insurance/kanguard/")</f>
        <v>https://www.fwd.com.ph/life-insurance/kanguard/</v>
      </c>
      <c r="J104" s="107" t="str">
        <f aca="false">HYPERLINK("https://www.fwd.com.ph/files/v3/assets/blt9d245055972fde4e/blt1ae97fce4ac9aa33/6a3b13bfcbb3f2a7eec16491/KanGuard.pdf","https://www.fwd.com.ph/files/v3/assets/blt9d245055972fde4e/blt1ae97fce4ac9aa33/6a3b13bfcbb3f2a7eec16491/KanGuard.pdf")</f>
        <v>https://www.fwd.com.ph/files/v3/assets/blt9d245055972fde4e/blt1ae97fce4ac9aa33/6a3b13bfcbb3f2a7eec16491/KanGuard.pdf</v>
      </c>
      <c r="K104" s="71" t="s">
        <v>1727</v>
      </c>
      <c r="L104" s="19" t="s">
        <v>1728</v>
      </c>
    </row>
    <row r="105" customFormat="false" ht="40" hidden="false" customHeight="true" outlineLevel="0" collapsed="false">
      <c r="A105" s="76" t="s">
        <v>2009</v>
      </c>
      <c r="B105" s="77" t="s">
        <v>938</v>
      </c>
      <c r="C105" s="76"/>
      <c r="D105" s="77" t="s">
        <v>1756</v>
      </c>
      <c r="E105" s="76" t="s">
        <v>2010</v>
      </c>
      <c r="F105" s="76" t="s">
        <v>2011</v>
      </c>
      <c r="G105" s="79" t="n">
        <v>46320</v>
      </c>
      <c r="H105" s="77" t="s">
        <v>2012</v>
      </c>
      <c r="I105" s="108" t="str">
        <f aca="false">HYPERLINK("https://cbinsurance.com.kh/","https://cbinsurance.com.kh/")</f>
        <v>https://cbinsurance.com.kh/</v>
      </c>
      <c r="J105" s="108"/>
      <c r="K105" s="77" t="s">
        <v>1727</v>
      </c>
      <c r="L105" s="19" t="s">
        <v>1728</v>
      </c>
    </row>
    <row r="106" customFormat="false" ht="40" hidden="false" customHeight="true" outlineLevel="0" collapsed="false">
      <c r="A106" s="70" t="s">
        <v>2013</v>
      </c>
      <c r="B106" s="71" t="s">
        <v>938</v>
      </c>
      <c r="C106" s="70"/>
      <c r="D106" s="71" t="s">
        <v>1756</v>
      </c>
      <c r="E106" s="70" t="s">
        <v>2014</v>
      </c>
      <c r="F106" s="70" t="s">
        <v>2015</v>
      </c>
      <c r="G106" s="74" t="n">
        <v>46320</v>
      </c>
      <c r="H106" s="71" t="s">
        <v>2016</v>
      </c>
      <c r="I106" s="107" t="str">
        <f aca="false">HYPERLINK("https://dai-ichilife.com.kh/pages/product/easycare/","https://dai-ichilife.com.kh/pages/product/easycare/")</f>
        <v>https://dai-ichilife.com.kh/pages/product/easycare/</v>
      </c>
      <c r="J106" s="107"/>
      <c r="K106" s="71" t="s">
        <v>1727</v>
      </c>
      <c r="L106" s="19" t="s">
        <v>1728</v>
      </c>
    </row>
    <row r="107" customFormat="false" ht="40" hidden="false" customHeight="true" outlineLevel="0" collapsed="false">
      <c r="A107" s="76" t="s">
        <v>2017</v>
      </c>
      <c r="B107" s="77" t="s">
        <v>938</v>
      </c>
      <c r="C107" s="76"/>
      <c r="D107" s="77" t="s">
        <v>1756</v>
      </c>
      <c r="E107" s="76" t="s">
        <v>2018</v>
      </c>
      <c r="F107" s="76" t="s">
        <v>2019</v>
      </c>
      <c r="G107" s="79" t="n">
        <v>46320</v>
      </c>
      <c r="H107" s="77" t="s">
        <v>2020</v>
      </c>
      <c r="I107" s="108" t="str">
        <f aca="false">HYPERLINK("https://philliplife.com.kh/en/business-solutions/","https://philliplife.com.kh/en/business-solutions/")</f>
        <v>https://philliplife.com.kh/en/business-solutions/</v>
      </c>
      <c r="J107" s="108"/>
      <c r="K107" s="77" t="s">
        <v>1727</v>
      </c>
      <c r="L107" s="19" t="s">
        <v>1728</v>
      </c>
    </row>
    <row r="108" customFormat="false" ht="40" hidden="false" customHeight="true" outlineLevel="0" collapsed="false">
      <c r="A108" s="70" t="s">
        <v>2021</v>
      </c>
      <c r="B108" s="71" t="s">
        <v>938</v>
      </c>
      <c r="C108" s="70"/>
      <c r="D108" s="71" t="s">
        <v>1857</v>
      </c>
      <c r="E108" s="70" t="s">
        <v>2022</v>
      </c>
      <c r="F108" s="70" t="s">
        <v>2023</v>
      </c>
      <c r="G108" s="74" t="n">
        <v>46320</v>
      </c>
      <c r="H108" s="71" t="s">
        <v>2024</v>
      </c>
      <c r="I108" s="107" t="str">
        <f aca="false">HYPERLINK("https://www.agcambodia.com/","https://www.agcambodia.com/")</f>
        <v>https://www.agcambodia.com/</v>
      </c>
      <c r="J108" s="107"/>
      <c r="K108" s="71" t="s">
        <v>1733</v>
      </c>
      <c r="L108" s="19" t="s">
        <v>1728</v>
      </c>
    </row>
    <row r="109" customFormat="false" ht="40" hidden="false" customHeight="true" outlineLevel="0" collapsed="false">
      <c r="A109" s="76" t="s">
        <v>2025</v>
      </c>
      <c r="B109" s="77" t="s">
        <v>938</v>
      </c>
      <c r="C109" s="76"/>
      <c r="D109" s="77" t="s">
        <v>1756</v>
      </c>
      <c r="E109" s="76" t="s">
        <v>2026</v>
      </c>
      <c r="F109" s="76" t="s">
        <v>2027</v>
      </c>
      <c r="G109" s="79" t="n">
        <v>46320</v>
      </c>
      <c r="H109" s="77" t="s">
        <v>2024</v>
      </c>
      <c r="I109" s="108" t="str">
        <f aca="false">HYPERLINK("https://www.bkicambodia.com/product","https://www.bkicambodia.com/product")</f>
        <v>https://www.bkicambodia.com/product</v>
      </c>
      <c r="J109" s="108"/>
      <c r="K109" s="77" t="s">
        <v>1733</v>
      </c>
      <c r="L109" s="19" t="s">
        <v>1728</v>
      </c>
    </row>
    <row r="110" customFormat="false" ht="40" hidden="false" customHeight="true" outlineLevel="0" collapsed="false">
      <c r="A110" s="70" t="s">
        <v>2028</v>
      </c>
      <c r="B110" s="71" t="s">
        <v>938</v>
      </c>
      <c r="C110" s="70"/>
      <c r="D110" s="71" t="s">
        <v>1723</v>
      </c>
      <c r="E110" s="70" t="s">
        <v>2029</v>
      </c>
      <c r="F110" s="70" t="s">
        <v>2030</v>
      </c>
      <c r="G110" s="74" t="n">
        <v>46320</v>
      </c>
      <c r="H110" s="71" t="s">
        <v>2024</v>
      </c>
      <c r="I110" s="107" t="str">
        <f aca="false">HYPERLINK("https://www.lolc.com.kh/km/details/insurance-offer-for-saving","https://www.lolc.com.kh/km/details/insurance-offer-for-saving")</f>
        <v>https://www.lolc.com.kh/km/details/insurance-offer-for-saving</v>
      </c>
      <c r="J110" s="107"/>
      <c r="K110" s="71" t="s">
        <v>1733</v>
      </c>
      <c r="L110" s="19" t="s">
        <v>1728</v>
      </c>
    </row>
    <row r="111" customFormat="false" ht="40" hidden="false" customHeight="true" outlineLevel="0" collapsed="false">
      <c r="A111" s="76" t="s">
        <v>2031</v>
      </c>
      <c r="B111" s="77" t="s">
        <v>938</v>
      </c>
      <c r="C111" s="76"/>
      <c r="D111" s="77" t="s">
        <v>1756</v>
      </c>
      <c r="E111" s="76" t="s">
        <v>2032</v>
      </c>
      <c r="F111" s="76" t="s">
        <v>2033</v>
      </c>
      <c r="G111" s="79" t="n">
        <v>46320</v>
      </c>
      <c r="H111" s="77" t="s">
        <v>2034</v>
      </c>
      <c r="I111" s="108" t="str">
        <f aca="false">HYPERLINK("https://www.mekongmicroinsurance.com.kh/en/home","https://www.mekongmicroinsurance.com.kh/en/home")</f>
        <v>https://www.mekongmicroinsurance.com.kh/en/home</v>
      </c>
      <c r="J111" s="108"/>
      <c r="K111" s="77" t="s">
        <v>1727</v>
      </c>
      <c r="L111" s="19" t="s">
        <v>1728</v>
      </c>
    </row>
    <row r="112" customFormat="false" ht="40" hidden="false" customHeight="true" outlineLevel="0" collapsed="false">
      <c r="A112" s="70" t="s">
        <v>2035</v>
      </c>
      <c r="B112" s="71" t="s">
        <v>938</v>
      </c>
      <c r="C112" s="70"/>
      <c r="D112" s="71" t="s">
        <v>1756</v>
      </c>
      <c r="E112" s="70" t="s">
        <v>2036</v>
      </c>
      <c r="F112" s="70" t="s">
        <v>2037</v>
      </c>
      <c r="G112" s="74" t="n">
        <v>46320</v>
      </c>
      <c r="H112" s="71" t="s">
        <v>2020</v>
      </c>
      <c r="I112" s="107" t="str">
        <f aca="false">HYPERLINK("https://www.prudential.com.kh/en/product/save/prusave-elite/","https://www.prudential.com.kh/en/product/save/prusave-elite/")</f>
        <v>https://www.prudential.com.kh/en/product/save/prusave-elite/</v>
      </c>
      <c r="J112" s="107"/>
      <c r="K112" s="71" t="s">
        <v>1727</v>
      </c>
      <c r="L112" s="19" t="s">
        <v>1728</v>
      </c>
    </row>
    <row r="113" customFormat="false" ht="40" hidden="false" customHeight="true" outlineLevel="0" collapsed="false">
      <c r="A113" s="76" t="s">
        <v>2038</v>
      </c>
      <c r="B113" s="77" t="s">
        <v>938</v>
      </c>
      <c r="C113" s="76" t="s">
        <v>2039</v>
      </c>
      <c r="D113" s="77" t="s">
        <v>1756</v>
      </c>
      <c r="E113" s="76" t="s">
        <v>2040</v>
      </c>
      <c r="F113" s="76" t="s">
        <v>2041</v>
      </c>
      <c r="G113" s="79" t="n">
        <v>46320</v>
      </c>
      <c r="H113" s="77" t="s">
        <v>2042</v>
      </c>
      <c r="I113" s="108" t="str">
        <f aca="false">HYPERLINK("https://www.aia.com.kh/en/products/health/medical-protection/aia-somrab-sokhapheap","https://www.aia.com.kh/en/products/health/medical-protection/aia-somrab-sokhapheap")</f>
        <v>https://www.aia.com.kh/en/products/health/medical-protection/aia-somrab-sokhapheap</v>
      </c>
      <c r="J113" s="108" t="str">
        <f aca="false">HYPERLINK("https://www.aia.com.kh/content/dam/kh-wise/policy-contract/AIA-PolicyContract-SamrabSokapheab-AIA-Chambong.pdf","https://www.aia.com.kh/content/dam/kh-wise/policy-contract/AIA-PolicyContract-SamrabSokapheab-AIA-Chambong.pdf")</f>
        <v>https://www.aia.com.kh/content/dam/kh-wise/policy-contract/AIA-PolicyContract-SamrabSokapheab-AIA-Chambong.pdf</v>
      </c>
      <c r="K113" s="77" t="s">
        <v>1727</v>
      </c>
      <c r="L113" s="19" t="s">
        <v>1728</v>
      </c>
    </row>
    <row r="114" customFormat="false" ht="40" hidden="false" customHeight="true" outlineLevel="0" collapsed="false">
      <c r="A114" s="70" t="s">
        <v>2043</v>
      </c>
      <c r="B114" s="71" t="s">
        <v>938</v>
      </c>
      <c r="C114" s="70" t="s">
        <v>942</v>
      </c>
      <c r="D114" s="71" t="s">
        <v>1756</v>
      </c>
      <c r="E114" s="70" t="s">
        <v>2014</v>
      </c>
      <c r="F114" s="70" t="s">
        <v>1425</v>
      </c>
      <c r="G114" s="74" t="n">
        <v>46320</v>
      </c>
      <c r="H114" s="71" t="s">
        <v>2042</v>
      </c>
      <c r="I114" s="107" t="str">
        <f aca="false">HYPERLINK("https://dai-ichilife.com.kh/pages/product/easycare/","https://dai-ichilife.com.kh/pages/product/easycare/")</f>
        <v>https://dai-ichilife.com.kh/pages/product/easycare/</v>
      </c>
      <c r="J114" s="107" t="str">
        <f aca="false">HYPERLINK("https://dai-ichilife.com.kh/pages/wp-content/uploads/2024/04/Policy-Terms-and-Conditions_EasyCare_Update101125.pdf","https://dai-ichilife.com.kh/pages/wp-content/uploads/2024/04/Policy-Terms-and-Conditions_EasyCare_Update101125.pdf")</f>
        <v>https://dai-ichilife.com.kh/pages/wp-content/uploads/2024/04/Policy-Terms-and-Conditions_EasyCare_Update101125.pdf</v>
      </c>
      <c r="K114" s="71" t="s">
        <v>1727</v>
      </c>
      <c r="L114" s="19" t="s">
        <v>1728</v>
      </c>
    </row>
    <row r="115" customFormat="false" ht="40" hidden="false" customHeight="true" outlineLevel="0" collapsed="false">
      <c r="A115" s="76" t="s">
        <v>2044</v>
      </c>
      <c r="B115" s="77" t="s">
        <v>938</v>
      </c>
      <c r="C115" s="76" t="s">
        <v>948</v>
      </c>
      <c r="D115" s="77" t="s">
        <v>1756</v>
      </c>
      <c r="E115" s="76" t="s">
        <v>2045</v>
      </c>
      <c r="F115" s="76" t="s">
        <v>2046</v>
      </c>
      <c r="G115" s="79" t="n">
        <v>46320</v>
      </c>
      <c r="H115" s="77" t="s">
        <v>2047</v>
      </c>
      <c r="I115" s="108" t="str">
        <f aca="false">HYPERLINK("https://www.tuneprotect.com/airasia/cambodia/en/product/comprehensive-travel-insurance-plus-plan/","https://www.tuneprotect.com/airasia/cambodia/en/product/comprehensive-travel-insurance-plus-plan/")</f>
        <v>https://www.tuneprotect.com/airasia/cambodia/en/product/comprehensive-travel-insurance-plus-plan/</v>
      </c>
      <c r="J115" s="108"/>
      <c r="K115" s="77" t="s">
        <v>1727</v>
      </c>
      <c r="L115" s="19" t="s">
        <v>1728</v>
      </c>
    </row>
    <row r="116" customFormat="false" ht="40" hidden="false" customHeight="true" outlineLevel="0" collapsed="false">
      <c r="A116" s="70" t="s">
        <v>2048</v>
      </c>
      <c r="B116" s="71" t="s">
        <v>938</v>
      </c>
      <c r="C116" s="70" t="s">
        <v>1013</v>
      </c>
      <c r="D116" s="71" t="s">
        <v>1756</v>
      </c>
      <c r="E116" s="70" t="s">
        <v>2049</v>
      </c>
      <c r="F116" s="70" t="s">
        <v>2050</v>
      </c>
      <c r="G116" s="74" t="n">
        <v>46320</v>
      </c>
      <c r="H116" s="71" t="s">
        <v>2042</v>
      </c>
      <c r="I116" s="107" t="str">
        <f aca="false">HYPERLINK("https://www.forteinsurance.com/individuals-and-families/personal-accident-and-international-emergency-medical-assistance-insurance/","https://www.forteinsurance.com/individuals-and-families/personal-accident-and-international-emergency-medical-assistance-insurance/")</f>
        <v>https://www.forteinsurance.com/individuals-and-families/personal-accident-and-international-emergency-medical-assistance-insurance/</v>
      </c>
      <c r="J116" s="107" t="str">
        <f aca="false">HYPERLINK("https://www.forteinsurance.com/uploads/PAEvacuation/PA%20Evacuation%20Wording%20KH-EN.pdf","https://www.forteinsurance.com/uploads/PAEvacuation/PA%20Evacuation%20Wording%20KH-EN.pdf")</f>
        <v>https://www.forteinsurance.com/uploads/PAEvacuation/PA%20Evacuation%20Wording%20KH-EN.pdf</v>
      </c>
      <c r="K116" s="71" t="s">
        <v>1727</v>
      </c>
      <c r="L116" s="19" t="s">
        <v>1728</v>
      </c>
    </row>
    <row r="117" customFormat="false" ht="40" hidden="false" customHeight="true" outlineLevel="0" collapsed="false">
      <c r="A117" s="76" t="s">
        <v>2051</v>
      </c>
      <c r="B117" s="77" t="s">
        <v>938</v>
      </c>
      <c r="C117" s="76" t="s">
        <v>1013</v>
      </c>
      <c r="D117" s="77" t="s">
        <v>1756</v>
      </c>
      <c r="E117" s="76" t="s">
        <v>2049</v>
      </c>
      <c r="F117" s="76" t="s">
        <v>1459</v>
      </c>
      <c r="G117" s="79" t="n">
        <v>46320</v>
      </c>
      <c r="H117" s="77" t="s">
        <v>2042</v>
      </c>
      <c r="I117" s="108" t="str">
        <f aca="false">HYPERLINK("https://www.forteinsurance.com/individuals-and-families/travel-insurance/","https://www.forteinsurance.com/individuals-and-families/travel-insurance/")</f>
        <v>https://www.forteinsurance.com/individuals-and-families/travel-insurance/</v>
      </c>
      <c r="J117" s="108" t="str">
        <f aca="false">HYPERLINK("https://www.forteinsurance.com/uploads/travel-policy-wording.pdf","https://www.forteinsurance.com/uploads/travel-policy-wording.pdf")</f>
        <v>https://www.forteinsurance.com/uploads/travel-policy-wording.pdf</v>
      </c>
      <c r="K117" s="77" t="s">
        <v>1727</v>
      </c>
      <c r="L117" s="19" t="s">
        <v>1728</v>
      </c>
    </row>
    <row r="118" customFormat="false" ht="40" hidden="false" customHeight="true" outlineLevel="0" collapsed="false">
      <c r="A118" s="70" t="s">
        <v>2052</v>
      </c>
      <c r="B118" s="71" t="s">
        <v>1695</v>
      </c>
      <c r="C118" s="70" t="s">
        <v>2053</v>
      </c>
      <c r="D118" s="71" t="s">
        <v>1756</v>
      </c>
      <c r="E118" s="70" t="s">
        <v>2054</v>
      </c>
      <c r="F118" s="70" t="s">
        <v>2055</v>
      </c>
      <c r="G118" s="74" t="n">
        <v>46320</v>
      </c>
      <c r="H118" s="71" t="s">
        <v>2056</v>
      </c>
      <c r="I118" s="107" t="str">
        <f aca="false">HYPERLINK("https://www.insuranstaib.com.bn/ft-products/overseas-student","https://www.insuranstaib.com.bn/ft-products/overseas-student")</f>
        <v>https://www.insuranstaib.com.bn/ft-products/overseas-student</v>
      </c>
      <c r="J118" s="107" t="str">
        <f aca="false">HYPERLINK("https://www.insuranstaib.com.bn/img/uploads/Individual%20Products/Overseas%20Student/CW%20-%20Overseas%20Student%20Assist%20Takaful%20Plan.pdf","https://www.insuranstaib.com.bn/img/uploads/Individual%20Products/Overseas%20Student/CW%20-%20Overseas%20Student%20Assist%20Takaful%20Plan.pdf")</f>
        <v>https://www.insuranstaib.com.bn/img/uploads/Individual%20Products/Overseas%20Student/CW%20-%20Overseas%20Student%20Assist%20Takaful%20Plan.pdf</v>
      </c>
      <c r="K118" s="71" t="s">
        <v>1727</v>
      </c>
      <c r="L118" s="19" t="s">
        <v>1728</v>
      </c>
    </row>
    <row r="119" customFormat="false" ht="40" hidden="false" customHeight="true" outlineLevel="0" collapsed="false">
      <c r="A119" s="76" t="s">
        <v>2057</v>
      </c>
      <c r="B119" s="77" t="s">
        <v>1695</v>
      </c>
      <c r="C119" s="76" t="s">
        <v>2058</v>
      </c>
      <c r="D119" s="77" t="s">
        <v>1756</v>
      </c>
      <c r="E119" s="76" t="s">
        <v>2054</v>
      </c>
      <c r="F119" s="76" t="s">
        <v>2059</v>
      </c>
      <c r="G119" s="79" t="n">
        <v>46320</v>
      </c>
      <c r="H119" s="77" t="s">
        <v>2056</v>
      </c>
      <c r="I119" s="108" t="str">
        <f aca="false">HYPERLINK("https://www.insuranstaib.com.bn/product/ar-rizq-savings-takaful","https://www.insuranstaib.com.bn/product/ar-rizq-savings-takaful")</f>
        <v>https://www.insuranstaib.com.bn/product/ar-rizq-savings-takaful</v>
      </c>
      <c r="J119" s="108" t="str">
        <f aca="false">HYPERLINK("https://www.insuranstaib.com.bn/img/uploads/Individual%20Products/Ar-Rizq%20Savings%20Takaful%20Plan/CW%20-%20Ar-Rizq%20Takaful%20Plan%20and%20Ar-Rizq%20Takaful%20Retirement%20Plan.pdf","https://www.insuranstaib.com.bn/img/uploads/Individual%20Products/Ar-Rizq%20Savings%20Takaful%20Plan/CW%20-%20Ar-Rizq%20Takaful%20Plan%20and%20Ar-Rizq%20Takaful%20Retirement%20Plan.pdf")</f>
        <v>https://www.insuranstaib.com.bn/img/uploads/Individual%20Products/Ar-Rizq%20Savings%20Takaful%20Plan/CW%20-%20Ar-Rizq%20Takaful%20Plan%20and%20Ar-Rizq%20Takaful%20Retirement%20Plan.pdf</v>
      </c>
      <c r="K119" s="77" t="s">
        <v>1727</v>
      </c>
      <c r="L119" s="19" t="s">
        <v>1728</v>
      </c>
    </row>
    <row r="120" customFormat="false" ht="40" hidden="false" customHeight="true" outlineLevel="0" collapsed="false">
      <c r="A120" s="70" t="s">
        <v>2060</v>
      </c>
      <c r="B120" s="71" t="s">
        <v>1695</v>
      </c>
      <c r="C120" s="70" t="s">
        <v>2061</v>
      </c>
      <c r="D120" s="71" t="s">
        <v>1756</v>
      </c>
      <c r="E120" s="70" t="s">
        <v>2054</v>
      </c>
      <c r="F120" s="70" t="s">
        <v>2062</v>
      </c>
      <c r="G120" s="74" t="n">
        <v>46320</v>
      </c>
      <c r="H120" s="71" t="s">
        <v>2056</v>
      </c>
      <c r="I120" s="107" t="str">
        <f aca="false">HYPERLINK("https://www.insuranstaib.com.bn/gt-products/duyufurrahman","https://www.insuranstaib.com.bn/gt-products/duyufurrahman")</f>
        <v>https://www.insuranstaib.com.bn/gt-products/duyufurrahman</v>
      </c>
      <c r="J120" s="107" t="str">
        <f aca="false">HYPERLINK("https://www.insuranstaib.com.bn/img/uploads/Individual%20Products/Duyufur%20Rahman%20Takaful/CW%20-%20Duyufur%20Rahman%20Takaful%20Scheme.pdf","https://www.insuranstaib.com.bn/img/uploads/Individual%20Products/Duyufur%20Rahman%20Takaful/CW%20-%20Duyufur%20Rahman%20Takaful%20Scheme.pdf")</f>
        <v>https://www.insuranstaib.com.bn/img/uploads/Individual%20Products/Duyufur%20Rahman%20Takaful/CW%20-%20Duyufur%20Rahman%20Takaful%20Scheme.pdf</v>
      </c>
      <c r="K120" s="71" t="s">
        <v>1727</v>
      </c>
      <c r="L120" s="19" t="s">
        <v>1728</v>
      </c>
    </row>
    <row r="121" customFormat="false" ht="40" hidden="false" customHeight="true" outlineLevel="0" collapsed="false">
      <c r="A121" s="76" t="s">
        <v>2063</v>
      </c>
      <c r="B121" s="77" t="s">
        <v>1695</v>
      </c>
      <c r="C121" s="76" t="s">
        <v>2061</v>
      </c>
      <c r="D121" s="77" t="s">
        <v>1756</v>
      </c>
      <c r="E121" s="76" t="s">
        <v>2054</v>
      </c>
      <c r="F121" s="76" t="s">
        <v>2064</v>
      </c>
      <c r="G121" s="79" t="n">
        <v>46320</v>
      </c>
      <c r="H121" s="77" t="s">
        <v>2056</v>
      </c>
      <c r="I121" s="108" t="str">
        <f aca="false">HYPERLINK("https://www.insuranstaib.com.bn/gt-products/student","https://www.insuranstaib.com.bn/gt-products/student")</f>
        <v>https://www.insuranstaib.com.bn/gt-products/student</v>
      </c>
      <c r="J121" s="108" t="str">
        <f aca="false">HYPERLINK("https://www.insuranstaib.com.bn/img/uploads/Individual%20Products/Student%20Takaful/CW%20-%20Student%20Takaful%20Scheme.pdf","https://www.insuranstaib.com.bn/img/uploads/Individual%20Products/Student%20Takaful/CW%20-%20Student%20Takaful%20Scheme.pdf")</f>
        <v>https://www.insuranstaib.com.bn/img/uploads/Individual%20Products/Student%20Takaful/CW%20-%20Student%20Takaful%20Scheme.pdf</v>
      </c>
      <c r="K121" s="77" t="s">
        <v>1727</v>
      </c>
      <c r="L121" s="19" t="s">
        <v>1728</v>
      </c>
    </row>
    <row r="122" customFormat="false" ht="40" hidden="false" customHeight="true" outlineLevel="0" collapsed="false">
      <c r="A122" s="70" t="s">
        <v>2065</v>
      </c>
      <c r="B122" s="71" t="s">
        <v>1700</v>
      </c>
      <c r="C122" s="70"/>
      <c r="D122" s="71" t="s">
        <v>1857</v>
      </c>
      <c r="E122" s="70" t="s">
        <v>2066</v>
      </c>
      <c r="F122" s="70" t="s">
        <v>2067</v>
      </c>
      <c r="G122" s="74" t="n">
        <v>46320</v>
      </c>
      <c r="H122" s="71" t="s">
        <v>2068</v>
      </c>
      <c r="I122" s="107" t="str">
        <f aca="false">HYPERLINK("https://jclaoinsurance.com/ev-electric-vehicle-insurance/","https://jclaoinsurance.com/ev-electric-vehicle-insurance/")</f>
        <v>https://jclaoinsurance.com/ev-electric-vehicle-insurance/</v>
      </c>
      <c r="J122" s="107"/>
      <c r="K122" s="71" t="s">
        <v>1727</v>
      </c>
      <c r="L122" s="19" t="s">
        <v>1728</v>
      </c>
    </row>
    <row r="123" customFormat="false" ht="40" hidden="false" customHeight="true" outlineLevel="0" collapsed="false">
      <c r="A123" s="76" t="s">
        <v>2069</v>
      </c>
      <c r="B123" s="77" t="s">
        <v>1700</v>
      </c>
      <c r="C123" s="76" t="s">
        <v>2070</v>
      </c>
      <c r="D123" s="77" t="s">
        <v>1756</v>
      </c>
      <c r="E123" s="76" t="s">
        <v>2071</v>
      </c>
      <c r="F123" s="77" t="s">
        <v>1995</v>
      </c>
      <c r="G123" s="79" t="n">
        <v>46320</v>
      </c>
      <c r="H123" s="77" t="s">
        <v>2072</v>
      </c>
      <c r="I123" s="108" t="str">
        <f aca="false">HYPERLINK("https://www.agl.com.la/download-center/","https://www.agl.com.la/download-center/")</f>
        <v>https://www.agl.com.la/download-center/</v>
      </c>
      <c r="J123" s="108"/>
      <c r="K123" s="77" t="s">
        <v>1997</v>
      </c>
      <c r="L123" s="19" t="s">
        <v>1728</v>
      </c>
    </row>
    <row r="124" customFormat="false" ht="40" hidden="false" customHeight="true" outlineLevel="0" collapsed="false">
      <c r="A124" s="70" t="s">
        <v>2073</v>
      </c>
      <c r="B124" s="71" t="s">
        <v>1067</v>
      </c>
      <c r="C124" s="70"/>
      <c r="D124" s="71" t="s">
        <v>1756</v>
      </c>
      <c r="E124" s="70" t="s">
        <v>2074</v>
      </c>
      <c r="F124" s="70" t="s">
        <v>2075</v>
      </c>
      <c r="G124" s="74" t="n">
        <v>46320</v>
      </c>
      <c r="H124" s="71" t="s">
        <v>2020</v>
      </c>
      <c r="I124" s="107" t="str">
        <f aca="false">HYPERLINK("https://www.fnigeneral.com/wp-content/uploads/2019/01/Fire-Clauses-for-DeclarationPolicy_en.pdf","https://www.fnigeneral.com/wp-content/uploads/2019/01/Fire-Clauses-for-DeclarationPolicy_en.pdf")</f>
        <v>https://www.fnigeneral.com/wp-content/uploads/2019/01/Fire-Clauses-for-DeclarationPolicy_en.pdf</v>
      </c>
      <c r="J124" s="107"/>
      <c r="K124" s="71" t="s">
        <v>1727</v>
      </c>
      <c r="L124" s="19" t="s">
        <v>1728</v>
      </c>
    </row>
    <row r="125" customFormat="false" ht="40" hidden="false" customHeight="true" outlineLevel="0" collapsed="false">
      <c r="A125" s="76" t="s">
        <v>2076</v>
      </c>
      <c r="B125" s="77" t="s">
        <v>1067</v>
      </c>
      <c r="C125" s="76"/>
      <c r="D125" s="77" t="s">
        <v>1756</v>
      </c>
      <c r="E125" s="76" t="s">
        <v>2074</v>
      </c>
      <c r="F125" s="76" t="s">
        <v>2077</v>
      </c>
      <c r="G125" s="79" t="n">
        <v>46320</v>
      </c>
      <c r="H125" s="77" t="s">
        <v>2020</v>
      </c>
      <c r="I125" s="108" t="str">
        <f aca="false">HYPERLINK("https://www.fnigeneral.com/wp-content/uploads/2019/01/fire_policy_en.pdf","https://www.fnigeneral.com/wp-content/uploads/2019/01/fire_policy_en.pdf")</f>
        <v>https://www.fnigeneral.com/wp-content/uploads/2019/01/fire_policy_en.pdf</v>
      </c>
      <c r="J125" s="108"/>
      <c r="K125" s="77" t="s">
        <v>1727</v>
      </c>
      <c r="L125" s="19" t="s">
        <v>1728</v>
      </c>
    </row>
    <row r="126" customFormat="false" ht="40" hidden="false" customHeight="true" outlineLevel="0" collapsed="false">
      <c r="A126" s="70" t="s">
        <v>2078</v>
      </c>
      <c r="B126" s="71" t="s">
        <v>1067</v>
      </c>
      <c r="C126" s="70"/>
      <c r="D126" s="71" t="s">
        <v>1756</v>
      </c>
      <c r="E126" s="70" t="s">
        <v>2074</v>
      </c>
      <c r="F126" s="70" t="s">
        <v>2079</v>
      </c>
      <c r="G126" s="74" t="n">
        <v>46320</v>
      </c>
      <c r="H126" s="71" t="s">
        <v>2020</v>
      </c>
      <c r="I126" s="107" t="str">
        <f aca="false">HYPERLINK("https://www.fnigeneral.com/wp-content/uploads/2019/01/fire_policy_schedule_en.pdf","https://www.fnigeneral.com/wp-content/uploads/2019/01/fire_policy_schedule_en.pdf")</f>
        <v>https://www.fnigeneral.com/wp-content/uploads/2019/01/fire_policy_schedule_en.pdf</v>
      </c>
      <c r="J126" s="107"/>
      <c r="K126" s="71" t="s">
        <v>1727</v>
      </c>
      <c r="L126" s="19" t="s">
        <v>1728</v>
      </c>
    </row>
    <row r="127" customFormat="false" ht="40" hidden="false" customHeight="true" outlineLevel="0" collapsed="false">
      <c r="A127" s="76" t="s">
        <v>2080</v>
      </c>
      <c r="B127" s="77" t="s">
        <v>1067</v>
      </c>
      <c r="C127" s="76"/>
      <c r="D127" s="77" t="s">
        <v>1756</v>
      </c>
      <c r="E127" s="76" t="s">
        <v>2074</v>
      </c>
      <c r="F127" s="76" t="s">
        <v>2081</v>
      </c>
      <c r="G127" s="79" t="n">
        <v>46320</v>
      </c>
      <c r="H127" s="77" t="s">
        <v>2020</v>
      </c>
      <c r="I127" s="108" t="str">
        <f aca="false">HYPERLINK("https://www.fnigeneral.com/wp-content/uploads/2019/01/fire_term_and_condition.pdf","https://www.fnigeneral.com/wp-content/uploads/2019/01/fire_term_and_condition.pdf")</f>
        <v>https://www.fnigeneral.com/wp-content/uploads/2019/01/fire_term_and_condition.pdf</v>
      </c>
      <c r="J127" s="108"/>
      <c r="K127" s="77" t="s">
        <v>1727</v>
      </c>
      <c r="L127" s="19" t="s">
        <v>1728</v>
      </c>
    </row>
    <row r="128" customFormat="false" ht="40" hidden="false" customHeight="true" outlineLevel="0" collapsed="false">
      <c r="A128" s="70" t="s">
        <v>2082</v>
      </c>
      <c r="B128" s="71" t="s">
        <v>1067</v>
      </c>
      <c r="C128" s="70"/>
      <c r="D128" s="71" t="s">
        <v>1756</v>
      </c>
      <c r="E128" s="70" t="s">
        <v>2083</v>
      </c>
      <c r="F128" s="70" t="s">
        <v>2084</v>
      </c>
      <c r="G128" s="74" t="n">
        <v>46320</v>
      </c>
      <c r="H128" s="71" t="s">
        <v>2085</v>
      </c>
      <c r="I128" s="107" t="str">
        <f aca="false">HYPERLINK("https://www.fnilife.com/client-services/","https://www.fnilife.com/client-services/")</f>
        <v>https://www.fnilife.com/client-services/</v>
      </c>
      <c r="J128" s="107"/>
      <c r="K128" s="71" t="s">
        <v>1733</v>
      </c>
      <c r="L128" s="19" t="s">
        <v>1728</v>
      </c>
    </row>
    <row r="129" customFormat="false" ht="40" hidden="false" customHeight="true" outlineLevel="0" collapsed="false">
      <c r="A129" s="76" t="s">
        <v>2086</v>
      </c>
      <c r="B129" s="77" t="s">
        <v>1067</v>
      </c>
      <c r="C129" s="76" t="s">
        <v>1070</v>
      </c>
      <c r="D129" s="77" t="s">
        <v>1756</v>
      </c>
      <c r="E129" s="76" t="s">
        <v>2074</v>
      </c>
      <c r="F129" s="76" t="s">
        <v>1566</v>
      </c>
      <c r="G129" s="79" t="n">
        <v>46320</v>
      </c>
      <c r="H129" s="77" t="s">
        <v>2042</v>
      </c>
      <c r="I129" s="108" t="str">
        <f aca="false">HYPERLINK("https://www.fnigeneral.com/cargo-insurance/","https://www.fnigeneral.com/cargo-insurance/")</f>
        <v>https://www.fnigeneral.com/cargo-insurance/</v>
      </c>
      <c r="J129" s="108" t="str">
        <f aca="false">HYPERLINK("https://www.fnigeneral.com/wp-content/uploads/2021/09/Inland-Marine-Cargo-ICC-C.pdf","https://www.fnigeneral.com/wp-content/uploads/2021/09/Inland-Marine-Cargo-ICC-C.pdf")</f>
        <v>https://www.fnigeneral.com/wp-content/uploads/2021/09/Inland-Marine-Cargo-ICC-C.pdf</v>
      </c>
      <c r="K129" s="77" t="s">
        <v>1727</v>
      </c>
      <c r="L129" s="19" t="s">
        <v>1728</v>
      </c>
    </row>
    <row r="130" customFormat="false" ht="40" hidden="false" customHeight="true" outlineLevel="0" collapsed="false">
      <c r="A130" s="70" t="s">
        <v>2087</v>
      </c>
      <c r="B130" s="71" t="s">
        <v>1067</v>
      </c>
      <c r="C130" s="70" t="s">
        <v>1070</v>
      </c>
      <c r="D130" s="71" t="s">
        <v>1756</v>
      </c>
      <c r="E130" s="70" t="s">
        <v>2074</v>
      </c>
      <c r="F130" s="70" t="s">
        <v>2088</v>
      </c>
      <c r="G130" s="74" t="n">
        <v>46320</v>
      </c>
      <c r="H130" s="71" t="s">
        <v>2047</v>
      </c>
      <c r="I130" s="107" t="str">
        <f aca="false">HYPERLINK("https://www.fnigeneral.com/fire-insurance/","https://www.fnigeneral.com/fire-insurance/")</f>
        <v>https://www.fnigeneral.com/fire-insurance/</v>
      </c>
      <c r="J130" s="107"/>
      <c r="K130" s="71" t="s">
        <v>1727</v>
      </c>
      <c r="L130" s="19" t="s">
        <v>1728</v>
      </c>
    </row>
    <row r="131" customFormat="false" ht="40" hidden="false" customHeight="true" outlineLevel="0" collapsed="false">
      <c r="A131" s="76" t="s">
        <v>2089</v>
      </c>
      <c r="B131" s="77" t="s">
        <v>1067</v>
      </c>
      <c r="C131" s="76" t="s">
        <v>1070</v>
      </c>
      <c r="D131" s="77" t="s">
        <v>1756</v>
      </c>
      <c r="E131" s="76" t="s">
        <v>2074</v>
      </c>
      <c r="F131" s="76" t="s">
        <v>2090</v>
      </c>
      <c r="G131" s="79" t="n">
        <v>46320</v>
      </c>
      <c r="H131" s="77" t="s">
        <v>2047</v>
      </c>
      <c r="I131" s="108" t="str">
        <f aca="false">HYPERLINK("https://www.fnigeneral.com/marine-hull-insurance/","https://www.fnigeneral.com/marine-hull-insurance/")</f>
        <v>https://www.fnigeneral.com/marine-hull-insurance/</v>
      </c>
      <c r="J131" s="108"/>
      <c r="K131" s="77" t="s">
        <v>1727</v>
      </c>
      <c r="L131" s="19" t="s">
        <v>1728</v>
      </c>
    </row>
    <row r="132" customFormat="false" ht="40" hidden="false" customHeight="true" outlineLevel="0" collapsed="false">
      <c r="A132" s="70" t="s">
        <v>2091</v>
      </c>
      <c r="B132" s="71" t="s">
        <v>1067</v>
      </c>
      <c r="C132" s="70" t="s">
        <v>1070</v>
      </c>
      <c r="D132" s="71" t="s">
        <v>1756</v>
      </c>
      <c r="E132" s="70" t="s">
        <v>2074</v>
      </c>
      <c r="F132" s="70" t="s">
        <v>2092</v>
      </c>
      <c r="G132" s="74" t="n">
        <v>46320</v>
      </c>
      <c r="H132" s="71" t="s">
        <v>2047</v>
      </c>
      <c r="I132" s="107" t="str">
        <f aca="false">HYPERLINK("https://www.fnigeneral.com/oversea-cargo-insurance/","https://www.fnigeneral.com/oversea-cargo-insurance/")</f>
        <v>https://www.fnigeneral.com/oversea-cargo-insurance/</v>
      </c>
      <c r="J132" s="107"/>
      <c r="K132" s="71" t="s">
        <v>1727</v>
      </c>
      <c r="L132" s="19" t="s">
        <v>1728</v>
      </c>
    </row>
    <row r="133" customFormat="false" ht="40" hidden="false" customHeight="true" outlineLevel="0" collapsed="false">
      <c r="A133" s="76" t="s">
        <v>2093</v>
      </c>
      <c r="B133" s="77" t="s">
        <v>1709</v>
      </c>
      <c r="C133" s="76"/>
      <c r="D133" s="77" t="s">
        <v>2094</v>
      </c>
      <c r="E133" s="76" t="s">
        <v>2095</v>
      </c>
      <c r="F133" s="77" t="s">
        <v>2096</v>
      </c>
      <c r="G133" s="79" t="n">
        <v>46320</v>
      </c>
      <c r="H133" s="77" t="s">
        <v>2097</v>
      </c>
      <c r="I133" s="108" t="str">
        <f aca="false">HYPERLINK("https://bancocentral.tl/stats/fin_inst/","https://bancocentral.tl/stats/fin_inst/")</f>
        <v>https://bancocentral.tl/stats/fin_inst/</v>
      </c>
      <c r="J133" s="108"/>
      <c r="K133" s="77" t="s">
        <v>1727</v>
      </c>
      <c r="L133" s="19" t="s">
        <v>1728</v>
      </c>
    </row>
    <row r="134" customFormat="false" ht="40" hidden="false" customHeight="true" outlineLevel="0" collapsed="false">
      <c r="A134" s="70" t="s">
        <v>2098</v>
      </c>
      <c r="B134" s="71" t="s">
        <v>1709</v>
      </c>
      <c r="C134" s="70"/>
      <c r="D134" s="71" t="s">
        <v>2099</v>
      </c>
      <c r="E134" s="70" t="s">
        <v>2100</v>
      </c>
      <c r="F134" s="70" t="s">
        <v>2101</v>
      </c>
      <c r="G134" s="74" t="n">
        <v>46320</v>
      </c>
      <c r="H134" s="71" t="s">
        <v>2012</v>
      </c>
      <c r="I134" s="107" t="str">
        <f aca="false">HYPERLINK("https://tradeinvest.tl/node/files/Factsheets/04_Factsheet_Starting_a_Business.pdf","https://tradeinvest.tl/node/files/Factsheets/04_Factsheet_Starting_a_Business.pdf")</f>
        <v>https://tradeinvest.tl/node/files/Factsheets/04_Factsheet_Starting_a_Business.pdf</v>
      </c>
      <c r="J134" s="107"/>
      <c r="K134" s="71" t="s">
        <v>1727</v>
      </c>
      <c r="L134" s="19" t="s">
        <v>1728</v>
      </c>
    </row>
    <row r="135" customFormat="false" ht="40" hidden="false" customHeight="true" outlineLevel="0" collapsed="false">
      <c r="A135" s="76" t="s">
        <v>2102</v>
      </c>
      <c r="B135" s="77" t="s">
        <v>1709</v>
      </c>
      <c r="C135" s="76" t="s">
        <v>2103</v>
      </c>
      <c r="D135" s="77" t="s">
        <v>1756</v>
      </c>
      <c r="E135" s="76" t="s">
        <v>2104</v>
      </c>
      <c r="F135" s="77" t="s">
        <v>2105</v>
      </c>
      <c r="G135" s="79" t="n">
        <v>46319</v>
      </c>
      <c r="H135" s="77" t="s">
        <v>2106</v>
      </c>
      <c r="I135" s="108" t="str">
        <f aca="false">HYPERLINK("https://www.fedpacinsurance.com/timor-leste-services","https://www.fedpacinsurance.com/timor-leste-services")</f>
        <v>https://www.fedpacinsurance.com/timor-leste-services</v>
      </c>
      <c r="J135" s="108"/>
      <c r="K135" s="77" t="s">
        <v>2107</v>
      </c>
      <c r="L135" s="19" t="s">
        <v>1728</v>
      </c>
    </row>
    <row r="136" customFormat="false" ht="40" hidden="false" customHeight="true" outlineLevel="0" collapsed="false">
      <c r="A136" s="70" t="s">
        <v>1368</v>
      </c>
      <c r="B136" s="71" t="s">
        <v>821</v>
      </c>
      <c r="C136" s="70" t="s">
        <v>1363</v>
      </c>
      <c r="D136" s="71" t="s">
        <v>1756</v>
      </c>
      <c r="E136" s="71" t="s">
        <v>2108</v>
      </c>
      <c r="F136" s="71" t="s">
        <v>2109</v>
      </c>
      <c r="G136" s="74" t="n">
        <v>46317</v>
      </c>
      <c r="H136" s="71" t="s">
        <v>2110</v>
      </c>
      <c r="I136" s="107" t="str">
        <f aca="false">HYPERLINK("https://www.aia.com.hk/en/products/save/simply-love-encore-5.html","https://www.aia.com.hk/en/products/save/simply-love-encore-5.html")</f>
        <v>https://www.aia.com.hk/en/products/save/simply-love-encore-5.html</v>
      </c>
      <c r="J136" s="107"/>
      <c r="K136" s="71" t="s">
        <v>2111</v>
      </c>
      <c r="L136" s="19" t="s">
        <v>1728</v>
      </c>
    </row>
    <row r="137" customFormat="false" ht="40" hidden="false" customHeight="true" outlineLevel="0" collapsed="false">
      <c r="A137" s="76" t="s">
        <v>1371</v>
      </c>
      <c r="B137" s="77" t="s">
        <v>821</v>
      </c>
      <c r="C137" s="76" t="s">
        <v>1369</v>
      </c>
      <c r="D137" s="77" t="s">
        <v>1756</v>
      </c>
      <c r="E137" s="77" t="s">
        <v>2108</v>
      </c>
      <c r="F137" s="77" t="s">
        <v>2112</v>
      </c>
      <c r="G137" s="79" t="n">
        <v>46317</v>
      </c>
      <c r="H137" s="77" t="s">
        <v>2110</v>
      </c>
      <c r="I137" s="108" t="str">
        <f aca="false">HYPERLINK("https://www.manulife.com.hk/en/individual/products/save/savings/goldenstart.html","https://www.manulife.com.hk/en/individual/products/save/savings/goldenstart.html")</f>
        <v>https://www.manulife.com.hk/en/individual/products/save/savings/goldenstart.html</v>
      </c>
      <c r="J137" s="108"/>
      <c r="K137" s="77" t="s">
        <v>2111</v>
      </c>
      <c r="L137" s="19" t="s">
        <v>1728</v>
      </c>
    </row>
    <row r="138" customFormat="false" ht="40" hidden="false" customHeight="true" outlineLevel="0" collapsed="false">
      <c r="A138" s="70" t="s">
        <v>1374</v>
      </c>
      <c r="B138" s="71" t="s">
        <v>821</v>
      </c>
      <c r="C138" s="70" t="s">
        <v>1372</v>
      </c>
      <c r="D138" s="71" t="s">
        <v>1756</v>
      </c>
      <c r="E138" s="71" t="s">
        <v>2108</v>
      </c>
      <c r="F138" s="70" t="s">
        <v>2113</v>
      </c>
      <c r="G138" s="74" t="n">
        <v>46317</v>
      </c>
      <c r="H138" s="71" t="s">
        <v>2110</v>
      </c>
      <c r="I138" s="107" t="str">
        <f aca="false">HYPERLINK("https://www.prudential.com.hk/en/products/save/savings/prime-horizon-insurance-plan/","https://www.prudential.com.hk/en/products/save/savings/prime-horizon-insurance-plan/")</f>
        <v>https://www.prudential.com.hk/en/products/save/savings/prime-horizon-insurance-plan/</v>
      </c>
      <c r="J138" s="107"/>
      <c r="K138" s="71" t="s">
        <v>2111</v>
      </c>
      <c r="L138" s="19" t="s">
        <v>1728</v>
      </c>
    </row>
    <row r="139" customFormat="false" ht="40" hidden="false" customHeight="true" outlineLevel="0" collapsed="false">
      <c r="A139" s="76" t="s">
        <v>1377</v>
      </c>
      <c r="B139" s="77" t="s">
        <v>821</v>
      </c>
      <c r="C139" s="76" t="s">
        <v>1375</v>
      </c>
      <c r="D139" s="77" t="s">
        <v>1756</v>
      </c>
      <c r="E139" s="77" t="s">
        <v>2108</v>
      </c>
      <c r="F139" s="77" t="s">
        <v>2114</v>
      </c>
      <c r="G139" s="79" t="n">
        <v>46317</v>
      </c>
      <c r="H139" s="77" t="s">
        <v>2110</v>
      </c>
      <c r="I139" s="108" t="str">
        <f aca="false">HYPERLINK("https://www.sunlife.com.hk/en/insurance/wealth-management/savings/royalfortune/","https://www.sunlife.com.hk/en/insurance/wealth-management/savings/royalfortune/")</f>
        <v>https://www.sunlife.com.hk/en/insurance/wealth-management/savings/royalfortune/</v>
      </c>
      <c r="J139" s="108"/>
      <c r="K139" s="77" t="s">
        <v>2111</v>
      </c>
      <c r="L139" s="19" t="s">
        <v>1728</v>
      </c>
    </row>
    <row r="140" customFormat="false" ht="40" hidden="false" customHeight="true" outlineLevel="0" collapsed="false">
      <c r="A140" s="70" t="s">
        <v>1381</v>
      </c>
      <c r="B140" s="71" t="s">
        <v>854</v>
      </c>
      <c r="C140" s="70" t="s">
        <v>2115</v>
      </c>
      <c r="D140" s="71" t="s">
        <v>1756</v>
      </c>
      <c r="E140" s="71" t="s">
        <v>2108</v>
      </c>
      <c r="F140" s="70" t="s">
        <v>2116</v>
      </c>
      <c r="G140" s="74" t="n">
        <v>46320</v>
      </c>
      <c r="H140" s="70" t="s">
        <v>2117</v>
      </c>
      <c r="I140" s="107" t="str">
        <f aca="false">HYPERLINK("https://alliedworldinsurance.com/products/personal-lines-singapore/","https://alliedworldinsurance.com/products/personal-lines-singapore/")</f>
        <v>https://alliedworldinsurance.com/products/personal-lines-singapore/</v>
      </c>
      <c r="J140" s="107" t="str">
        <f aca="false">HYPERLINK("https://assets.alliedworld.cloud/awac.com/marketing/asiapacretail/sg/TravelProtectorPolicyWording.pdf","https://assets.alliedworld.cloud/awac.com/marketing/asiapacretail/sg/TravelProtectorPolicyWording.pdf")</f>
        <v>https://assets.alliedworld.cloud/awac.com/marketing/asiapacretail/sg/TravelProtectorPolicyWording.pdf</v>
      </c>
      <c r="K140" s="71" t="s">
        <v>2118</v>
      </c>
      <c r="L140" s="19" t="s">
        <v>1728</v>
      </c>
    </row>
    <row r="141" customFormat="false" ht="40" hidden="false" customHeight="true" outlineLevel="0" collapsed="false">
      <c r="A141" s="76" t="s">
        <v>1385</v>
      </c>
      <c r="B141" s="77" t="s">
        <v>854</v>
      </c>
      <c r="C141" s="76" t="s">
        <v>2115</v>
      </c>
      <c r="D141" s="77" t="s">
        <v>1756</v>
      </c>
      <c r="E141" s="77" t="s">
        <v>2108</v>
      </c>
      <c r="F141" s="76" t="s">
        <v>2119</v>
      </c>
      <c r="G141" s="79" t="n">
        <v>46320</v>
      </c>
      <c r="H141" s="76" t="s">
        <v>2117</v>
      </c>
      <c r="I141" s="108" t="str">
        <f aca="false">HYPERLINK("https://alliedworldinsurance.com/products/personal-lines-singapore/","https://alliedworldinsurance.com/products/personal-lines-singapore/")</f>
        <v>https://alliedworldinsurance.com/products/personal-lines-singapore/</v>
      </c>
      <c r="J141" s="108" t="str">
        <f aca="false">HYPERLINK("https://assets.alliedworld.cloud/awac.com/marketing/asiapacretail/sg/HomeProtector360PolicyWording.pdf","https://assets.alliedworld.cloud/awac.com/marketing/asiapacretail/sg/HomeProtector360PolicyWording.pdf")</f>
        <v>https://assets.alliedworld.cloud/awac.com/marketing/asiapacretail/sg/HomeProtector360PolicyWording.pdf</v>
      </c>
      <c r="K141" s="77" t="s">
        <v>2120</v>
      </c>
      <c r="L141" s="19" t="s">
        <v>1728</v>
      </c>
    </row>
    <row r="142" customFormat="false" ht="40" hidden="false" customHeight="true" outlineLevel="0" collapsed="false">
      <c r="A142" s="70" t="s">
        <v>1389</v>
      </c>
      <c r="B142" s="71" t="s">
        <v>854</v>
      </c>
      <c r="C142" s="70" t="s">
        <v>1911</v>
      </c>
      <c r="D142" s="71" t="s">
        <v>1756</v>
      </c>
      <c r="E142" s="71" t="s">
        <v>2108</v>
      </c>
      <c r="F142" s="70" t="s">
        <v>2121</v>
      </c>
      <c r="G142" s="74" t="n">
        <v>46320</v>
      </c>
      <c r="H142" s="70" t="s">
        <v>2117</v>
      </c>
      <c r="I142" s="107" t="str">
        <f aca="false">HYPERLINK("https://www.utmostgroup.com/document-library/future/business-section/surrender-or-claim/business-topic/policy-conditions","https://www.utmostgroup.com/document-library/future/business-section/surrender-or-claim/business-topic/policy-conditions")</f>
        <v>https://www.utmostgroup.com/document-library/future/business-section/surrender-or-claim/business-topic/policy-conditions</v>
      </c>
      <c r="J142" s="107" t="str">
        <f aca="false">HYPERLINK("https://www.utmostwealthdocs.com/mb/EJYrE9","https://www.utmostwealthdocs.com/mb/EJYrE9")</f>
        <v>https://www.utmostwealthdocs.com/mb/EJYrE9</v>
      </c>
      <c r="K142" s="71" t="s">
        <v>2122</v>
      </c>
      <c r="L142" s="19" t="s">
        <v>1728</v>
      </c>
    </row>
    <row r="143" customFormat="false" ht="40" hidden="false" customHeight="true" outlineLevel="0" collapsed="false">
      <c r="A143" s="76" t="s">
        <v>1393</v>
      </c>
      <c r="B143" s="77" t="s">
        <v>872</v>
      </c>
      <c r="C143" s="76" t="s">
        <v>876</v>
      </c>
      <c r="D143" s="77" t="s">
        <v>1756</v>
      </c>
      <c r="E143" s="77" t="s">
        <v>2108</v>
      </c>
      <c r="F143" s="76" t="s">
        <v>2123</v>
      </c>
      <c r="G143" s="79" t="n">
        <v>46320</v>
      </c>
      <c r="H143" s="76" t="s">
        <v>2124</v>
      </c>
      <c r="I143" s="108" t="str">
        <f aca="false">HYPERLINK("https://www.sunlifemalaysia.com/client-care/downloads/","https://www.sunlifemalaysia.com/client-care/downloads/")</f>
        <v>https://www.sunlifemalaysia.com/client-care/downloads/</v>
      </c>
      <c r="J143" s="108" t="str">
        <f aca="false">HYPERLINK("https://www.sunlifemalaysia.com/getContentAsset/6076794f-8bb8-4ad7-832b-eee76e0a82f9/826411a5-9a44-43a6-8410-a7ad95da6d70/3.pdf","https://www.sunlifemalaysia.com/getContentAsset/6076794f-8bb8-4ad7-832b-eee76e0a82f9/826411a5-9a44-43a6-8410-a7ad95da6d70/3.pdf")</f>
        <v>https://www.sunlifemalaysia.com/getContentAsset/6076794f-8bb8-4ad7-832b-eee76e0a82f9/826411a5-9a44-43a6-8410-a7ad95da6d70/3.pdf</v>
      </c>
      <c r="K143" s="77" t="s">
        <v>2125</v>
      </c>
      <c r="L143" s="19" t="s">
        <v>1728</v>
      </c>
    </row>
    <row r="144" customFormat="false" ht="40" hidden="false" customHeight="true" outlineLevel="0" collapsed="false">
      <c r="A144" s="70" t="s">
        <v>1395</v>
      </c>
      <c r="B144" s="71" t="s">
        <v>872</v>
      </c>
      <c r="C144" s="70" t="s">
        <v>876</v>
      </c>
      <c r="D144" s="71" t="s">
        <v>1756</v>
      </c>
      <c r="E144" s="71" t="s">
        <v>2108</v>
      </c>
      <c r="F144" s="70" t="s">
        <v>2126</v>
      </c>
      <c r="G144" s="74" t="n">
        <v>46320</v>
      </c>
      <c r="H144" s="70" t="s">
        <v>2124</v>
      </c>
      <c r="I144" s="107" t="str">
        <f aca="false">HYPERLINK("https://www.sunlifemalaysia.com/client-care/downloads/","https://www.sunlifemalaysia.com/client-care/downloads/")</f>
        <v>https://www.sunlifemalaysia.com/client-care/downloads/</v>
      </c>
      <c r="J144" s="107" t="str">
        <f aca="false">HYPERLINK("https://www.sunlifemalaysia.com/getContentAsset/610b17e8-6ce7-4801-99fa-8cdd97eb1d70/826411a5-9a44-43a6-8410-a7ad95da6d70/Biz-Shield-Master-Policy-Website-_1.pdf?language=en","https://www.sunlifemalaysia.com/getContentAsset/610b17e8-6ce7-4801-99fa-8cdd97eb1d70/826411a5-9a44-43a6-8410-a7ad95da6d70/Biz-Shield-Master-Policy-Website-_1.pdf?language=en")</f>
        <v>https://www.sunlifemalaysia.com/getContentAsset/610b17e8-6ce7-4801-99fa-8cdd97eb1d70/826411a5-9a44-43a6-8410-a7ad95da6d70/Biz-Shield-Master-Policy-Website-_1.pdf?language=en</v>
      </c>
      <c r="K144" s="71" t="s">
        <v>2125</v>
      </c>
      <c r="L144" s="19" t="s">
        <v>1728</v>
      </c>
    </row>
    <row r="145" customFormat="false" ht="40" hidden="false" customHeight="true" outlineLevel="0" collapsed="false">
      <c r="A145" s="76" t="s">
        <v>1397</v>
      </c>
      <c r="B145" s="77" t="s">
        <v>872</v>
      </c>
      <c r="C145" s="76" t="s">
        <v>883</v>
      </c>
      <c r="D145" s="77" t="s">
        <v>1756</v>
      </c>
      <c r="E145" s="77" t="s">
        <v>2108</v>
      </c>
      <c r="F145" s="76" t="s">
        <v>2127</v>
      </c>
      <c r="G145" s="79" t="n">
        <v>46320</v>
      </c>
      <c r="H145" s="76" t="s">
        <v>2124</v>
      </c>
      <c r="I145" s="108" t="str">
        <f aca="false">HYPERLINK("https://www.sunlifemalaysia.com/client-care/downloads/","https://www.sunlifemalaysia.com/client-care/downloads/")</f>
        <v>https://www.sunlifemalaysia.com/client-care/downloads/</v>
      </c>
      <c r="J145" s="108" t="str">
        <f aca="false">HYPERLINK("https://www.sunlifemalaysia.com/getContentAsset/960d8e6f-3255-4bfd-ab33-90eb2ca3d194/826411a5-9a44-43a6-8410-a7ad95da6d70/GTT-ADB-Master-Contract-ILP-Protection_Final-Website.pdf","https://www.sunlifemalaysia.com/getContentAsset/960d8e6f-3255-4bfd-ab33-90eb2ca3d194/826411a5-9a44-43a6-8410-a7ad95da6d70/GTT-ADB-Master-Contract-ILP-Protection_Final-Website.pdf")</f>
        <v>https://www.sunlifemalaysia.com/getContentAsset/960d8e6f-3255-4bfd-ab33-90eb2ca3d194/826411a5-9a44-43a6-8410-a7ad95da6d70/GTT-ADB-Master-Contract-ILP-Protection_Final-Website.pdf</v>
      </c>
      <c r="K145" s="77" t="s">
        <v>2125</v>
      </c>
      <c r="L145" s="19" t="s">
        <v>1728</v>
      </c>
    </row>
    <row r="146" customFormat="false" ht="40" hidden="false" customHeight="true" outlineLevel="0" collapsed="false">
      <c r="A146" s="70" t="s">
        <v>1399</v>
      </c>
      <c r="B146" s="71" t="s">
        <v>872</v>
      </c>
      <c r="C146" s="70" t="s">
        <v>883</v>
      </c>
      <c r="D146" s="71" t="s">
        <v>1756</v>
      </c>
      <c r="E146" s="71" t="s">
        <v>2108</v>
      </c>
      <c r="F146" s="70" t="s">
        <v>2128</v>
      </c>
      <c r="G146" s="74" t="n">
        <v>46320</v>
      </c>
      <c r="H146" s="70" t="s">
        <v>2124</v>
      </c>
      <c r="I146" s="107" t="str">
        <f aca="false">HYPERLINK("https://www.sunlifemalaysia.com/client-care/downloads/","https://www.sunlifemalaysia.com/client-care/downloads/")</f>
        <v>https://www.sunlifemalaysia.com/client-care/downloads/</v>
      </c>
      <c r="J146" s="107" t="str">
        <f aca="false">HYPERLINK("https://www.sunlifemalaysia.com/getContentAsset/61e0309e-561d-4241-bc0a-f776ee2f1656/826411a5-9a44-43a6-8410-a7ad95da6d70/GTT-Master-Contract-Protection-with-Purpose-Campaign_Final-Website.pdf","https://www.sunlifemalaysia.com/getContentAsset/61e0309e-561d-4241-bc0a-f776ee2f1656/826411a5-9a44-43a6-8410-a7ad95da6d70/GTT-Master-Contract-Protection-with-Purpose-Campaign_Final-Website.pdf")</f>
        <v>https://www.sunlifemalaysia.com/getContentAsset/61e0309e-561d-4241-bc0a-f776ee2f1656/826411a5-9a44-43a6-8410-a7ad95da6d70/GTT-Master-Contract-Protection-with-Purpose-Campaign_Final-Website.pdf</v>
      </c>
      <c r="K146" s="71" t="s">
        <v>2125</v>
      </c>
      <c r="L146" s="19" t="s">
        <v>1728</v>
      </c>
    </row>
    <row r="147" customFormat="false" ht="40" hidden="false" customHeight="true" outlineLevel="0" collapsed="false">
      <c r="A147" s="76" t="s">
        <v>1401</v>
      </c>
      <c r="B147" s="77" t="s">
        <v>872</v>
      </c>
      <c r="C147" s="76" t="s">
        <v>883</v>
      </c>
      <c r="D147" s="77" t="s">
        <v>1756</v>
      </c>
      <c r="E147" s="77" t="s">
        <v>2108</v>
      </c>
      <c r="F147" s="76" t="s">
        <v>2129</v>
      </c>
      <c r="G147" s="79" t="n">
        <v>46320</v>
      </c>
      <c r="H147" s="76" t="s">
        <v>2124</v>
      </c>
      <c r="I147" s="108" t="str">
        <f aca="false">HYPERLINK("https://www.sunlifemalaysia.com/client-care/downloads/","https://www.sunlifemalaysia.com/client-care/downloads/")</f>
        <v>https://www.sunlifemalaysia.com/client-care/downloads/</v>
      </c>
      <c r="J147" s="108" t="str">
        <f aca="false">HYPERLINK("https://www.sunlifemalaysia.com/getContentAsset/213f7bfa-3dd9-47b8-bf7b-1951a0f3eea6/826411a5-9a44-43a6-8410-a7ad95da6d70/Mortgage-Reducing-Term-Takaful-with-Funeral-Benefit-2020-Master-Contract.pdf","https://www.sunlifemalaysia.com/getContentAsset/213f7bfa-3dd9-47b8-bf7b-1951a0f3eea6/826411a5-9a44-43a6-8410-a7ad95da6d70/Mortgage-Reducing-Term-Takaful-with-Funeral-Benefit-2020-Master-Contract.pdf")</f>
        <v>https://www.sunlifemalaysia.com/getContentAsset/213f7bfa-3dd9-47b8-bf7b-1951a0f3eea6/826411a5-9a44-43a6-8410-a7ad95da6d70/Mortgage-Reducing-Term-Takaful-with-Funeral-Benefit-2020-Master-Contract.pdf</v>
      </c>
      <c r="K147" s="77" t="s">
        <v>2125</v>
      </c>
      <c r="L147" s="19" t="s">
        <v>1728</v>
      </c>
    </row>
    <row r="148" customFormat="false" ht="47.6" hidden="false" customHeight="true" outlineLevel="0" collapsed="false">
      <c r="A148" s="81" t="s">
        <v>1406</v>
      </c>
      <c r="B148" s="82" t="s">
        <v>872</v>
      </c>
      <c r="C148" s="81" t="s">
        <v>883</v>
      </c>
      <c r="D148" s="82" t="s">
        <v>2130</v>
      </c>
      <c r="E148" s="81" t="s">
        <v>1402</v>
      </c>
      <c r="F148" s="82" t="s">
        <v>2131</v>
      </c>
      <c r="G148" s="85" t="n">
        <v>46320</v>
      </c>
      <c r="H148" s="82" t="s">
        <v>893</v>
      </c>
      <c r="I148" s="109" t="str">
        <f aca="false">HYPERLINK("https://www.sunlifemalaysia.com/client-care/downloads/","https://www.sunlifemalaysia.com/client-care/downloads/")</f>
        <v>https://www.sunlifemalaysia.com/client-care/downloads/</v>
      </c>
      <c r="J148" s="109" t="str">
        <f aca="false">HYPERLINK("https://www.sunlifemalaysia.com/getContentAsset/8aaefef9-1f66-4052-9388-07ddbeae46a3/826411a5-9a44-43a6-8410-a7ad95da6d70/GTT-ADB-Certificate-of-Takaful_Eng_clean.pdf","https://www.sunlifemalaysia.com/getContentAsset/8aaefef9-1f66-4052-9388-07ddbeae46a3/826411a5-9a44-43a6-8410-a7ad95da6d70/GTT-ADB-Certificate-of-Takaful_Eng_clean.pdf")</f>
        <v>https://www.sunlifemalaysia.com/getContentAsset/8aaefef9-1f66-4052-9388-07ddbeae46a3/826411a5-9a44-43a6-8410-a7ad95da6d70/GTT-ADB-Certificate-of-Takaful_Eng_clean.pdf</v>
      </c>
      <c r="K148" s="82" t="s">
        <v>2132</v>
      </c>
      <c r="L148" s="19" t="s">
        <v>896</v>
      </c>
    </row>
    <row r="149" customFormat="false" ht="47.6" hidden="false" customHeight="true" outlineLevel="0" collapsed="false">
      <c r="A149" s="81" t="s">
        <v>1408</v>
      </c>
      <c r="B149" s="82" t="s">
        <v>872</v>
      </c>
      <c r="C149" s="81" t="s">
        <v>876</v>
      </c>
      <c r="D149" s="82" t="s">
        <v>2130</v>
      </c>
      <c r="E149" s="81" t="s">
        <v>1407</v>
      </c>
      <c r="F149" s="82" t="s">
        <v>2131</v>
      </c>
      <c r="G149" s="85" t="n">
        <v>46320</v>
      </c>
      <c r="H149" s="86" t="s">
        <v>900</v>
      </c>
      <c r="I149" s="109" t="str">
        <f aca="false">HYPERLINK("https://www.sunlifemalaysia.com/client-care/downloads/","https://www.sunlifemalaysia.com/client-care/downloads/")</f>
        <v>https://www.sunlifemalaysia.com/client-care/downloads/</v>
      </c>
      <c r="J149" s="109" t="str">
        <f aca="false">HYPERLINK("https://www.sunlifemalaysia.com/getContentAsset/b0d32ea5-ee15-4b7b-8ae8-cca6b7e488d5/826411a5-9a44-43a6-8410-a7ad95da6d70/4-Credit-Protector-Plus-Master-Policy-Website-_0725.pdf?language=en","https://www.sunlifemalaysia.com/getContentAsset/b0d32ea5-ee15-4b7b-8ae8-cca6b7e488d5/826411a5-9a44-43a6-8410-a7ad95da6d70/4-Credit-Protector-Plus-Master-Policy-Website-_0725.pdf?language=en")</f>
        <v>https://www.sunlifemalaysia.com/getContentAsset/b0d32ea5-ee15-4b7b-8ae8-cca6b7e488d5/826411a5-9a44-43a6-8410-a7ad95da6d70/4-Credit-Protector-Plus-Master-Policy-Website-_0725.pdf?language=en</v>
      </c>
      <c r="K149" s="82" t="s">
        <v>2132</v>
      </c>
      <c r="L149" s="19" t="s">
        <v>896</v>
      </c>
    </row>
    <row r="150" customFormat="false" ht="47.6" hidden="false" customHeight="true" outlineLevel="0" collapsed="false">
      <c r="A150" s="81" t="s">
        <v>1410</v>
      </c>
      <c r="B150" s="82" t="s">
        <v>872</v>
      </c>
      <c r="C150" s="81" t="s">
        <v>883</v>
      </c>
      <c r="D150" s="82" t="s">
        <v>2130</v>
      </c>
      <c r="E150" s="81" t="s">
        <v>1409</v>
      </c>
      <c r="F150" s="82" t="s">
        <v>2131</v>
      </c>
      <c r="G150" s="85" t="n">
        <v>46320</v>
      </c>
      <c r="H150" s="82" t="s">
        <v>904</v>
      </c>
      <c r="I150" s="109" t="str">
        <f aca="false">HYPERLINK("https://www.sunlifemalaysia.com/client-care/downloads/","https://www.sunlifemalaysia.com/client-care/downloads/")</f>
        <v>https://www.sunlifemalaysia.com/client-care/downloads/</v>
      </c>
      <c r="J150" s="109" t="str">
        <f aca="false">HYPERLINK("https://www.sunlifemalaysia.com/getContentAsset/2cf27d1c-4e58-4fc2-8103-390ab3c31561/826411a5-9a44-43a6-8410-a7ad95da6d70/2-Biz-Shield-i_Master-Contract-Website-_0725.pdf?language=en","https://www.sunlifemalaysia.com/getContentAsset/2cf27d1c-4e58-4fc2-8103-390ab3c31561/826411a5-9a44-43a6-8410-a7ad95da6d70/2-Biz-Shield-i_Master-Contract-Website-_0725.pdf?language=en")</f>
        <v>https://www.sunlifemalaysia.com/getContentAsset/2cf27d1c-4e58-4fc2-8103-390ab3c31561/826411a5-9a44-43a6-8410-a7ad95da6d70/2-Biz-Shield-i_Master-Contract-Website-_0725.pdf?language=en</v>
      </c>
      <c r="K150" s="82" t="s">
        <v>2132</v>
      </c>
      <c r="L150" s="19" t="s">
        <v>896</v>
      </c>
    </row>
    <row r="151" customFormat="false" ht="47.6" hidden="false" customHeight="true" outlineLevel="0" collapsed="false">
      <c r="A151" s="81" t="s">
        <v>1412</v>
      </c>
      <c r="B151" s="82" t="s">
        <v>872</v>
      </c>
      <c r="C151" s="81" t="s">
        <v>876</v>
      </c>
      <c r="D151" s="82" t="s">
        <v>2130</v>
      </c>
      <c r="E151" s="81" t="s">
        <v>1411</v>
      </c>
      <c r="F151" s="82" t="s">
        <v>2131</v>
      </c>
      <c r="G151" s="85" t="n">
        <v>46320</v>
      </c>
      <c r="H151" s="86" t="s">
        <v>908</v>
      </c>
      <c r="I151" s="109" t="str">
        <f aca="false">HYPERLINK("https://www.sunlifemalaysia.com/client-care/downloads/","https://www.sunlifemalaysia.com/client-care/downloads/")</f>
        <v>https://www.sunlifemalaysia.com/client-care/downloads/</v>
      </c>
      <c r="J151" s="109" t="str">
        <f aca="false">HYPERLINK("https://www.sunlifemalaysia.com/getContentAsset/acd1b8b0-9a5c-482d-a169-dabf170531c5/826411a5-9a44-43a6-8410-a7ad95da6d70/10-Sun-Auto-Life-Master-Policy-Website-_0725.pdf?language=en","https://www.sunlifemalaysia.com/getContentAsset/acd1b8b0-9a5c-482d-a169-dabf170531c5/826411a5-9a44-43a6-8410-a7ad95da6d70/10-Sun-Auto-Life-Master-Policy-Website-_0725.pdf?language=en")</f>
        <v>https://www.sunlifemalaysia.com/getContentAsset/acd1b8b0-9a5c-482d-a169-dabf170531c5/826411a5-9a44-43a6-8410-a7ad95da6d70/10-Sun-Auto-Life-Master-Policy-Website-_0725.pdf?language=en</v>
      </c>
      <c r="K151" s="82" t="s">
        <v>2132</v>
      </c>
      <c r="L151" s="19" t="s">
        <v>896</v>
      </c>
    </row>
    <row r="152" customFormat="false" ht="60.8" hidden="false" customHeight="true" outlineLevel="0" collapsed="false">
      <c r="A152" s="81" t="s">
        <v>1414</v>
      </c>
      <c r="B152" s="82" t="s">
        <v>872</v>
      </c>
      <c r="C152" s="81" t="s">
        <v>876</v>
      </c>
      <c r="D152" s="82" t="s">
        <v>2130</v>
      </c>
      <c r="E152" s="81" t="s">
        <v>1413</v>
      </c>
      <c r="F152" s="82" t="s">
        <v>2131</v>
      </c>
      <c r="G152" s="85" t="n">
        <v>46320</v>
      </c>
      <c r="H152" s="86" t="s">
        <v>912</v>
      </c>
      <c r="I152" s="109" t="str">
        <f aca="false">HYPERLINK("https://www.sunlifemalaysia.com/client-care/downloads/","https://www.sunlifemalaysia.com/client-care/downloads/")</f>
        <v>https://www.sunlifemalaysia.com/client-care/downloads/</v>
      </c>
      <c r="J152" s="109" t="str">
        <f aca="false">HYPERLINK("https://www.sunlifemalaysia.com/getContentAsset/4dbfc640-f67e-4d0c-9ce7-66d8107eddfd/826411a5-9a44-43a6-8410-a7ad95da6d70/GTL-Certificate-of-insurance-for-CIMB-Client-_Eng-BM_Repriced-MRTA-MLTA_PlanA-Website_1.pdf","https://www.sunlifemalaysia.com/getContentAsset/4dbfc640-f67e-4d0c-9ce7-66d8107eddfd/826411a5-9a44-43a6-8410-a7ad95da6d70/GTL-Certificate-of-insurance-for-CIMB-Client-_Eng-BM_Repriced-MRTA-MLTA_PlanA-Website_1.pdf")</f>
        <v>https://www.sunlifemalaysia.com/getContentAsset/4dbfc640-f67e-4d0c-9ce7-66d8107eddfd/826411a5-9a44-43a6-8410-a7ad95da6d70/GTL-Certificate-of-insurance-for-CIMB-Client-_Eng-BM_Repriced-MRTA-MLTA_PlanA-Website_1.pdf</v>
      </c>
      <c r="K152" s="82" t="s">
        <v>2132</v>
      </c>
      <c r="L152" s="19" t="s">
        <v>896</v>
      </c>
    </row>
    <row r="153" customFormat="false" ht="47.6" hidden="false" customHeight="true" outlineLevel="0" collapsed="false">
      <c r="A153" s="81" t="s">
        <v>1418</v>
      </c>
      <c r="B153" s="82" t="s">
        <v>821</v>
      </c>
      <c r="C153" s="81" t="s">
        <v>919</v>
      </c>
      <c r="D153" s="82" t="s">
        <v>2133</v>
      </c>
      <c r="E153" s="82" t="s">
        <v>1415</v>
      </c>
      <c r="F153" s="82" t="s">
        <v>2131</v>
      </c>
      <c r="G153" s="85" t="n">
        <v>46317</v>
      </c>
      <c r="H153" s="82" t="s">
        <v>916</v>
      </c>
      <c r="I153" s="109" t="str">
        <f aca="false">HYPERLINK("https://www.yflife.com/tc/product/savings/beyond-infinity-savings-insurance-plan/","https://www.yflife.com/tc/product/savings/beyond-infinity-savings-insurance-plan/")</f>
        <v>https://www.yflife.com/tc/product/savings/beyond-infinity-savings-insurance-plan/</v>
      </c>
      <c r="J153" s="109"/>
      <c r="K153" s="82" t="s">
        <v>2132</v>
      </c>
      <c r="L153" s="19" t="s">
        <v>896</v>
      </c>
    </row>
    <row r="154" customFormat="false" ht="34.4" hidden="false" customHeight="true" outlineLevel="0" collapsed="false">
      <c r="A154" s="81" t="s">
        <v>1420</v>
      </c>
      <c r="B154" s="82" t="s">
        <v>821</v>
      </c>
      <c r="C154" s="81" t="s">
        <v>925</v>
      </c>
      <c r="D154" s="82" t="s">
        <v>2133</v>
      </c>
      <c r="E154" s="82" t="s">
        <v>1419</v>
      </c>
      <c r="F154" s="82" t="s">
        <v>2131</v>
      </c>
      <c r="G154" s="85" t="n">
        <v>46319</v>
      </c>
      <c r="H154" s="82" t="s">
        <v>923</v>
      </c>
      <c r="I154" s="109" t="str">
        <f aca="false">HYPERLINK("https://www.fubonlife.com.hk/life_hk/html/tc/products/wealth_horizon_multi_currency.html","https://www.fubonlife.com.hk/life_hk/html/tc/products/wealth_horizon_multi_currency.html")</f>
        <v>https://www.fubonlife.com.hk/life_hk/html/tc/products/wealth_horizon_multi_currency.html</v>
      </c>
      <c r="J154" s="109"/>
      <c r="K154" s="82" t="s">
        <v>2132</v>
      </c>
      <c r="L154" s="19" t="s">
        <v>896</v>
      </c>
    </row>
    <row r="155" customFormat="false" ht="60.8" hidden="false" customHeight="true" outlineLevel="0" collapsed="false">
      <c r="A155" s="81" t="s">
        <v>1422</v>
      </c>
      <c r="B155" s="82" t="s">
        <v>821</v>
      </c>
      <c r="C155" s="81" t="s">
        <v>930</v>
      </c>
      <c r="D155" s="82" t="s">
        <v>2133</v>
      </c>
      <c r="E155" s="81" t="s">
        <v>1421</v>
      </c>
      <c r="F155" s="82" t="s">
        <v>2131</v>
      </c>
      <c r="G155" s="85" t="n">
        <v>46319</v>
      </c>
      <c r="H155" s="82" t="s">
        <v>928</v>
      </c>
      <c r="I155" s="109" t="str">
        <f aca="false">HYPERLINK("https://www.hklife.com.hk/en/products/personal-insurance/savings-plan/prime-prestige-savings-insurance-plan/index.html","https://www.hklife.com.hk/en/products/personal-insurance/savings-plan/prime-prestige-savings-insurance-plan/index.html")</f>
        <v>https://www.hklife.com.hk/en/products/personal-insurance/savings-plan/prime-prestige-savings-insurance-plan/index.html</v>
      </c>
      <c r="J155" s="109"/>
      <c r="K155" s="82" t="s">
        <v>2132</v>
      </c>
      <c r="L155" s="19" t="s">
        <v>896</v>
      </c>
    </row>
    <row r="156" customFormat="false" ht="47.6" hidden="false" customHeight="true" outlineLevel="0" collapsed="false">
      <c r="A156" s="81" t="s">
        <v>1424</v>
      </c>
      <c r="B156" s="82" t="s">
        <v>821</v>
      </c>
      <c r="C156" s="81" t="s">
        <v>935</v>
      </c>
      <c r="D156" s="82" t="s">
        <v>2133</v>
      </c>
      <c r="E156" s="81" t="s">
        <v>1423</v>
      </c>
      <c r="F156" s="82" t="s">
        <v>2131</v>
      </c>
      <c r="G156" s="85" t="n">
        <v>46319</v>
      </c>
      <c r="H156" s="82" t="s">
        <v>933</v>
      </c>
      <c r="I156" s="109" t="str">
        <f aca="false">HYPERLINK("https://life.zurich.com.hk/en/products/swiss-fortune-universal-life-insurance-plan/","https://life.zurich.com.hk/en/products/swiss-fortune-universal-life-insurance-plan/")</f>
        <v>https://life.zurich.com.hk/en/products/swiss-fortune-universal-life-insurance-plan/</v>
      </c>
      <c r="J156" s="109"/>
      <c r="K156" s="82" t="s">
        <v>2132</v>
      </c>
      <c r="L156" s="19" t="s">
        <v>896</v>
      </c>
    </row>
    <row r="157" customFormat="false" ht="47.6" hidden="false" customHeight="true" outlineLevel="0" collapsed="false">
      <c r="A157" s="81" t="s">
        <v>1429</v>
      </c>
      <c r="B157" s="82" t="s">
        <v>938</v>
      </c>
      <c r="C157" s="81" t="s">
        <v>942</v>
      </c>
      <c r="D157" s="82" t="s">
        <v>2130</v>
      </c>
      <c r="E157" s="81" t="s">
        <v>1425</v>
      </c>
      <c r="F157" s="82" t="s">
        <v>2131</v>
      </c>
      <c r="G157" s="85" t="n">
        <v>46320</v>
      </c>
      <c r="H157" s="86" t="s">
        <v>939</v>
      </c>
      <c r="I157" s="109" t="str">
        <f aca="false">HYPERLINK("https://dai-ichilife.com.kh/pages/product/easycare/","https://dai-ichilife.com.kh/pages/product/easycare/")</f>
        <v>https://dai-ichilife.com.kh/pages/product/easycare/</v>
      </c>
      <c r="J157" s="109" t="str">
        <f aca="false">HYPERLINK("https://dai-ichilife.com.kh/pages/wp-content/uploads/2024/04/Policy-Terms-and-Conditions_EasyCare_Update101125.pdf","https://dai-ichilife.com.kh/pages/wp-content/uploads/2024/04/Policy-Terms-and-Conditions_EasyCare_Update101125.pdf")</f>
        <v>https://dai-ichilife.com.kh/pages/wp-content/uploads/2024/04/Policy-Terms-and-Conditions_EasyCare_Update101125.pdf</v>
      </c>
      <c r="K157" s="82" t="s">
        <v>2132</v>
      </c>
      <c r="L157" s="19" t="s">
        <v>896</v>
      </c>
    </row>
    <row r="158" customFormat="false" ht="74" hidden="false" customHeight="true" outlineLevel="0" collapsed="false">
      <c r="A158" s="81" t="s">
        <v>1431</v>
      </c>
      <c r="B158" s="82" t="s">
        <v>938</v>
      </c>
      <c r="C158" s="81" t="s">
        <v>948</v>
      </c>
      <c r="D158" s="82" t="s">
        <v>2130</v>
      </c>
      <c r="E158" s="81" t="s">
        <v>1430</v>
      </c>
      <c r="F158" s="81" t="s">
        <v>2134</v>
      </c>
      <c r="G158" s="85" t="n">
        <v>46320</v>
      </c>
      <c r="H158" s="86" t="s">
        <v>946</v>
      </c>
      <c r="I158" s="109" t="str">
        <f aca="false">HYPERLINK("https://www.tuneprotect.com/airasia/cambodia/en/product/comprehensive-travel-insurance-plus-plan/","https://www.tuneprotect.com/airasia/cambodia/en/product/comprehensive-travel-insurance-plus-plan/")</f>
        <v>https://www.tuneprotect.com/airasia/cambodia/en/product/comprehensive-travel-insurance-plus-plan/</v>
      </c>
      <c r="J158" s="109" t="str">
        <f aca="false">HYPERLINK("https://s3.ap-southeast-1.amazonaws.com/tuneprotect.com/airasia/tpaa/sites/8/TPAA_CA_PW_DuoPlan.pdf","https://s3.ap-southeast-1.amazonaws.com/tuneprotect.com/airasia/tpaa/sites/8/TPAA_CA_PW_DuoPlan.pdf")</f>
        <v>https://s3.ap-southeast-1.amazonaws.com/tuneprotect.com/airasia/tpaa/sites/8/TPAA_CA_PW_DuoPlan.pdf</v>
      </c>
      <c r="K158" s="82" t="s">
        <v>2132</v>
      </c>
      <c r="L158" s="19" t="s">
        <v>896</v>
      </c>
    </row>
    <row r="159" customFormat="false" ht="49.6" hidden="false" customHeight="true" outlineLevel="0" collapsed="false">
      <c r="A159" s="88" t="s">
        <v>1436</v>
      </c>
      <c r="B159" s="89" t="s">
        <v>872</v>
      </c>
      <c r="C159" s="88" t="s">
        <v>876</v>
      </c>
      <c r="D159" s="89" t="s">
        <v>2135</v>
      </c>
      <c r="E159" s="88" t="s">
        <v>1432</v>
      </c>
      <c r="F159" s="89" t="s">
        <v>2136</v>
      </c>
      <c r="G159" s="93" t="n">
        <v>46320</v>
      </c>
      <c r="H159" s="89" t="s">
        <v>951</v>
      </c>
      <c r="I159" s="110" t="str">
        <f aca="false">HYPERLINK("https://www.sunlifemalaysia.com/client-care/downloads/","https://www.sunlifemalaysia.com/client-care/downloads/")</f>
        <v>https://www.sunlifemalaysia.com/client-care/downloads/</v>
      </c>
      <c r="J159" s="110" t="str">
        <f aca="false">HYPERLINK("https://www.sunlifemalaysia.com/getContentAsset/edd09104-85f6-44c4-bace-f1f2ee79c041/826411a5-9a44-43a6-8410-a7ad95da6d70/3-Cash-Plus-Assurance-Master-Policy-Website-_0725.pdf?language=en","https://www.sunlifemalaysia.com/getContentAsset/edd09104-85f6-44c4-bace-f1f2ee79c041/826411a5-9a44-43a6-8410-a7ad95da6d70/3-Cash-Plus-Assurance-Master-Policy-Website-_0725.pdf?language=en")</f>
        <v>https://www.sunlifemalaysia.com/getContentAsset/edd09104-85f6-44c4-bace-f1f2ee79c041/826411a5-9a44-43a6-8410-a7ad95da6d70/3-Cash-Plus-Assurance-Master-Policy-Website-_0725.pdf?language=en</v>
      </c>
      <c r="K159" s="89" t="s">
        <v>2137</v>
      </c>
      <c r="L159" s="27" t="s">
        <v>954</v>
      </c>
    </row>
    <row r="160" customFormat="false" ht="36.4" hidden="false" customHeight="true" outlineLevel="0" collapsed="false">
      <c r="A160" s="88" t="s">
        <v>1438</v>
      </c>
      <c r="B160" s="89" t="s">
        <v>872</v>
      </c>
      <c r="C160" s="88" t="s">
        <v>876</v>
      </c>
      <c r="D160" s="89" t="s">
        <v>2135</v>
      </c>
      <c r="E160" s="88" t="s">
        <v>1437</v>
      </c>
      <c r="F160" s="89" t="s">
        <v>2136</v>
      </c>
      <c r="G160" s="93" t="n">
        <v>46320</v>
      </c>
      <c r="H160" s="89" t="s">
        <v>964</v>
      </c>
      <c r="I160" s="110" t="str">
        <f aca="false">HYPERLINK("https://www.sunlifemalaysia.com/client-care/downloads/","https://www.sunlifemalaysia.com/client-care/downloads/")</f>
        <v>https://www.sunlifemalaysia.com/client-care/downloads/</v>
      </c>
      <c r="J160" s="110" t="str">
        <f aca="false">HYPERLINK("https://www.sunlifemalaysia.com/getContentAsset/0c98bbb9-6869-41ca-a9af-2fb601b431ef/826411a5-9a44-43a6-8410-a7ad95da6d70/17.pdf","https://www.sunlifemalaysia.com/getContentAsset/0c98bbb9-6869-41ca-a9af-2fb601b431ef/826411a5-9a44-43a6-8410-a7ad95da6d70/17.pdf")</f>
        <v>https://www.sunlifemalaysia.com/getContentAsset/0c98bbb9-6869-41ca-a9af-2fb601b431ef/826411a5-9a44-43a6-8410-a7ad95da6d70/17.pdf</v>
      </c>
      <c r="K160" s="89" t="s">
        <v>2137</v>
      </c>
      <c r="L160" s="27" t="s">
        <v>954</v>
      </c>
    </row>
    <row r="161" customFormat="false" ht="49.6" hidden="false" customHeight="true" outlineLevel="0" collapsed="false">
      <c r="A161" s="88" t="s">
        <v>1440</v>
      </c>
      <c r="B161" s="89" t="s">
        <v>872</v>
      </c>
      <c r="C161" s="88" t="s">
        <v>883</v>
      </c>
      <c r="D161" s="89" t="s">
        <v>2135</v>
      </c>
      <c r="E161" s="88" t="s">
        <v>1439</v>
      </c>
      <c r="F161" s="89" t="s">
        <v>2136</v>
      </c>
      <c r="G161" s="93" t="n">
        <v>46320</v>
      </c>
      <c r="H161" s="89" t="s">
        <v>968</v>
      </c>
      <c r="I161" s="110" t="str">
        <f aca="false">HYPERLINK("https://www.sunlifemalaysia.com/client-care/downloads/","https://www.sunlifemalaysia.com/client-care/downloads/")</f>
        <v>https://www.sunlifemalaysia.com/client-care/downloads/</v>
      </c>
      <c r="J161" s="110" t="str">
        <f aca="false">HYPERLINK("https://www.sunlifemalaysia.com/getContentAsset/1ede502a-d84d-48f5-a9c9-34d208235829/826411a5-9a44-43a6-8410-a7ad95da6d70/MLTT-2024_Master-Contract_20260317-website.pdf","https://www.sunlifemalaysia.com/getContentAsset/1ede502a-d84d-48f5-a9c9-34d208235829/826411a5-9a44-43a6-8410-a7ad95da6d70/MLTT-2024_Master-Contract_20260317-website.pdf")</f>
        <v>https://www.sunlifemalaysia.com/getContentAsset/1ede502a-d84d-48f5-a9c9-34d208235829/826411a5-9a44-43a6-8410-a7ad95da6d70/MLTT-2024_Master-Contract_20260317-website.pdf</v>
      </c>
      <c r="K161" s="89" t="s">
        <v>2137</v>
      </c>
      <c r="L161" s="27" t="s">
        <v>954</v>
      </c>
    </row>
    <row r="162" customFormat="false" ht="49.6" hidden="false" customHeight="true" outlineLevel="0" collapsed="false">
      <c r="A162" s="88" t="s">
        <v>1442</v>
      </c>
      <c r="B162" s="89" t="s">
        <v>872</v>
      </c>
      <c r="C162" s="88" t="s">
        <v>883</v>
      </c>
      <c r="D162" s="89" t="s">
        <v>2135</v>
      </c>
      <c r="E162" s="88" t="s">
        <v>1441</v>
      </c>
      <c r="F162" s="89" t="s">
        <v>2136</v>
      </c>
      <c r="G162" s="93" t="n">
        <v>46320</v>
      </c>
      <c r="H162" s="89" t="s">
        <v>972</v>
      </c>
      <c r="I162" s="110" t="str">
        <f aca="false">HYPERLINK("https://www.sunlifemalaysia.com/client-care/downloads/","https://www.sunlifemalaysia.com/client-care/downloads/")</f>
        <v>https://www.sunlifemalaysia.com/client-care/downloads/</v>
      </c>
      <c r="J162" s="110" t="str">
        <f aca="false">HYPERLINK("https://www.sunlifemalaysia.com/getContentAsset/d11ae144-c1b8-44b2-8c66-25c05af0cf4c/826411a5-9a44-43a6-8410-a7ad95da6d70/Lestari-Care-Master-Contract.pdf","https://www.sunlifemalaysia.com/getContentAsset/d11ae144-c1b8-44b2-8c66-25c05af0cf4c/826411a5-9a44-43a6-8410-a7ad95da6d70/Lestari-Care-Master-Contract.pdf")</f>
        <v>https://www.sunlifemalaysia.com/getContentAsset/d11ae144-c1b8-44b2-8c66-25c05af0cf4c/826411a5-9a44-43a6-8410-a7ad95da6d70/Lestari-Care-Master-Contract.pdf</v>
      </c>
      <c r="K162" s="89" t="s">
        <v>2137</v>
      </c>
      <c r="L162" s="27" t="s">
        <v>954</v>
      </c>
    </row>
    <row r="163" customFormat="false" ht="49.6" hidden="false" customHeight="true" outlineLevel="0" collapsed="false">
      <c r="A163" s="88" t="s">
        <v>1444</v>
      </c>
      <c r="B163" s="89" t="s">
        <v>872</v>
      </c>
      <c r="C163" s="88" t="s">
        <v>883</v>
      </c>
      <c r="D163" s="89" t="s">
        <v>2135</v>
      </c>
      <c r="E163" s="88" t="s">
        <v>1443</v>
      </c>
      <c r="F163" s="89" t="s">
        <v>2136</v>
      </c>
      <c r="G163" s="93" t="n">
        <v>46320</v>
      </c>
      <c r="H163" s="89" t="s">
        <v>976</v>
      </c>
      <c r="I163" s="110" t="str">
        <f aca="false">HYPERLINK("https://www.sunlifemalaysia.com/client-care/downloads/","https://www.sunlifemalaysia.com/client-care/downloads/")</f>
        <v>https://www.sunlifemalaysia.com/client-care/downloads/</v>
      </c>
      <c r="J163" s="110" t="str">
        <f aca="false">HYPERLINK("https://www.sunlifemalaysia.com/getContentAsset/095606fa-0d5e-4b85-bfdd-4542b6be67e0/826411a5-9a44-43a6-8410-a7ad95da6d70/14-Sun-Cover-i-Master-Contract-Website-_0725.pdf?language=en","https://www.sunlifemalaysia.com/getContentAsset/095606fa-0d5e-4b85-bfdd-4542b6be67e0/826411a5-9a44-43a6-8410-a7ad95da6d70/14-Sun-Cover-i-Master-Contract-Website-_0725.pdf?language=en")</f>
        <v>https://www.sunlifemalaysia.com/getContentAsset/095606fa-0d5e-4b85-bfdd-4542b6be67e0/826411a5-9a44-43a6-8410-a7ad95da6d70/14-Sun-Cover-i-Master-Contract-Website-_0725.pdf?language=en</v>
      </c>
      <c r="K163" s="89" t="s">
        <v>2137</v>
      </c>
      <c r="L163" s="27" t="s">
        <v>954</v>
      </c>
    </row>
    <row r="164" customFormat="false" ht="36.4" hidden="false" customHeight="true" outlineLevel="0" collapsed="false">
      <c r="A164" s="88" t="s">
        <v>1449</v>
      </c>
      <c r="B164" s="89" t="s">
        <v>821</v>
      </c>
      <c r="C164" s="88" t="s">
        <v>983</v>
      </c>
      <c r="D164" s="89" t="s">
        <v>2138</v>
      </c>
      <c r="E164" s="88" t="s">
        <v>1445</v>
      </c>
      <c r="F164" s="89" t="s">
        <v>2136</v>
      </c>
      <c r="G164" s="93" t="n">
        <v>46317</v>
      </c>
      <c r="H164" s="89" t="s">
        <v>980</v>
      </c>
      <c r="I164" s="110" t="str">
        <f aca="false">HYPERLINK("https://www.hsbc.com.hk/insurance/products/savings-and-retirement/goal-access-universal-education/","https://www.hsbc.com.hk/insurance/products/savings-and-retirement/goal-access-universal-education/")</f>
        <v>https://www.hsbc.com.hk/insurance/products/savings-and-retirement/goal-access-universal-education/</v>
      </c>
      <c r="J164" s="110"/>
      <c r="K164" s="89" t="s">
        <v>2139</v>
      </c>
      <c r="L164" s="27" t="s">
        <v>954</v>
      </c>
    </row>
    <row r="165" customFormat="false" ht="36.4" hidden="false" customHeight="true" outlineLevel="0" collapsed="false">
      <c r="A165" s="88" t="s">
        <v>1451</v>
      </c>
      <c r="B165" s="89" t="s">
        <v>821</v>
      </c>
      <c r="C165" s="88" t="s">
        <v>992</v>
      </c>
      <c r="D165" s="89" t="s">
        <v>2138</v>
      </c>
      <c r="E165" s="89" t="s">
        <v>2140</v>
      </c>
      <c r="F165" s="89" t="s">
        <v>2136</v>
      </c>
      <c r="G165" s="93" t="n">
        <v>46317</v>
      </c>
      <c r="H165" s="89" t="s">
        <v>980</v>
      </c>
      <c r="I165" s="110" t="str">
        <f aca="false">HYPERLINK("https://www.hangseng.com/zh-hk/personal/insurance-mpf/retirement-wealth-education/legend-power-supreme/","https://www.hangseng.com/zh-hk/personal/insurance-mpf/retirement-wealth-education/legend-power-supreme/")</f>
        <v>https://www.hangseng.com/zh-hk/personal/insurance-mpf/retirement-wealth-education/legend-power-supreme/</v>
      </c>
      <c r="J165" s="110"/>
      <c r="K165" s="89" t="s">
        <v>2139</v>
      </c>
      <c r="L165" s="27" t="s">
        <v>954</v>
      </c>
    </row>
    <row r="166" customFormat="false" ht="36.4" hidden="false" customHeight="true" outlineLevel="0" collapsed="false">
      <c r="A166" s="88" t="s">
        <v>1456</v>
      </c>
      <c r="B166" s="89" t="s">
        <v>995</v>
      </c>
      <c r="C166" s="88" t="s">
        <v>998</v>
      </c>
      <c r="D166" s="89" t="s">
        <v>2135</v>
      </c>
      <c r="E166" s="88" t="s">
        <v>1452</v>
      </c>
      <c r="F166" s="89" t="s">
        <v>2136</v>
      </c>
      <c r="G166" s="93" t="n">
        <v>46320</v>
      </c>
      <c r="H166" s="89" t="s">
        <v>996</v>
      </c>
      <c r="I166" s="110" t="str">
        <f aca="false">HYPERLINK("https://www.manulife.com.vn/vi/san-pham-bao-hiem/danh-muc-dieu-khoan-san-pham/dieu-khoan-san-pham-chinh.html","https://www.manulife.com.vn/vi/san-pham-bao-hiem/danh-muc-dieu-khoan-san-pham/dieu-khoan-san-pham-chinh.html")</f>
        <v>https://www.manulife.com.vn/vi/san-pham-bao-hiem/danh-muc-dieu-khoan-san-pham/dieu-khoan-san-pham-chinh.html</v>
      </c>
      <c r="J166" s="110" t="str">
        <f aca="false">HYPERLINK("https://www.manulife.com.vn/content/dam/insurance/vn/documents/about-us/pd_brochure-scb/tam-an-360/dieu-khoan-san-pham.pdf","https://www.manulife.com.vn/content/dam/insurance/vn/documents/about-us/pd_brochure-scb/tam-an-360/dieu-khoan-san-pham.pdf")</f>
        <v>https://www.manulife.com.vn/content/dam/insurance/vn/documents/about-us/pd_brochure-scb/tam-an-360/dieu-khoan-san-pham.pdf</v>
      </c>
      <c r="K166" s="89" t="s">
        <v>2141</v>
      </c>
      <c r="L166" s="27" t="s">
        <v>954</v>
      </c>
    </row>
    <row r="167" customFormat="false" ht="36.4" hidden="false" customHeight="true" outlineLevel="0" collapsed="false">
      <c r="A167" s="88" t="s">
        <v>1458</v>
      </c>
      <c r="B167" s="89" t="s">
        <v>995</v>
      </c>
      <c r="C167" s="88" t="s">
        <v>998</v>
      </c>
      <c r="D167" s="89" t="s">
        <v>2135</v>
      </c>
      <c r="E167" s="88" t="s">
        <v>1457</v>
      </c>
      <c r="F167" s="89" t="s">
        <v>2136</v>
      </c>
      <c r="G167" s="93" t="n">
        <v>46320</v>
      </c>
      <c r="H167" s="89" t="s">
        <v>1005</v>
      </c>
      <c r="I167" s="110" t="str">
        <f aca="false">HYPERLINK("https://www.manulife.com.vn/vi/san-pham-bao-hiem/danh-muc-dieu-khoan-san-pham/dieu-khoan-san-pham-chinh.html","https://www.manulife.com.vn/vi/san-pham-bao-hiem/danh-muc-dieu-khoan-san-pham/dieu-khoan-san-pham-chinh.html")</f>
        <v>https://www.manulife.com.vn/vi/san-pham-bao-hiem/danh-muc-dieu-khoan-san-pham/dieu-khoan-san-pham-chinh.html</v>
      </c>
      <c r="J167" s="110" t="str">
        <f aca="false">HYPERLINK("https://www.manulife.com.vn/content/dam/insurance/vn/documents/ngan-hang/brochure/scb/Quy-Tac-Va-Dieu-Khoan-Song-Khoe-Moi-Ngay.pdf","https://www.manulife.com.vn/content/dam/insurance/vn/documents/ngan-hang/brochure/scb/Quy-Tac-Va-Dieu-Khoan-Song-Khoe-Moi-Ngay.pdf")</f>
        <v>https://www.manulife.com.vn/content/dam/insurance/vn/documents/ngan-hang/brochure/scb/Quy-Tac-Va-Dieu-Khoan-Song-Khoe-Moi-Ngay.pdf</v>
      </c>
      <c r="K167" s="89" t="s">
        <v>2141</v>
      </c>
      <c r="L167" s="27" t="s">
        <v>954</v>
      </c>
    </row>
    <row r="168" customFormat="false" ht="36.4" hidden="false" customHeight="true" outlineLevel="0" collapsed="false">
      <c r="A168" s="88" t="s">
        <v>1463</v>
      </c>
      <c r="B168" s="89" t="s">
        <v>938</v>
      </c>
      <c r="C168" s="88" t="s">
        <v>1013</v>
      </c>
      <c r="D168" s="89" t="s">
        <v>2135</v>
      </c>
      <c r="E168" s="88" t="s">
        <v>1459</v>
      </c>
      <c r="F168" s="89" t="s">
        <v>2136</v>
      </c>
      <c r="G168" s="93" t="n">
        <v>46320</v>
      </c>
      <c r="H168" s="89" t="s">
        <v>1010</v>
      </c>
      <c r="I168" s="110" t="str">
        <f aca="false">HYPERLINK("https://www.forteinsurance.com/individuals-and-families/travel-insurance/","https://www.forteinsurance.com/individuals-and-families/travel-insurance/")</f>
        <v>https://www.forteinsurance.com/individuals-and-families/travel-insurance/</v>
      </c>
      <c r="J168" s="110" t="str">
        <f aca="false">HYPERLINK("https://www.forteinsurance.com/uploads/travel-policy-wording.pdf","https://www.forteinsurance.com/uploads/travel-policy-wording.pdf")</f>
        <v>https://www.forteinsurance.com/uploads/travel-policy-wording.pdf</v>
      </c>
      <c r="K168" s="89" t="s">
        <v>2142</v>
      </c>
      <c r="L168" s="27" t="s">
        <v>954</v>
      </c>
    </row>
    <row r="169" customFormat="false" ht="49.6" hidden="false" customHeight="true" outlineLevel="0" collapsed="false">
      <c r="A169" s="88" t="s">
        <v>1468</v>
      </c>
      <c r="B169" s="89" t="s">
        <v>872</v>
      </c>
      <c r="C169" s="88" t="s">
        <v>883</v>
      </c>
      <c r="D169" s="89" t="s">
        <v>2135</v>
      </c>
      <c r="E169" s="88" t="s">
        <v>1464</v>
      </c>
      <c r="F169" s="89" t="s">
        <v>2136</v>
      </c>
      <c r="G169" s="93" t="n">
        <v>46320</v>
      </c>
      <c r="H169" s="94" t="s">
        <v>1020</v>
      </c>
      <c r="I169" s="110" t="str">
        <f aca="false">HYPERLINK("https://www.sunlifemalaysia.com/client-care/downloads/","https://www.sunlifemalaysia.com/client-care/downloads/")</f>
        <v>https://www.sunlifemalaysia.com/client-care/downloads/</v>
      </c>
      <c r="J169" s="110" t="str">
        <f aca="false">HYPERLINK("https://www.sunlifemalaysia.com/getContentAsset/c3769015-c092-47d6-a492-51f308c06a08/826411a5-9a44-43a6-8410-a7ad95da6d70/Group-Term-Takaful-Master-Contract_Eng_GTTPW_01Jul26_Final-Web.pdf","https://www.sunlifemalaysia.com/getContentAsset/c3769015-c092-47d6-a492-51f308c06a08/826411a5-9a44-43a6-8410-a7ad95da6d70/Group-Term-Takaful-Master-Contract_Eng_GTTPW_01Jul26_Final-Web.pdf")</f>
        <v>https://www.sunlifemalaysia.com/getContentAsset/c3769015-c092-47d6-a492-51f308c06a08/826411a5-9a44-43a6-8410-a7ad95da6d70/Group-Term-Takaful-Master-Contract_Eng_GTTPW_01Jul26_Final-Web.pdf</v>
      </c>
      <c r="K169" s="89" t="s">
        <v>2143</v>
      </c>
      <c r="L169" s="27" t="s">
        <v>1022</v>
      </c>
    </row>
    <row r="170" customFormat="false" ht="49.6" hidden="false" customHeight="true" outlineLevel="0" collapsed="false">
      <c r="A170" s="88" t="s">
        <v>1471</v>
      </c>
      <c r="B170" s="89" t="s">
        <v>872</v>
      </c>
      <c r="C170" s="88" t="s">
        <v>883</v>
      </c>
      <c r="D170" s="89" t="s">
        <v>2135</v>
      </c>
      <c r="E170" s="88" t="s">
        <v>1469</v>
      </c>
      <c r="F170" s="89" t="s">
        <v>2136</v>
      </c>
      <c r="G170" s="93" t="n">
        <v>46320</v>
      </c>
      <c r="H170" s="94" t="s">
        <v>1028</v>
      </c>
      <c r="I170" s="110" t="str">
        <f aca="false">HYPERLINK("https://www.sunlifemalaysia.com/client-care/downloads/","https://www.sunlifemalaysia.com/client-care/downloads/")</f>
        <v>https://www.sunlifemalaysia.com/client-care/downloads/</v>
      </c>
      <c r="J170" s="110" t="str">
        <f aca="false">HYPERLINK("https://www.sunlifemalaysia.com/getContentAsset/125b56b8-67d0-41b4-b872-bbd71638ccb9/826411a5-9a44-43a6-8410-a7ad95da6d70/GTT-Master-Contract_Eng_GTTCW_-Final-_Web.pdf","https://www.sunlifemalaysia.com/getContentAsset/125b56b8-67d0-41b4-b872-bbd71638ccb9/826411a5-9a44-43a6-8410-a7ad95da6d70/GTT-Master-Contract_Eng_GTTCW_-Final-_Web.pdf")</f>
        <v>https://www.sunlifemalaysia.com/getContentAsset/125b56b8-67d0-41b4-b872-bbd71638ccb9/826411a5-9a44-43a6-8410-a7ad95da6d70/GTT-Master-Contract_Eng_GTTCW_-Final-_Web.pdf</v>
      </c>
      <c r="K170" s="89" t="s">
        <v>2143</v>
      </c>
      <c r="L170" s="27" t="s">
        <v>1022</v>
      </c>
    </row>
    <row r="171" customFormat="false" ht="49.6" hidden="false" customHeight="true" outlineLevel="0" collapsed="false">
      <c r="A171" s="88" t="s">
        <v>1474</v>
      </c>
      <c r="B171" s="89" t="s">
        <v>872</v>
      </c>
      <c r="C171" s="88" t="s">
        <v>883</v>
      </c>
      <c r="D171" s="89" t="s">
        <v>2135</v>
      </c>
      <c r="E171" s="88" t="s">
        <v>1472</v>
      </c>
      <c r="F171" s="89" t="s">
        <v>2136</v>
      </c>
      <c r="G171" s="93" t="n">
        <v>46320</v>
      </c>
      <c r="H171" s="94" t="s">
        <v>1032</v>
      </c>
      <c r="I171" s="110" t="str">
        <f aca="false">HYPERLINK("https://www.sunlifemalaysia.com/client-care/downloads/","https://www.sunlifemalaysia.com/client-care/downloads/")</f>
        <v>https://www.sunlifemalaysia.com/client-care/downloads/</v>
      </c>
      <c r="J171" s="110" t="str">
        <f aca="false">HYPERLINK("https://www.sunlifemalaysia.com/getContentAsset/973097ec-196e-4007-9dfa-efff1a8669b8/826411a5-9a44-43a6-8410-a7ad95da6d70/1-GTT-Master-Contract_CIMB-Bank-Berhad_GTTCIMB1024_Website.pdf?language=en","https://www.sunlifemalaysia.com/getContentAsset/973097ec-196e-4007-9dfa-efff1a8669b8/826411a5-9a44-43a6-8410-a7ad95da6d70/1-GTT-Master-Contract_CIMB-Bank-Berhad_GTTCIMB1024_Website.pdf?language=en")</f>
        <v>https://www.sunlifemalaysia.com/getContentAsset/973097ec-196e-4007-9dfa-efff1a8669b8/826411a5-9a44-43a6-8410-a7ad95da6d70/1-GTT-Master-Contract_CIMB-Bank-Berhad_GTTCIMB1024_Website.pdf?language=en</v>
      </c>
      <c r="K171" s="89" t="s">
        <v>2143</v>
      </c>
      <c r="L171" s="27" t="s">
        <v>1022</v>
      </c>
    </row>
    <row r="172" customFormat="false" ht="49.6" hidden="false" customHeight="true" outlineLevel="0" collapsed="false">
      <c r="A172" s="88" t="s">
        <v>1477</v>
      </c>
      <c r="B172" s="89" t="s">
        <v>872</v>
      </c>
      <c r="C172" s="88" t="s">
        <v>883</v>
      </c>
      <c r="D172" s="89" t="s">
        <v>2135</v>
      </c>
      <c r="E172" s="88" t="s">
        <v>1475</v>
      </c>
      <c r="F172" s="89" t="s">
        <v>2136</v>
      </c>
      <c r="G172" s="93" t="n">
        <v>46320</v>
      </c>
      <c r="H172" s="94" t="s">
        <v>1036</v>
      </c>
      <c r="I172" s="110" t="str">
        <f aca="false">HYPERLINK("https://www.sunlifemalaysia.com/client-care/downloads/","https://www.sunlifemalaysia.com/client-care/downloads/")</f>
        <v>https://www.sunlifemalaysia.com/client-care/downloads/</v>
      </c>
      <c r="J172" s="110" t="str">
        <f aca="false">HYPERLINK("https://www.sunlifemalaysia.com/getContentAsset/9ff4f866-5b4a-4e1f-b366-a60637b2aec1/826411a5-9a44-43a6-8410-a7ad95da6d70/BSP-i-with-ROC-Level-_Master-Contract-Endt-Eng-BM-_v1-0_12022026_Website_.pdf","https://www.sunlifemalaysia.com/getContentAsset/9ff4f866-5b4a-4e1f-b366-a60637b2aec1/826411a5-9a44-43a6-8410-a7ad95da6d70/BSP-i-with-ROC-Level-_Master-Contract-Endt-Eng-BM-_v1-0_12022026_Website_.pdf")</f>
        <v>https://www.sunlifemalaysia.com/getContentAsset/9ff4f866-5b4a-4e1f-b366-a60637b2aec1/826411a5-9a44-43a6-8410-a7ad95da6d70/BSP-i-with-ROC-Level-_Master-Contract-Endt-Eng-BM-_v1-0_12022026_Website_.pdf</v>
      </c>
      <c r="K172" s="89" t="s">
        <v>2143</v>
      </c>
      <c r="L172" s="27" t="s">
        <v>1022</v>
      </c>
    </row>
    <row r="173" customFormat="false" ht="49.6" hidden="false" customHeight="true" outlineLevel="0" collapsed="false">
      <c r="A173" s="88" t="s">
        <v>1480</v>
      </c>
      <c r="B173" s="89" t="s">
        <v>872</v>
      </c>
      <c r="C173" s="88" t="s">
        <v>883</v>
      </c>
      <c r="D173" s="89" t="s">
        <v>2135</v>
      </c>
      <c r="E173" s="88" t="s">
        <v>1478</v>
      </c>
      <c r="F173" s="89" t="s">
        <v>2136</v>
      </c>
      <c r="G173" s="93" t="n">
        <v>46320</v>
      </c>
      <c r="H173" s="94" t="s">
        <v>1040</v>
      </c>
      <c r="I173" s="110" t="str">
        <f aca="false">HYPERLINK("https://www.sunlifemalaysia.com/client-care/downloads/","https://www.sunlifemalaysia.com/client-care/downloads/")</f>
        <v>https://www.sunlifemalaysia.com/client-care/downloads/</v>
      </c>
      <c r="J173" s="110" t="str">
        <f aca="false">HYPERLINK("https://www.sunlifemalaysia.com/getContentAsset/375d81f8-1a3d-45a2-8ffe-c1ce7aca8795/826411a5-9a44-43a6-8410-a7ad95da6d70/BSP-i-with-ROC-Reducing-_Master-Contract-Endt-Eng-BM-_v1-0_12022026_Website_.pdf","https://www.sunlifemalaysia.com/getContentAsset/375d81f8-1a3d-45a2-8ffe-c1ce7aca8795/826411a5-9a44-43a6-8410-a7ad95da6d70/BSP-i-with-ROC-Reducing-_Master-Contract-Endt-Eng-BM-_v1-0_12022026_Website_.pdf")</f>
        <v>https://www.sunlifemalaysia.com/getContentAsset/375d81f8-1a3d-45a2-8ffe-c1ce7aca8795/826411a5-9a44-43a6-8410-a7ad95da6d70/BSP-i-with-ROC-Reducing-_Master-Contract-Endt-Eng-BM-_v1-0_12022026_Website_.pdf</v>
      </c>
      <c r="K173" s="89" t="s">
        <v>2143</v>
      </c>
      <c r="L173" s="27" t="s">
        <v>1022</v>
      </c>
    </row>
    <row r="174" customFormat="false" ht="49.6" hidden="false" customHeight="true" outlineLevel="0" collapsed="false">
      <c r="A174" s="88" t="s">
        <v>1486</v>
      </c>
      <c r="B174" s="89" t="s">
        <v>872</v>
      </c>
      <c r="C174" s="89" t="s">
        <v>1481</v>
      </c>
      <c r="D174" s="89" t="s">
        <v>2144</v>
      </c>
      <c r="E174" s="88" t="s">
        <v>2145</v>
      </c>
      <c r="F174" s="89" t="s">
        <v>2136</v>
      </c>
      <c r="G174" s="93"/>
      <c r="H174" s="89" t="s">
        <v>1044</v>
      </c>
      <c r="I174" s="110"/>
      <c r="J174" s="110"/>
      <c r="K174" s="89" t="s">
        <v>2146</v>
      </c>
      <c r="L174" s="27" t="s">
        <v>1022</v>
      </c>
    </row>
    <row r="175" customFormat="false" ht="49.6" hidden="false" customHeight="true" outlineLevel="0" collapsed="false">
      <c r="A175" s="88" t="s">
        <v>1489</v>
      </c>
      <c r="B175" s="89" t="s">
        <v>872</v>
      </c>
      <c r="C175" s="89" t="s">
        <v>1481</v>
      </c>
      <c r="D175" s="89" t="s">
        <v>2144</v>
      </c>
      <c r="E175" s="88" t="s">
        <v>2147</v>
      </c>
      <c r="F175" s="89" t="s">
        <v>2136</v>
      </c>
      <c r="G175" s="93"/>
      <c r="H175" s="89" t="s">
        <v>1053</v>
      </c>
      <c r="I175" s="110"/>
      <c r="J175" s="110"/>
      <c r="K175" s="89" t="s">
        <v>2146</v>
      </c>
      <c r="L175" s="27" t="s">
        <v>1022</v>
      </c>
    </row>
    <row r="176" customFormat="false" ht="36.4" hidden="false" customHeight="true" outlineLevel="0" collapsed="false">
      <c r="A176" s="88" t="s">
        <v>1494</v>
      </c>
      <c r="B176" s="89" t="s">
        <v>1057</v>
      </c>
      <c r="C176" s="88" t="s">
        <v>1061</v>
      </c>
      <c r="D176" s="89" t="s">
        <v>2135</v>
      </c>
      <c r="E176" s="88" t="s">
        <v>1490</v>
      </c>
      <c r="F176" s="88" t="s">
        <v>2148</v>
      </c>
      <c r="G176" s="93" t="n">
        <v>46320</v>
      </c>
      <c r="H176" s="94" t="s">
        <v>1058</v>
      </c>
      <c r="I176" s="110" t="str">
        <f aca="false">HYPERLINK("https://www.mag.co.id/download/","https://www.mag.co.id/download/")</f>
        <v>https://www.mag.co.id/download/</v>
      </c>
      <c r="J176" s="110" t="str">
        <f aca="false">HYPERLINK("https://www.mag.co.id/wp-content/uploads/2021/09/PSATSI-Asuransi-TerorismeSabotase.pdf","https://www.mag.co.id/wp-content/uploads/2021/09/PSATSI-Asuransi-TerorismeSabotase.pdf")</f>
        <v>https://www.mag.co.id/wp-content/uploads/2021/09/PSATSI-Asuransi-TerorismeSabotase.pdf</v>
      </c>
      <c r="K176" s="89" t="s">
        <v>2149</v>
      </c>
      <c r="L176" s="27" t="s">
        <v>1022</v>
      </c>
    </row>
    <row r="177" customFormat="false" ht="36.4" hidden="false" customHeight="true" outlineLevel="0" collapsed="false">
      <c r="A177" s="88" t="s">
        <v>1499</v>
      </c>
      <c r="B177" s="89" t="s">
        <v>1067</v>
      </c>
      <c r="C177" s="88" t="s">
        <v>1070</v>
      </c>
      <c r="D177" s="89" t="s">
        <v>2135</v>
      </c>
      <c r="E177" s="88" t="s">
        <v>1495</v>
      </c>
      <c r="F177" s="89" t="s">
        <v>2136</v>
      </c>
      <c r="G177" s="93" t="n">
        <v>46320</v>
      </c>
      <c r="H177" s="94" t="s">
        <v>1068</v>
      </c>
      <c r="I177" s="110" t="str">
        <f aca="false">HYPERLINK("https://www.fnigeneral.com/fire-insurance/","https://www.fnigeneral.com/fire-insurance/")</f>
        <v>https://www.fnigeneral.com/fire-insurance/</v>
      </c>
      <c r="J177" s="110" t="str">
        <f aca="false">HYPERLINK("https://www.fnigeneral.com/wp-content/uploads/2021/09/DECLARATION-POLICIES.pdf","https://www.fnigeneral.com/wp-content/uploads/2021/09/DECLARATION-POLICIES.pdf")</f>
        <v>https://www.fnigeneral.com/wp-content/uploads/2021/09/DECLARATION-POLICIES.pdf</v>
      </c>
      <c r="K177" s="89" t="s">
        <v>2150</v>
      </c>
      <c r="L177" s="27" t="s">
        <v>1022</v>
      </c>
    </row>
    <row r="178" customFormat="false" ht="36.4" hidden="false" customHeight="true" outlineLevel="0" collapsed="false">
      <c r="A178" s="88" t="s">
        <v>1502</v>
      </c>
      <c r="B178" s="89" t="s">
        <v>1067</v>
      </c>
      <c r="C178" s="88" t="s">
        <v>1070</v>
      </c>
      <c r="D178" s="89" t="s">
        <v>2135</v>
      </c>
      <c r="E178" s="88" t="s">
        <v>1495</v>
      </c>
      <c r="F178" s="89" t="s">
        <v>2136</v>
      </c>
      <c r="G178" s="93" t="n">
        <v>46320</v>
      </c>
      <c r="H178" s="94" t="s">
        <v>1076</v>
      </c>
      <c r="I178" s="110" t="str">
        <f aca="false">HYPERLINK("https://www.fnigeneral.com/fire-insurance/","https://www.fnigeneral.com/fire-insurance/")</f>
        <v>https://www.fnigeneral.com/fire-insurance/</v>
      </c>
      <c r="J178" s="110" t="str">
        <f aca="false">HYPERLINK("https://www.fnigeneral.com/wp-content/uploads/2021/10/Fire-Endorsements-English-Vr2.pdf","https://www.fnigeneral.com/wp-content/uploads/2021/10/Fire-Endorsements-English-Vr2.pdf")</f>
        <v>https://www.fnigeneral.com/wp-content/uploads/2021/10/Fire-Endorsements-English-Vr2.pdf</v>
      </c>
      <c r="K178" s="89" t="s">
        <v>2150</v>
      </c>
      <c r="L178" s="27" t="s">
        <v>1022</v>
      </c>
    </row>
    <row r="179" customFormat="false" ht="62.8" hidden="false" customHeight="true" outlineLevel="0" collapsed="false">
      <c r="A179" s="88" t="s">
        <v>1506</v>
      </c>
      <c r="B179" s="89" t="s">
        <v>821</v>
      </c>
      <c r="C179" s="88" t="s">
        <v>983</v>
      </c>
      <c r="D179" s="89" t="s">
        <v>2138</v>
      </c>
      <c r="E179" s="88" t="s">
        <v>1503</v>
      </c>
      <c r="F179" s="89" t="s">
        <v>2136</v>
      </c>
      <c r="G179" s="93" t="n">
        <v>46317</v>
      </c>
      <c r="H179" s="89" t="s">
        <v>1080</v>
      </c>
      <c r="I179" s="110" t="str">
        <f aca="false">HYPERLINK("https://www.hsbc.com.hk/insurance/products/savings-and-retirement/income-goal/","https://www.hsbc.com.hk/insurance/products/savings-and-retirement/income-goal/")</f>
        <v>https://www.hsbc.com.hk/insurance/products/savings-and-retirement/income-goal/</v>
      </c>
      <c r="J179" s="110"/>
      <c r="K179" s="89" t="s">
        <v>2151</v>
      </c>
      <c r="L179" s="27" t="s">
        <v>1082</v>
      </c>
    </row>
    <row r="180" customFormat="false" ht="49.6" hidden="false" customHeight="true" outlineLevel="0" collapsed="false">
      <c r="A180" s="88" t="s">
        <v>1508</v>
      </c>
      <c r="B180" s="89" t="s">
        <v>821</v>
      </c>
      <c r="C180" s="88" t="s">
        <v>983</v>
      </c>
      <c r="D180" s="89" t="s">
        <v>2138</v>
      </c>
      <c r="E180" s="88" t="s">
        <v>1507</v>
      </c>
      <c r="F180" s="89" t="s">
        <v>2136</v>
      </c>
      <c r="G180" s="93" t="n">
        <v>46317</v>
      </c>
      <c r="H180" s="89" t="s">
        <v>1086</v>
      </c>
      <c r="I180" s="110" t="str">
        <f aca="false">HYPERLINK("https://www.hsbc.com.hk/insurance/products/savings-and-retirement/luminous-global/","https://www.hsbc.com.hk/insurance/products/savings-and-retirement/luminous-global/")</f>
        <v>https://www.hsbc.com.hk/insurance/products/savings-and-retirement/luminous-global/</v>
      </c>
      <c r="J180" s="110"/>
      <c r="K180" s="89" t="s">
        <v>2152</v>
      </c>
      <c r="L180" s="27" t="s">
        <v>1082</v>
      </c>
    </row>
    <row r="181" customFormat="false" ht="62.8" hidden="false" customHeight="true" outlineLevel="0" collapsed="false">
      <c r="A181" s="88" t="s">
        <v>1510</v>
      </c>
      <c r="B181" s="89" t="s">
        <v>821</v>
      </c>
      <c r="C181" s="88" t="s">
        <v>983</v>
      </c>
      <c r="D181" s="89" t="s">
        <v>2138</v>
      </c>
      <c r="E181" s="88" t="s">
        <v>1509</v>
      </c>
      <c r="F181" s="89" t="s">
        <v>2136</v>
      </c>
      <c r="G181" s="93" t="n">
        <v>46317</v>
      </c>
      <c r="H181" s="89" t="s">
        <v>1080</v>
      </c>
      <c r="I181" s="110" t="str">
        <f aca="false">HYPERLINK("https://www.hsbc.com.hk/insurance/products/life/goal-access-universal/","https://www.hsbc.com.hk/insurance/products/life/goal-access-universal/")</f>
        <v>https://www.hsbc.com.hk/insurance/products/life/goal-access-universal/</v>
      </c>
      <c r="J181" s="110"/>
      <c r="K181" s="89" t="s">
        <v>2153</v>
      </c>
      <c r="L181" s="27" t="s">
        <v>1082</v>
      </c>
    </row>
    <row r="182" customFormat="false" ht="49.6" hidden="false" customHeight="true" outlineLevel="0" collapsed="false">
      <c r="A182" s="88" t="s">
        <v>1512</v>
      </c>
      <c r="B182" s="89" t="s">
        <v>821</v>
      </c>
      <c r="C182" s="88" t="s">
        <v>992</v>
      </c>
      <c r="D182" s="89" t="s">
        <v>2138</v>
      </c>
      <c r="E182" s="89" t="s">
        <v>2154</v>
      </c>
      <c r="F182" s="89" t="s">
        <v>2136</v>
      </c>
      <c r="G182" s="93" t="n">
        <v>46317</v>
      </c>
      <c r="H182" s="89" t="s">
        <v>980</v>
      </c>
      <c r="I182" s="110" t="str">
        <f aca="false">HYPERLINK("https://www.hangseng.com/zh-hk/personal/insurance-mpf/retirement-wealth-education/legend-power2/","https://www.hangseng.com/zh-hk/personal/insurance-mpf/retirement-wealth-education/legend-power2/")</f>
        <v>https://www.hangseng.com/zh-hk/personal/insurance-mpf/retirement-wealth-education/legend-power2/</v>
      </c>
      <c r="J182" s="110"/>
      <c r="K182" s="89" t="s">
        <v>2155</v>
      </c>
      <c r="L182" s="27" t="s">
        <v>1082</v>
      </c>
    </row>
    <row r="183" customFormat="false" ht="62.8" hidden="false" customHeight="true" outlineLevel="0" collapsed="false">
      <c r="A183" s="88" t="s">
        <v>1514</v>
      </c>
      <c r="B183" s="89" t="s">
        <v>821</v>
      </c>
      <c r="C183" s="88" t="s">
        <v>992</v>
      </c>
      <c r="D183" s="89" t="s">
        <v>2138</v>
      </c>
      <c r="E183" s="89" t="s">
        <v>2156</v>
      </c>
      <c r="F183" s="89" t="s">
        <v>2136</v>
      </c>
      <c r="G183" s="93" t="n">
        <v>46317</v>
      </c>
      <c r="H183" s="89" t="s">
        <v>1096</v>
      </c>
      <c r="I183" s="110" t="str">
        <f aca="false">HYPERLINK("https://www.hangseng.com/zh-hk/personal/insurance-mpf/retirement-wealth-education/family-power2/","https://www.hangseng.com/zh-hk/personal/insurance-mpf/retirement-wealth-education/family-power2/")</f>
        <v>https://www.hangseng.com/zh-hk/personal/insurance-mpf/retirement-wealth-education/family-power2/</v>
      </c>
      <c r="J183" s="110"/>
      <c r="K183" s="89" t="s">
        <v>2157</v>
      </c>
      <c r="L183" s="27" t="s">
        <v>1082</v>
      </c>
    </row>
    <row r="184" customFormat="false" ht="49.6" hidden="false" customHeight="true" outlineLevel="0" collapsed="false">
      <c r="A184" s="88" t="s">
        <v>1516</v>
      </c>
      <c r="B184" s="89" t="s">
        <v>821</v>
      </c>
      <c r="C184" s="88" t="s">
        <v>992</v>
      </c>
      <c r="D184" s="89" t="s">
        <v>2138</v>
      </c>
      <c r="E184" s="89" t="s">
        <v>2158</v>
      </c>
      <c r="F184" s="89" t="s">
        <v>2136</v>
      </c>
      <c r="G184" s="93" t="n">
        <v>46317</v>
      </c>
      <c r="H184" s="89" t="s">
        <v>980</v>
      </c>
      <c r="I184" s="110" t="str">
        <f aca="false">HYPERLINK("https://www.hangseng.com/content/wpb/hase/zh_hk/personal/insurance-mpf/retirement-wealth-education/dragonpower/","https://www.hangseng.com/content/wpb/hase/zh_hk/personal/insurance-mpf/retirement-wealth-education/dragonpower/")</f>
        <v>https://www.hangseng.com/content/wpb/hase/zh_hk/personal/insurance-mpf/retirement-wealth-education/dragonpower/</v>
      </c>
      <c r="J184" s="110"/>
      <c r="K184" s="89" t="s">
        <v>2159</v>
      </c>
      <c r="L184" s="27" t="s">
        <v>1082</v>
      </c>
    </row>
    <row r="185" customFormat="false" ht="49.6" hidden="false" customHeight="true" outlineLevel="0" collapsed="false">
      <c r="A185" s="88" t="s">
        <v>1518</v>
      </c>
      <c r="B185" s="89" t="s">
        <v>821</v>
      </c>
      <c r="C185" s="88" t="s">
        <v>992</v>
      </c>
      <c r="D185" s="89" t="s">
        <v>2138</v>
      </c>
      <c r="E185" s="89" t="s">
        <v>1517</v>
      </c>
      <c r="F185" s="89" t="s">
        <v>2136</v>
      </c>
      <c r="G185" s="93" t="n">
        <v>46317</v>
      </c>
      <c r="H185" s="89" t="s">
        <v>980</v>
      </c>
      <c r="I185" s="110" t="str">
        <f aca="false">HYPERLINK("https://www.hangseng.com/content/wpb/hase/zh_hk/personal/insurance-mpf/retirement-wealth-education/phoenix-power/","https://www.hangseng.com/content/wpb/hase/zh_hk/personal/insurance-mpf/retirement-wealth-education/phoenix-power/")</f>
        <v>https://www.hangseng.com/content/wpb/hase/zh_hk/personal/insurance-mpf/retirement-wealth-education/phoenix-power/</v>
      </c>
      <c r="J185" s="110"/>
      <c r="K185" s="89" t="s">
        <v>2160</v>
      </c>
      <c r="L185" s="27" t="s">
        <v>1082</v>
      </c>
    </row>
    <row r="186" customFormat="false" ht="49.6" hidden="false" customHeight="true" outlineLevel="0" collapsed="false">
      <c r="A186" s="88" t="s">
        <v>1520</v>
      </c>
      <c r="B186" s="89" t="s">
        <v>821</v>
      </c>
      <c r="C186" s="88" t="s">
        <v>1107</v>
      </c>
      <c r="D186" s="89" t="s">
        <v>2138</v>
      </c>
      <c r="E186" s="89" t="s">
        <v>1519</v>
      </c>
      <c r="F186" s="89" t="s">
        <v>2136</v>
      </c>
      <c r="G186" s="93" t="n">
        <v>46317</v>
      </c>
      <c r="H186" s="89" t="s">
        <v>980</v>
      </c>
      <c r="I186" s="110" t="str">
        <f aca="false">HYPERLINK("https://www.boclife.com.hk/tc/product/reachup-insurance-plan.html","https://www.boclife.com.hk/tc/product/reachup-insurance-plan.html")</f>
        <v>https://www.boclife.com.hk/tc/product/reachup-insurance-plan.html</v>
      </c>
      <c r="J186" s="110"/>
      <c r="K186" s="89" t="s">
        <v>2161</v>
      </c>
      <c r="L186" s="27" t="s">
        <v>1082</v>
      </c>
    </row>
    <row r="187" customFormat="false" ht="49.6" hidden="false" customHeight="true" outlineLevel="0" collapsed="false">
      <c r="A187" s="88" t="s">
        <v>1522</v>
      </c>
      <c r="B187" s="89" t="s">
        <v>821</v>
      </c>
      <c r="C187" s="88" t="s">
        <v>1107</v>
      </c>
      <c r="D187" s="89" t="s">
        <v>2138</v>
      </c>
      <c r="E187" s="89" t="s">
        <v>1521</v>
      </c>
      <c r="F187" s="89" t="s">
        <v>2136</v>
      </c>
      <c r="G187" s="93" t="n">
        <v>46317</v>
      </c>
      <c r="H187" s="89" t="s">
        <v>980</v>
      </c>
      <c r="I187" s="110" t="str">
        <f aca="false">HYPERLINK("https://www.boclife.com.hk/tc/product/forever-wellbeing-whole-life-plan.html","https://www.boclife.com.hk/tc/product/forever-wellbeing-whole-life-plan.html")</f>
        <v>https://www.boclife.com.hk/tc/product/forever-wellbeing-whole-life-plan.html</v>
      </c>
      <c r="J187" s="110"/>
      <c r="K187" s="89" t="s">
        <v>2161</v>
      </c>
      <c r="L187" s="27" t="s">
        <v>1082</v>
      </c>
    </row>
    <row r="188" customFormat="false" ht="49.6" hidden="false" customHeight="true" outlineLevel="0" collapsed="false">
      <c r="A188" s="88" t="s">
        <v>1524</v>
      </c>
      <c r="B188" s="89" t="s">
        <v>821</v>
      </c>
      <c r="C188" s="88" t="s">
        <v>1107</v>
      </c>
      <c r="D188" s="89" t="s">
        <v>2138</v>
      </c>
      <c r="E188" s="89" t="s">
        <v>1523</v>
      </c>
      <c r="F188" s="89" t="s">
        <v>2136</v>
      </c>
      <c r="G188" s="93" t="n">
        <v>46317</v>
      </c>
      <c r="H188" s="89" t="s">
        <v>1115</v>
      </c>
      <c r="I188" s="110" t="str">
        <f aca="false">HYPERLINK("https://www.boclife.com.hk/tc/product/assure-together-global-whole-life-insurance-plan.html","https://www.boclife.com.hk/tc/product/assure-together-global-whole-life-insurance-plan.html")</f>
        <v>https://www.boclife.com.hk/tc/product/assure-together-global-whole-life-insurance-plan.html</v>
      </c>
      <c r="J188" s="110"/>
      <c r="K188" s="89" t="s">
        <v>2161</v>
      </c>
      <c r="L188" s="27" t="s">
        <v>1082</v>
      </c>
    </row>
    <row r="189" customFormat="false" ht="49.6" hidden="false" customHeight="true" outlineLevel="0" collapsed="false">
      <c r="A189" s="88" t="s">
        <v>1526</v>
      </c>
      <c r="B189" s="89" t="s">
        <v>821</v>
      </c>
      <c r="C189" s="88" t="s">
        <v>1107</v>
      </c>
      <c r="D189" s="89" t="s">
        <v>2138</v>
      </c>
      <c r="E189" s="89" t="s">
        <v>1525</v>
      </c>
      <c r="F189" s="89" t="s">
        <v>2136</v>
      </c>
      <c r="G189" s="93" t="n">
        <v>46317</v>
      </c>
      <c r="H189" s="89" t="s">
        <v>980</v>
      </c>
      <c r="I189" s="110" t="str">
        <f aca="false">HYPERLINK("https://www.boclife.com.hk/tc/product/elite-generations-global-whole-life-insurance-plan.html","https://www.boclife.com.hk/tc/product/elite-generations-global-whole-life-insurance-plan.html")</f>
        <v>https://www.boclife.com.hk/tc/product/elite-generations-global-whole-life-insurance-plan.html</v>
      </c>
      <c r="J189" s="110"/>
      <c r="K189" s="89" t="s">
        <v>2161</v>
      </c>
      <c r="L189" s="27" t="s">
        <v>1082</v>
      </c>
    </row>
    <row r="190" customFormat="false" ht="49.6" hidden="false" customHeight="true" outlineLevel="0" collapsed="false">
      <c r="A190" s="88" t="s">
        <v>1528</v>
      </c>
      <c r="B190" s="89" t="s">
        <v>821</v>
      </c>
      <c r="C190" s="88" t="s">
        <v>1107</v>
      </c>
      <c r="D190" s="89" t="s">
        <v>2138</v>
      </c>
      <c r="E190" s="89" t="s">
        <v>2162</v>
      </c>
      <c r="F190" s="89" t="s">
        <v>2136</v>
      </c>
      <c r="G190" s="93" t="n">
        <v>46317</v>
      </c>
      <c r="H190" s="89" t="s">
        <v>980</v>
      </c>
      <c r="I190" s="110" t="str">
        <f aca="false">HYPERLINK("https://www.boclife.com.hk/tc/product/forever-legacy-whole-life-plan-ii.html","https://www.boclife.com.hk/tc/product/forever-legacy-whole-life-plan-ii.html")</f>
        <v>https://www.boclife.com.hk/tc/product/forever-legacy-whole-life-plan-ii.html</v>
      </c>
      <c r="J190" s="110"/>
      <c r="K190" s="89" t="s">
        <v>2161</v>
      </c>
      <c r="L190" s="27" t="s">
        <v>1082</v>
      </c>
    </row>
    <row r="191" customFormat="false" ht="62.8" hidden="false" customHeight="true" outlineLevel="0" collapsed="false">
      <c r="A191" s="88" t="s">
        <v>1532</v>
      </c>
      <c r="B191" s="89" t="s">
        <v>854</v>
      </c>
      <c r="C191" s="88" t="s">
        <v>1128</v>
      </c>
      <c r="D191" s="89" t="s">
        <v>2138</v>
      </c>
      <c r="E191" s="88" t="s">
        <v>1529</v>
      </c>
      <c r="F191" s="89" t="s">
        <v>2136</v>
      </c>
      <c r="G191" s="93" t="n">
        <v>46321</v>
      </c>
      <c r="H191" s="89" t="s">
        <v>1125</v>
      </c>
      <c r="I191" s="110" t="str">
        <f aca="false">HYPERLINK("https://www.aia.com.sg/en/our-products/save-and-invest/participating-savings/aia-guaranteed-protect-plus-iv","https://www.aia.com.sg/en/our-products/save-and-invest/participating-savings/aia-guaranteed-protect-plus-iv")</f>
        <v>https://www.aia.com.sg/en/our-products/save-and-invest/participating-savings/aia-guaranteed-protect-plus-iv</v>
      </c>
      <c r="J191" s="110"/>
      <c r="K191" s="89" t="s">
        <v>2163</v>
      </c>
      <c r="L191" s="27" t="s">
        <v>1127</v>
      </c>
    </row>
    <row r="192" customFormat="false" ht="62.8" hidden="false" customHeight="true" outlineLevel="0" collapsed="false">
      <c r="A192" s="88" t="s">
        <v>1534</v>
      </c>
      <c r="B192" s="89" t="s">
        <v>854</v>
      </c>
      <c r="C192" s="88" t="s">
        <v>1128</v>
      </c>
      <c r="D192" s="89" t="s">
        <v>2138</v>
      </c>
      <c r="E192" s="88" t="s">
        <v>1533</v>
      </c>
      <c r="F192" s="89" t="s">
        <v>2136</v>
      </c>
      <c r="G192" s="93" t="n">
        <v>46321</v>
      </c>
      <c r="H192" s="89" t="s">
        <v>1125</v>
      </c>
      <c r="I192" s="110" t="str">
        <f aca="false">HYPERLINK("https://www.aia.com.sg/en/our-products/save-and-invest/participating-savings/aia-retirement-saver-iv","https://www.aia.com.sg/en/our-products/save-and-invest/participating-savings/aia-retirement-saver-iv")</f>
        <v>https://www.aia.com.sg/en/our-products/save-and-invest/participating-savings/aia-retirement-saver-iv</v>
      </c>
      <c r="J192" s="110"/>
      <c r="K192" s="89" t="s">
        <v>2164</v>
      </c>
      <c r="L192" s="27" t="s">
        <v>1127</v>
      </c>
    </row>
    <row r="193" customFormat="false" ht="62.8" hidden="false" customHeight="true" outlineLevel="0" collapsed="false">
      <c r="A193" s="88" t="s">
        <v>1536</v>
      </c>
      <c r="B193" s="89" t="s">
        <v>854</v>
      </c>
      <c r="C193" s="88" t="s">
        <v>1128</v>
      </c>
      <c r="D193" s="89" t="s">
        <v>2138</v>
      </c>
      <c r="E193" s="88" t="s">
        <v>1535</v>
      </c>
      <c r="F193" s="89" t="s">
        <v>2136</v>
      </c>
      <c r="G193" s="93" t="n">
        <v>46321</v>
      </c>
      <c r="H193" s="89" t="s">
        <v>1125</v>
      </c>
      <c r="I193" s="110" t="str">
        <f aca="false">HYPERLINK("https://www.aia.com.sg/en/our-products/save-and-invest/participating-savings/aia-smart-flexi-growth","https://www.aia.com.sg/en/our-products/save-and-invest/participating-savings/aia-smart-flexi-growth")</f>
        <v>https://www.aia.com.sg/en/our-products/save-and-invest/participating-savings/aia-smart-flexi-growth</v>
      </c>
      <c r="J193" s="110"/>
      <c r="K193" s="89" t="s">
        <v>2165</v>
      </c>
      <c r="L193" s="27" t="s">
        <v>1127</v>
      </c>
    </row>
    <row r="194" customFormat="false" ht="62.8" hidden="false" customHeight="true" outlineLevel="0" collapsed="false">
      <c r="A194" s="88" t="s">
        <v>1538</v>
      </c>
      <c r="B194" s="89" t="s">
        <v>854</v>
      </c>
      <c r="C194" s="88" t="s">
        <v>1128</v>
      </c>
      <c r="D194" s="89" t="s">
        <v>2138</v>
      </c>
      <c r="E194" s="88" t="s">
        <v>1537</v>
      </c>
      <c r="F194" s="89" t="s">
        <v>2136</v>
      </c>
      <c r="G194" s="93" t="n">
        <v>46321</v>
      </c>
      <c r="H194" s="89" t="s">
        <v>1125</v>
      </c>
      <c r="I194" s="110" t="str">
        <f aca="false">HYPERLINK("https://www.aia.com.sg/en/our-products/save-and-invest/participating-savings/aia-smart-flexi-rewards-ii","https://www.aia.com.sg/en/our-products/save-and-invest/participating-savings/aia-smart-flexi-rewards-ii")</f>
        <v>https://www.aia.com.sg/en/our-products/save-and-invest/participating-savings/aia-smart-flexi-rewards-ii</v>
      </c>
      <c r="J194" s="110"/>
      <c r="K194" s="89" t="s">
        <v>2166</v>
      </c>
      <c r="L194" s="27" t="s">
        <v>1127</v>
      </c>
    </row>
    <row r="195" customFormat="false" ht="62.8" hidden="false" customHeight="true" outlineLevel="0" collapsed="false">
      <c r="A195" s="88" t="s">
        <v>1540</v>
      </c>
      <c r="B195" s="89" t="s">
        <v>854</v>
      </c>
      <c r="C195" s="88" t="s">
        <v>1128</v>
      </c>
      <c r="D195" s="89" t="s">
        <v>2138</v>
      </c>
      <c r="E195" s="88" t="s">
        <v>1539</v>
      </c>
      <c r="F195" s="89" t="s">
        <v>2136</v>
      </c>
      <c r="G195" s="93" t="n">
        <v>46321</v>
      </c>
      <c r="H195" s="89" t="s">
        <v>1125</v>
      </c>
      <c r="I195" s="110" t="str">
        <f aca="false">HYPERLINK("https://www.aia.com.sg/en/our-products/save-and-invest/participating-savings/aia-smart-wealth-builder-series","https://www.aia.com.sg/en/our-products/save-and-invest/participating-savings/aia-smart-wealth-builder-series")</f>
        <v>https://www.aia.com.sg/en/our-products/save-and-invest/participating-savings/aia-smart-wealth-builder-series</v>
      </c>
      <c r="J195" s="110"/>
      <c r="K195" s="89" t="s">
        <v>2167</v>
      </c>
      <c r="L195" s="27" t="s">
        <v>1127</v>
      </c>
    </row>
    <row r="196" customFormat="false" ht="62.8" hidden="false" customHeight="true" outlineLevel="0" collapsed="false">
      <c r="A196" s="88" t="s">
        <v>1542</v>
      </c>
      <c r="B196" s="89" t="s">
        <v>854</v>
      </c>
      <c r="C196" s="88" t="s">
        <v>1128</v>
      </c>
      <c r="D196" s="89" t="s">
        <v>2138</v>
      </c>
      <c r="E196" s="88" t="s">
        <v>1541</v>
      </c>
      <c r="F196" s="89" t="s">
        <v>2136</v>
      </c>
      <c r="G196" s="93" t="n">
        <v>46321</v>
      </c>
      <c r="H196" s="89" t="s">
        <v>1125</v>
      </c>
      <c r="I196" s="110" t="str">
        <f aca="false">HYPERLINK("https://www.aia.com.sg/en/our-products/save-and-invest/participating-savings/aia-smart-wealth-builder-series","https://www.aia.com.sg/en/our-products/save-and-invest/participating-savings/aia-smart-wealth-builder-series")</f>
        <v>https://www.aia.com.sg/en/our-products/save-and-invest/participating-savings/aia-smart-wealth-builder-series</v>
      </c>
      <c r="J196" s="110"/>
      <c r="K196" s="89" t="s">
        <v>2167</v>
      </c>
      <c r="L196" s="27" t="s">
        <v>1127</v>
      </c>
    </row>
    <row r="197" customFormat="false" ht="62.8" hidden="false" customHeight="true" outlineLevel="0" collapsed="false">
      <c r="A197" s="88" t="s">
        <v>1544</v>
      </c>
      <c r="B197" s="89" t="s">
        <v>854</v>
      </c>
      <c r="C197" s="88" t="s">
        <v>1148</v>
      </c>
      <c r="D197" s="89" t="s">
        <v>2138</v>
      </c>
      <c r="E197" s="88" t="s">
        <v>1543</v>
      </c>
      <c r="F197" s="89" t="s">
        <v>2136</v>
      </c>
      <c r="G197" s="93" t="n">
        <v>46321</v>
      </c>
      <c r="H197" s="89" t="s">
        <v>1125</v>
      </c>
      <c r="I197" s="110" t="str">
        <f aca="false">HYPERLINK("https://www.greateasternlife.com/sg/en/personal-insurance/our-products/wealth-accumulation/great-flexi-advantage.html","https://www.greateasternlife.com/sg/en/personal-insurance/our-products/wealth-accumulation/great-flexi-advantage.html")</f>
        <v>https://www.greateasternlife.com/sg/en/personal-insurance/our-products/wealth-accumulation/great-flexi-advantage.html</v>
      </c>
      <c r="J197" s="110"/>
      <c r="K197" s="89" t="s">
        <v>2168</v>
      </c>
      <c r="L197" s="27" t="s">
        <v>1127</v>
      </c>
    </row>
    <row r="198" customFormat="false" ht="62.8" hidden="false" customHeight="true" outlineLevel="0" collapsed="false">
      <c r="A198" s="88" t="s">
        <v>1546</v>
      </c>
      <c r="B198" s="89" t="s">
        <v>854</v>
      </c>
      <c r="C198" s="88" t="s">
        <v>1148</v>
      </c>
      <c r="D198" s="89" t="s">
        <v>2138</v>
      </c>
      <c r="E198" s="88" t="s">
        <v>1545</v>
      </c>
      <c r="F198" s="89" t="s">
        <v>2136</v>
      </c>
      <c r="G198" s="93" t="n">
        <v>46321</v>
      </c>
      <c r="H198" s="89" t="s">
        <v>1125</v>
      </c>
      <c r="I198" s="110" t="str">
        <f aca="false">HYPERLINK("https://www.greateasternlife.com/sg/en/personal-insurance/our-products/wealth-accumulation/great-flexi-cashback.html","https://www.greateasternlife.com/sg/en/personal-insurance/our-products/wealth-accumulation/great-flexi-cashback.html")</f>
        <v>https://www.greateasternlife.com/sg/en/personal-insurance/our-products/wealth-accumulation/great-flexi-cashback.html</v>
      </c>
      <c r="J198" s="110"/>
      <c r="K198" s="89" t="s">
        <v>2169</v>
      </c>
      <c r="L198" s="27" t="s">
        <v>1127</v>
      </c>
    </row>
    <row r="199" customFormat="false" ht="62.8" hidden="false" customHeight="true" outlineLevel="0" collapsed="false">
      <c r="A199" s="88" t="s">
        <v>1548</v>
      </c>
      <c r="B199" s="89" t="s">
        <v>854</v>
      </c>
      <c r="C199" s="88" t="s">
        <v>1148</v>
      </c>
      <c r="D199" s="89" t="s">
        <v>2138</v>
      </c>
      <c r="E199" s="88" t="s">
        <v>1547</v>
      </c>
      <c r="F199" s="89" t="s">
        <v>2136</v>
      </c>
      <c r="G199" s="93" t="n">
        <v>46321</v>
      </c>
      <c r="H199" s="89" t="s">
        <v>1125</v>
      </c>
      <c r="I199" s="110" t="str">
        <f aca="false">HYPERLINK("https://www.greateasternlife.com/sg/en/personal-insurance/our-products/wealth-accumulation/great-flexi-goal.html","https://www.greateasternlife.com/sg/en/personal-insurance/our-products/wealth-accumulation/great-flexi-goal.html")</f>
        <v>https://www.greateasternlife.com/sg/en/personal-insurance/our-products/wealth-accumulation/great-flexi-goal.html</v>
      </c>
      <c r="J199" s="110"/>
      <c r="K199" s="89" t="s">
        <v>2170</v>
      </c>
      <c r="L199" s="27" t="s">
        <v>1127</v>
      </c>
    </row>
    <row r="200" customFormat="false" ht="62.8" hidden="false" customHeight="true" outlineLevel="0" collapsed="false">
      <c r="A200" s="88" t="s">
        <v>1550</v>
      </c>
      <c r="B200" s="89" t="s">
        <v>854</v>
      </c>
      <c r="C200" s="88" t="s">
        <v>1148</v>
      </c>
      <c r="D200" s="89" t="s">
        <v>2138</v>
      </c>
      <c r="E200" s="88" t="s">
        <v>1549</v>
      </c>
      <c r="F200" s="89" t="s">
        <v>2136</v>
      </c>
      <c r="G200" s="93" t="n">
        <v>46321</v>
      </c>
      <c r="H200" s="89" t="s">
        <v>1125</v>
      </c>
      <c r="I200" s="110" t="str">
        <f aca="false">HYPERLINK("https://www.greateasternlife.com/sg/en/personal-insurance/our-products/wealth-accumulation/great-index-income.html","https://www.greateasternlife.com/sg/en/personal-insurance/our-products/wealth-accumulation/great-index-income.html")</f>
        <v>https://www.greateasternlife.com/sg/en/personal-insurance/our-products/wealth-accumulation/great-index-income.html</v>
      </c>
      <c r="J200" s="110"/>
      <c r="K200" s="89" t="s">
        <v>2171</v>
      </c>
      <c r="L200" s="27" t="s">
        <v>1127</v>
      </c>
    </row>
    <row r="201" customFormat="false" ht="62.8" hidden="false" customHeight="true" outlineLevel="0" collapsed="false">
      <c r="A201" s="88" t="s">
        <v>1552</v>
      </c>
      <c r="B201" s="89" t="s">
        <v>854</v>
      </c>
      <c r="C201" s="88" t="s">
        <v>1148</v>
      </c>
      <c r="D201" s="89" t="s">
        <v>2138</v>
      </c>
      <c r="E201" s="88" t="s">
        <v>1551</v>
      </c>
      <c r="F201" s="89" t="s">
        <v>2136</v>
      </c>
      <c r="G201" s="93" t="n">
        <v>46321</v>
      </c>
      <c r="H201" s="89" t="s">
        <v>1125</v>
      </c>
      <c r="I201" s="110" t="str">
        <f aca="false">HYPERLINK("https://www.greateasternlife.com/sg/en/personal-insurance/our-products/wealth-accumulation/great-invest-advantage.html","https://www.greateasternlife.com/sg/en/personal-insurance/our-products/wealth-accumulation/great-invest-advantage.html")</f>
        <v>https://www.greateasternlife.com/sg/en/personal-insurance/our-products/wealth-accumulation/great-invest-advantage.html</v>
      </c>
      <c r="J201" s="110"/>
      <c r="K201" s="89" t="s">
        <v>2172</v>
      </c>
      <c r="L201" s="27" t="s">
        <v>1127</v>
      </c>
    </row>
    <row r="202" customFormat="false" ht="62.8" hidden="false" customHeight="true" outlineLevel="0" collapsed="false">
      <c r="A202" s="88" t="s">
        <v>1554</v>
      </c>
      <c r="B202" s="89" t="s">
        <v>854</v>
      </c>
      <c r="C202" s="88" t="s">
        <v>1148</v>
      </c>
      <c r="D202" s="89" t="s">
        <v>2138</v>
      </c>
      <c r="E202" s="88" t="s">
        <v>1553</v>
      </c>
      <c r="F202" s="89" t="s">
        <v>2136</v>
      </c>
      <c r="G202" s="93" t="n">
        <v>46321</v>
      </c>
      <c r="H202" s="89" t="s">
        <v>1125</v>
      </c>
      <c r="I202" s="110" t="str">
        <f aca="false">HYPERLINK("https://www.greateasternlife.com/sg/en/personal-insurance/our-products/wealth-accumulation/great-prime-rewards.html","https://www.greateasternlife.com/sg/en/personal-insurance/our-products/wealth-accumulation/great-prime-rewards.html")</f>
        <v>https://www.greateasternlife.com/sg/en/personal-insurance/our-products/wealth-accumulation/great-prime-rewards.html</v>
      </c>
      <c r="J202" s="110"/>
      <c r="K202" s="89" t="s">
        <v>2173</v>
      </c>
      <c r="L202" s="27" t="s">
        <v>1127</v>
      </c>
    </row>
    <row r="203" customFormat="false" ht="72" hidden="false" customHeight="true" outlineLevel="0" collapsed="false">
      <c r="A203" s="95" t="s">
        <v>1559</v>
      </c>
      <c r="B203" s="96" t="s">
        <v>872</v>
      </c>
      <c r="C203" s="95" t="s">
        <v>876</v>
      </c>
      <c r="D203" s="96" t="s">
        <v>2174</v>
      </c>
      <c r="E203" s="95" t="s">
        <v>1555</v>
      </c>
      <c r="F203" s="96" t="s">
        <v>2136</v>
      </c>
      <c r="G203" s="101" t="n">
        <v>46320</v>
      </c>
      <c r="H203" s="97" t="s">
        <v>1166</v>
      </c>
      <c r="I203" s="111" t="str">
        <f aca="false">HYPERLINK("https://www.sunlifemalaysia.com/client-care/downloads/","https://www.sunlifemalaysia.com/client-care/downloads/")</f>
        <v>https://www.sunlifemalaysia.com/client-care/downloads/</v>
      </c>
      <c r="J203" s="111" t="str">
        <f aca="false">HYPERLINK("https://www.sunlifemalaysia.com/getContentAsset/c2901ded-b8a0-48a0-9dbb-992ba8960efb/826411a5-9a44-43a6-8410-a7ad95da6d70/1.pdf?language=en","https://www.sunlifemalaysia.com/getContentAsset/c2901ded-b8a0-48a0-9dbb-992ba8960efb/826411a5-9a44-43a6-8410-a7ad95da6d70/1.pdf?language=en")</f>
        <v>https://www.sunlifemalaysia.com/getContentAsset/c2901ded-b8a0-48a0-9dbb-992ba8960efb/826411a5-9a44-43a6-8410-a7ad95da6d70/1.pdf?language=en</v>
      </c>
      <c r="K203" s="96" t="s">
        <v>2175</v>
      </c>
      <c r="L203" s="33" t="s">
        <v>145</v>
      </c>
    </row>
    <row r="204" customFormat="false" ht="72" hidden="false" customHeight="true" outlineLevel="0" collapsed="false">
      <c r="A204" s="95" t="s">
        <v>1561</v>
      </c>
      <c r="B204" s="96" t="s">
        <v>872</v>
      </c>
      <c r="C204" s="95" t="s">
        <v>876</v>
      </c>
      <c r="D204" s="96" t="s">
        <v>2174</v>
      </c>
      <c r="E204" s="95" t="s">
        <v>1560</v>
      </c>
      <c r="F204" s="96" t="s">
        <v>2136</v>
      </c>
      <c r="G204" s="101" t="n">
        <v>46320</v>
      </c>
      <c r="H204" s="97" t="s">
        <v>1176</v>
      </c>
      <c r="I204" s="111" t="str">
        <f aca="false">HYPERLINK("https://www.sunlifemalaysia.com/client-care/downloads/","https://www.sunlifemalaysia.com/client-care/downloads/")</f>
        <v>https://www.sunlifemalaysia.com/client-care/downloads/</v>
      </c>
      <c r="J204" s="111" t="str">
        <f aca="false">HYPERLINK("https://www.sunlifemalaysia.com/getContentAsset/60ae5d03-62da-429b-a273-f43281dd412a/826411a5-9a44-43a6-8410-a7ad95da6d70/5.pdf","https://www.sunlifemalaysia.com/getContentAsset/60ae5d03-62da-429b-a273-f43281dd412a/826411a5-9a44-43a6-8410-a7ad95da6d70/5.pdf")</f>
        <v>https://www.sunlifemalaysia.com/getContentAsset/60ae5d03-62da-429b-a273-f43281dd412a/826411a5-9a44-43a6-8410-a7ad95da6d70/5.pdf</v>
      </c>
      <c r="K204" s="96" t="s">
        <v>2175</v>
      </c>
      <c r="L204" s="33" t="s">
        <v>145</v>
      </c>
    </row>
    <row r="205" customFormat="false" ht="72" hidden="false" customHeight="true" outlineLevel="0" collapsed="false">
      <c r="A205" s="95" t="s">
        <v>1563</v>
      </c>
      <c r="B205" s="96" t="s">
        <v>872</v>
      </c>
      <c r="C205" s="95" t="s">
        <v>883</v>
      </c>
      <c r="D205" s="96" t="s">
        <v>2174</v>
      </c>
      <c r="E205" s="95" t="s">
        <v>1562</v>
      </c>
      <c r="F205" s="96" t="s">
        <v>2136</v>
      </c>
      <c r="G205" s="101" t="n">
        <v>46320</v>
      </c>
      <c r="H205" s="97" t="s">
        <v>1180</v>
      </c>
      <c r="I205" s="111" t="str">
        <f aca="false">HYPERLINK("https://www.sunlifemalaysia.com/client-care/downloads/","https://www.sunlifemalaysia.com/client-care/downloads/")</f>
        <v>https://www.sunlifemalaysia.com/client-care/downloads/</v>
      </c>
      <c r="J205" s="111" t="str">
        <f aca="false">HYPERLINK("https://www.sunlifemalaysia.com/getContentAsset/bc7bb5af-6433-4304-8ac9-c037e749860c/826411a5-9a44-43a6-8410-a7ad95da6d70/GTT-Master-Contract_CIMB-Islamic-Bank-Berhad_GTTCIMB0623_Website.pdf","https://www.sunlifemalaysia.com/getContentAsset/bc7bb5af-6433-4304-8ac9-c037e749860c/826411a5-9a44-43a6-8410-a7ad95da6d70/GTT-Master-Contract_CIMB-Islamic-Bank-Berhad_GTTCIMB0623_Website.pdf")</f>
        <v>https://www.sunlifemalaysia.com/getContentAsset/bc7bb5af-6433-4304-8ac9-c037e749860c/826411a5-9a44-43a6-8410-a7ad95da6d70/GTT-Master-Contract_CIMB-Islamic-Bank-Berhad_GTTCIMB0623_Website.pdf</v>
      </c>
      <c r="K205" s="96" t="s">
        <v>2175</v>
      </c>
      <c r="L205" s="33" t="s">
        <v>145</v>
      </c>
    </row>
    <row r="206" customFormat="false" ht="72" hidden="false" customHeight="true" outlineLevel="0" collapsed="false">
      <c r="A206" s="95" t="s">
        <v>1565</v>
      </c>
      <c r="B206" s="96" t="s">
        <v>1067</v>
      </c>
      <c r="C206" s="95" t="s">
        <v>1070</v>
      </c>
      <c r="D206" s="96" t="s">
        <v>2174</v>
      </c>
      <c r="E206" s="95" t="s">
        <v>1564</v>
      </c>
      <c r="F206" s="97" t="s">
        <v>2176</v>
      </c>
      <c r="G206" s="101" t="n">
        <v>46320</v>
      </c>
      <c r="H206" s="97" t="s">
        <v>1184</v>
      </c>
      <c r="I206" s="111" t="str">
        <f aca="false">HYPERLINK("https://www.fnigeneral.com/oversea-cargo-insurance/","https://www.fnigeneral.com/oversea-cargo-insurance/")</f>
        <v>https://www.fnigeneral.com/oversea-cargo-insurance/</v>
      </c>
      <c r="J206" s="111" t="str">
        <f aca="false">HYPERLINK("https://www.fnigeneral.com/wp-content/uploads/2021/10/Overseas-B-English-Vr2.pdf","https://www.fnigeneral.com/wp-content/uploads/2021/10/Overseas-B-English-Vr2.pdf")</f>
        <v>https://www.fnigeneral.com/wp-content/uploads/2021/10/Overseas-B-English-Vr2.pdf</v>
      </c>
      <c r="K206" s="96" t="s">
        <v>2175</v>
      </c>
      <c r="L206" s="33" t="s">
        <v>145</v>
      </c>
    </row>
    <row r="207" customFormat="false" ht="72" hidden="false" customHeight="true" outlineLevel="0" collapsed="false">
      <c r="A207" s="95" t="s">
        <v>1567</v>
      </c>
      <c r="B207" s="96" t="s">
        <v>1067</v>
      </c>
      <c r="C207" s="95" t="s">
        <v>1070</v>
      </c>
      <c r="D207" s="96" t="s">
        <v>2174</v>
      </c>
      <c r="E207" s="95" t="s">
        <v>1566</v>
      </c>
      <c r="F207" s="97" t="s">
        <v>2177</v>
      </c>
      <c r="G207" s="101" t="n">
        <v>46320</v>
      </c>
      <c r="H207" s="97" t="s">
        <v>1190</v>
      </c>
      <c r="I207" s="111" t="str">
        <f aca="false">HYPERLINK("https://www.fnigeneral.com/cargo-insurance/","https://www.fnigeneral.com/cargo-insurance/")</f>
        <v>https://www.fnigeneral.com/cargo-insurance/</v>
      </c>
      <c r="J207" s="111" t="str">
        <f aca="false">HYPERLINK("https://www.fnigeneral.com/wp-content/uploads/2021/09/Inland-Marine-Cargo-ICC-C.pdf","https://www.fnigeneral.com/wp-content/uploads/2021/09/Inland-Marine-Cargo-ICC-C.pdf")</f>
        <v>https://www.fnigeneral.com/wp-content/uploads/2021/09/Inland-Marine-Cargo-ICC-C.pdf</v>
      </c>
      <c r="K207" s="96" t="s">
        <v>2175</v>
      </c>
      <c r="L207" s="33" t="s">
        <v>145</v>
      </c>
    </row>
    <row r="208" customFormat="false" ht="72" hidden="false" customHeight="true" outlineLevel="0" collapsed="false">
      <c r="A208" s="95" t="s">
        <v>1568</v>
      </c>
      <c r="B208" s="96" t="s">
        <v>1067</v>
      </c>
      <c r="C208" s="95" t="s">
        <v>1070</v>
      </c>
      <c r="D208" s="96" t="s">
        <v>2174</v>
      </c>
      <c r="E208" s="95" t="s">
        <v>1564</v>
      </c>
      <c r="F208" s="97" t="s">
        <v>2178</v>
      </c>
      <c r="G208" s="101" t="n">
        <v>46320</v>
      </c>
      <c r="H208" s="97" t="s">
        <v>1194</v>
      </c>
      <c r="I208" s="111" t="str">
        <f aca="false">HYPERLINK("https://www.fnigeneral.com/oversea-cargo-insurance/","https://www.fnigeneral.com/oversea-cargo-insurance/")</f>
        <v>https://www.fnigeneral.com/oversea-cargo-insurance/</v>
      </c>
      <c r="J208" s="111" t="str">
        <f aca="false">HYPERLINK("https://www.fnigeneral.com/wp-content/uploads/2021/09/Overseas-A-English-Vr2.pdf","https://www.fnigeneral.com/wp-content/uploads/2021/09/Overseas-A-English-Vr2.pdf")</f>
        <v>https://www.fnigeneral.com/wp-content/uploads/2021/09/Overseas-A-English-Vr2.pdf</v>
      </c>
      <c r="K208" s="96" t="s">
        <v>2175</v>
      </c>
      <c r="L208" s="33" t="s">
        <v>145</v>
      </c>
    </row>
    <row r="209" customFormat="false" ht="72" hidden="false" customHeight="true" outlineLevel="0" collapsed="false">
      <c r="A209" s="95" t="s">
        <v>1570</v>
      </c>
      <c r="B209" s="96" t="s">
        <v>1067</v>
      </c>
      <c r="C209" s="95" t="s">
        <v>1070</v>
      </c>
      <c r="D209" s="96" t="s">
        <v>2174</v>
      </c>
      <c r="E209" s="95" t="s">
        <v>1569</v>
      </c>
      <c r="F209" s="97" t="s">
        <v>2179</v>
      </c>
      <c r="G209" s="101" t="n">
        <v>46320</v>
      </c>
      <c r="H209" s="97" t="s">
        <v>1198</v>
      </c>
      <c r="I209" s="111" t="str">
        <f aca="false">HYPERLINK("https://www.fnigeneral.com/marine-hull-insurance/","https://www.fnigeneral.com/marine-hull-insurance/")</f>
        <v>https://www.fnigeneral.com/marine-hull-insurance/</v>
      </c>
      <c r="J209" s="111" t="str">
        <f aca="false">HYPERLINK("https://www.fnigeneral.com/wp-content/uploads/2021/09/Marine-Hull_Time-Clause-English-Vr2.pdf","https://www.fnigeneral.com/wp-content/uploads/2021/09/Marine-Hull_Time-Clause-English-Vr2.pdf")</f>
        <v>https://www.fnigeneral.com/wp-content/uploads/2021/09/Marine-Hull_Time-Clause-English-Vr2.pdf</v>
      </c>
      <c r="K209" s="96" t="s">
        <v>2175</v>
      </c>
      <c r="L209" s="33" t="s">
        <v>145</v>
      </c>
    </row>
    <row r="210" customFormat="false" ht="72" hidden="false" customHeight="true" outlineLevel="0" collapsed="false">
      <c r="A210" s="95" t="s">
        <v>1571</v>
      </c>
      <c r="B210" s="96" t="s">
        <v>1067</v>
      </c>
      <c r="C210" s="95" t="s">
        <v>1070</v>
      </c>
      <c r="D210" s="96" t="s">
        <v>2174</v>
      </c>
      <c r="E210" s="95" t="s">
        <v>1569</v>
      </c>
      <c r="F210" s="97" t="s">
        <v>2180</v>
      </c>
      <c r="G210" s="101" t="n">
        <v>46320</v>
      </c>
      <c r="H210" s="97" t="s">
        <v>1202</v>
      </c>
      <c r="I210" s="111" t="str">
        <f aca="false">HYPERLINK("https://www.fnigeneral.com/marine-hull-insurance/","https://www.fnigeneral.com/marine-hull-insurance/")</f>
        <v>https://www.fnigeneral.com/marine-hull-insurance/</v>
      </c>
      <c r="J210" s="111" t="str">
        <f aca="false">HYPERLINK("https://www.fnigeneral.com/wp-content/uploads/2021/09/Marine-Hull_Voyage-Clause-English-Vr2.pdf","https://www.fnigeneral.com/wp-content/uploads/2021/09/Marine-Hull_Voyage-Clause-English-Vr2.pdf")</f>
        <v>https://www.fnigeneral.com/wp-content/uploads/2021/09/Marine-Hull_Voyage-Clause-English-Vr2.pdf</v>
      </c>
      <c r="K210" s="96" t="s">
        <v>2175</v>
      </c>
      <c r="L210" s="33" t="s">
        <v>145</v>
      </c>
    </row>
    <row r="211" customFormat="false" ht="72" hidden="false" customHeight="true" outlineLevel="0" collapsed="false">
      <c r="A211" s="95" t="s">
        <v>1574</v>
      </c>
      <c r="B211" s="96" t="s">
        <v>872</v>
      </c>
      <c r="C211" s="95" t="s">
        <v>883</v>
      </c>
      <c r="D211" s="96" t="s">
        <v>2174</v>
      </c>
      <c r="E211" s="95" t="s">
        <v>1572</v>
      </c>
      <c r="F211" s="96" t="s">
        <v>2136</v>
      </c>
      <c r="G211" s="101" t="n">
        <v>46320</v>
      </c>
      <c r="H211" s="97" t="s">
        <v>1206</v>
      </c>
      <c r="I211" s="111" t="str">
        <f aca="false">HYPERLINK("https://www.sunlifemalaysia.com/client-care/downloads/","https://www.sunlifemalaysia.com/client-care/downloads/")</f>
        <v>https://www.sunlifemalaysia.com/client-care/downloads/</v>
      </c>
      <c r="J211" s="111" t="str">
        <f aca="false">HYPERLINK("https://www.sunlifemalaysia.com/getContentAsset/2dfe6275-a8f5-438a-9e78-317a651c286f/826411a5-9a44-43a6-8410-a7ad95da6d70/GTT-ADB-Master-Contract-Versa_Final-Website.pdf","https://www.sunlifemalaysia.com/getContentAsset/2dfe6275-a8f5-438a-9e78-317a651c286f/826411a5-9a44-43a6-8410-a7ad95da6d70/GTT-ADB-Master-Contract-Versa_Final-Website.pdf")</f>
        <v>https://www.sunlifemalaysia.com/getContentAsset/2dfe6275-a8f5-438a-9e78-317a651c286f/826411a5-9a44-43a6-8410-a7ad95da6d70/GTT-ADB-Master-Contract-Versa_Final-Website.pdf</v>
      </c>
      <c r="K211" s="96" t="s">
        <v>2175</v>
      </c>
      <c r="L211" s="33" t="s">
        <v>147</v>
      </c>
    </row>
    <row r="212" customFormat="false" ht="72" hidden="false" customHeight="true" outlineLevel="0" collapsed="false">
      <c r="A212" s="95" t="s">
        <v>1576</v>
      </c>
      <c r="B212" s="96" t="s">
        <v>872</v>
      </c>
      <c r="C212" s="95" t="s">
        <v>883</v>
      </c>
      <c r="D212" s="96" t="s">
        <v>2174</v>
      </c>
      <c r="E212" s="95" t="s">
        <v>1575</v>
      </c>
      <c r="F212" s="96" t="s">
        <v>2136</v>
      </c>
      <c r="G212" s="101" t="n">
        <v>46320</v>
      </c>
      <c r="H212" s="97" t="s">
        <v>1210</v>
      </c>
      <c r="I212" s="111" t="str">
        <f aca="false">HYPERLINK("https://www.sunlifemalaysia.com/client-care/downloads/","https://www.sunlifemalaysia.com/client-care/downloads/")</f>
        <v>https://www.sunlifemalaysia.com/client-care/downloads/</v>
      </c>
      <c r="J212" s="111" t="str">
        <f aca="false">HYPERLINK("https://www.sunlifemalaysia.com/getContentAsset/c07ceefc-0abd-4d62-8bfb-2f27fb8aa5a9/826411a5-9a44-43a6-8410-a7ad95da6d70/Long-Term-House-Owner-Takaful-Contract-Bahagian-Pinjaman-Perumahan-Perbendaharaan-Malaysia-(BPP).pdf","https://www.sunlifemalaysia.com/getContentAsset/c07ceefc-0abd-4d62-8bfb-2f27fb8aa5a9/826411a5-9a44-43a6-8410-a7ad95da6d70/Long-Term-House-Owner-Takaful-Contract-Bahagian-Pinjaman-Perumahan-Perbendaharaan-Malaysia-(BPP).pdf")</f>
        <v>https://www.sunlifemalaysia.com/getContentAsset/c07ceefc-0abd-4d62-8bfb-2f27fb8aa5a9/826411a5-9a44-43a6-8410-a7ad95da6d70/Long-Term-House-Owner-Takaful-Contract-Bahagian-Pinjaman-Perumahan-Perbendaharaan-Malaysia-(BPP).pdf</v>
      </c>
      <c r="K212" s="96" t="s">
        <v>2175</v>
      </c>
      <c r="L212" s="33" t="s">
        <v>147</v>
      </c>
    </row>
    <row r="213" customFormat="false" ht="72" hidden="false" customHeight="true" outlineLevel="0" collapsed="false">
      <c r="A213" s="95" t="s">
        <v>1578</v>
      </c>
      <c r="B213" s="96" t="s">
        <v>872</v>
      </c>
      <c r="C213" s="95" t="s">
        <v>883</v>
      </c>
      <c r="D213" s="96" t="s">
        <v>2174</v>
      </c>
      <c r="E213" s="95" t="s">
        <v>1577</v>
      </c>
      <c r="F213" s="96" t="s">
        <v>2136</v>
      </c>
      <c r="G213" s="101" t="n">
        <v>46320</v>
      </c>
      <c r="H213" s="97" t="s">
        <v>1216</v>
      </c>
      <c r="I213" s="111" t="str">
        <f aca="false">HYPERLINK("https://www.sunlifemalaysia.com/client-care/downloads/","https://www.sunlifemalaysia.com/client-care/downloads/")</f>
        <v>https://www.sunlifemalaysia.com/client-care/downloads/</v>
      </c>
      <c r="J213" s="111" t="str">
        <f aca="false">HYPERLINK("https://www.sunlifemalaysia.com/getContentAsset/89ce66be-7c56-4964-b107-1563aa1a7c64/826411a5-9a44-43a6-8410-a7ad95da6d70/Mortgage-Reducing-Term-Takaful-Contract-Bahagian-Pinjaman-Perumahan-Perbendaharaan-Malaysia-(BPP).pdf","https://www.sunlifemalaysia.com/getContentAsset/89ce66be-7c56-4964-b107-1563aa1a7c64/826411a5-9a44-43a6-8410-a7ad95da6d70/Mortgage-Reducing-Term-Takaful-Contract-Bahagian-Pinjaman-Perumahan-Perbendaharaan-Malaysia-(BPP).pdf")</f>
        <v>https://www.sunlifemalaysia.com/getContentAsset/89ce66be-7c56-4964-b107-1563aa1a7c64/826411a5-9a44-43a6-8410-a7ad95da6d70/Mortgage-Reducing-Term-Takaful-Contract-Bahagian-Pinjaman-Perumahan-Perbendaharaan-Malaysia-(BPP).pdf</v>
      </c>
      <c r="K213" s="96" t="s">
        <v>2175</v>
      </c>
      <c r="L213" s="33" t="s">
        <v>147</v>
      </c>
    </row>
    <row r="214" customFormat="false" ht="72" hidden="false" customHeight="true" outlineLevel="0" collapsed="false">
      <c r="A214" s="95" t="s">
        <v>1580</v>
      </c>
      <c r="B214" s="96" t="s">
        <v>872</v>
      </c>
      <c r="C214" s="95" t="s">
        <v>883</v>
      </c>
      <c r="D214" s="96" t="s">
        <v>2174</v>
      </c>
      <c r="E214" s="95" t="s">
        <v>1579</v>
      </c>
      <c r="F214" s="96" t="s">
        <v>2136</v>
      </c>
      <c r="G214" s="101" t="n">
        <v>46320</v>
      </c>
      <c r="H214" s="97" t="s">
        <v>1220</v>
      </c>
      <c r="I214" s="111" t="str">
        <f aca="false">HYPERLINK("https://www.sunlifemalaysia.com/client-care/downloads/","https://www.sunlifemalaysia.com/client-care/downloads/")</f>
        <v>https://www.sunlifemalaysia.com/client-care/downloads/</v>
      </c>
      <c r="J214" s="111" t="str">
        <f aca="false">HYPERLINK("https://www.sunlifemalaysia.com/getContentAsset/41f8e94b-3e10-48c9-8d0e-6dcbc7308c8b/826411a5-9a44-43a6-8410-a7ad95da6d70/GTT-CI-Master-Contract_071125_Final-Website.pdf","https://www.sunlifemalaysia.com/getContentAsset/41f8e94b-3e10-48c9-8d0e-6dcbc7308c8b/826411a5-9a44-43a6-8410-a7ad95da6d70/GTT-CI-Master-Contract_071125_Final-Website.pdf")</f>
        <v>https://www.sunlifemalaysia.com/getContentAsset/41f8e94b-3e10-48c9-8d0e-6dcbc7308c8b/826411a5-9a44-43a6-8410-a7ad95da6d70/GTT-CI-Master-Contract_071125_Final-Website.pdf</v>
      </c>
      <c r="K214" s="96" t="s">
        <v>2175</v>
      </c>
      <c r="L214" s="33" t="s">
        <v>147</v>
      </c>
    </row>
    <row r="215" customFormat="false" ht="72" hidden="false" customHeight="true" outlineLevel="0" collapsed="false">
      <c r="A215" s="95" t="s">
        <v>1582</v>
      </c>
      <c r="B215" s="96" t="s">
        <v>872</v>
      </c>
      <c r="C215" s="95" t="s">
        <v>883</v>
      </c>
      <c r="D215" s="96" t="s">
        <v>2174</v>
      </c>
      <c r="E215" s="95" t="s">
        <v>1581</v>
      </c>
      <c r="F215" s="96" t="s">
        <v>2136</v>
      </c>
      <c r="G215" s="101" t="n">
        <v>46320</v>
      </c>
      <c r="H215" s="97" t="s">
        <v>1224</v>
      </c>
      <c r="I215" s="111" t="str">
        <f aca="false">HYPERLINK("https://www.sunlifemalaysia.com/client-care/downloads/","https://www.sunlifemalaysia.com/client-care/downloads/")</f>
        <v>https://www.sunlifemalaysia.com/client-care/downloads/</v>
      </c>
      <c r="J215" s="111" t="str">
        <f aca="false">HYPERLINK("https://www.sunlifemalaysia.com/getContentAsset/d17c539d-d8a6-4193-b6a7-e167bfc46f53/826411a5-9a44-43a6-8410-a7ad95da6d70/GTT-CI_C@Work_Master-Contract_240626-Final-_Website.pdf","https://www.sunlifemalaysia.com/getContentAsset/d17c539d-d8a6-4193-b6a7-e167bfc46f53/826411a5-9a44-43a6-8410-a7ad95da6d70/GTT-CI_C@Work_Master-Contract_240626-Final-_Website.pdf")</f>
        <v>https://www.sunlifemalaysia.com/getContentAsset/d17c539d-d8a6-4193-b6a7-e167bfc46f53/826411a5-9a44-43a6-8410-a7ad95da6d70/GTT-CI_C@Work_Master-Contract_240626-Final-_Website.pdf</v>
      </c>
      <c r="K215" s="96" t="s">
        <v>2175</v>
      </c>
      <c r="L215" s="33" t="s">
        <v>147</v>
      </c>
    </row>
    <row r="216" customFormat="false" ht="72" hidden="false" customHeight="true" outlineLevel="0" collapsed="false">
      <c r="A216" s="95" t="s">
        <v>1586</v>
      </c>
      <c r="B216" s="96" t="s">
        <v>821</v>
      </c>
      <c r="C216" s="95" t="s">
        <v>1231</v>
      </c>
      <c r="D216" s="96" t="s">
        <v>2181</v>
      </c>
      <c r="E216" s="96" t="s">
        <v>2182</v>
      </c>
      <c r="F216" s="96" t="s">
        <v>2136</v>
      </c>
      <c r="G216" s="101" t="n">
        <v>46321</v>
      </c>
      <c r="H216" s="96" t="s">
        <v>1228</v>
      </c>
      <c r="I216" s="111" t="str">
        <f aca="false">HYPERLINK("https://www.aia.com.hk/en/products/save/serene-life-series.html","https://www.aia.com.hk/en/products/save/serene-life-series.html")</f>
        <v>https://www.aia.com.hk/en/products/save/serene-life-series.html</v>
      </c>
      <c r="J216" s="111"/>
      <c r="K216" s="96" t="s">
        <v>2183</v>
      </c>
      <c r="L216" s="33" t="s">
        <v>149</v>
      </c>
    </row>
    <row r="217" customFormat="false" ht="72" hidden="false" customHeight="true" outlineLevel="0" collapsed="false">
      <c r="A217" s="95" t="s">
        <v>1588</v>
      </c>
      <c r="B217" s="96" t="s">
        <v>821</v>
      </c>
      <c r="C217" s="95" t="s">
        <v>1231</v>
      </c>
      <c r="D217" s="96" t="s">
        <v>2181</v>
      </c>
      <c r="E217" s="96" t="s">
        <v>2184</v>
      </c>
      <c r="F217" s="96" t="s">
        <v>2136</v>
      </c>
      <c r="G217" s="101" t="n">
        <v>46321</v>
      </c>
      <c r="H217" s="96" t="s">
        <v>1238</v>
      </c>
      <c r="I217" s="111" t="str">
        <f aca="false">HYPERLINK("https://www.aia.com.hk/en/products/save/forever-love-coupon-plan-5.html","https://www.aia.com.hk/en/products/save/forever-love-coupon-plan-5.html")</f>
        <v>https://www.aia.com.hk/en/products/save/forever-love-coupon-plan-5.html</v>
      </c>
      <c r="J217" s="111"/>
      <c r="K217" s="96" t="s">
        <v>2183</v>
      </c>
      <c r="L217" s="33" t="s">
        <v>149</v>
      </c>
    </row>
    <row r="218" customFormat="false" ht="72" hidden="false" customHeight="true" outlineLevel="0" collapsed="false">
      <c r="A218" s="95" t="s">
        <v>1590</v>
      </c>
      <c r="B218" s="96" t="s">
        <v>821</v>
      </c>
      <c r="C218" s="95" t="s">
        <v>1231</v>
      </c>
      <c r="D218" s="96" t="s">
        <v>2181</v>
      </c>
      <c r="E218" s="96" t="s">
        <v>1589</v>
      </c>
      <c r="F218" s="96" t="s">
        <v>2136</v>
      </c>
      <c r="G218" s="101" t="n">
        <v>46321</v>
      </c>
      <c r="H218" s="96" t="s">
        <v>1242</v>
      </c>
      <c r="I218" s="111" t="str">
        <f aca="false">HYPERLINK("https://www.aia.com.hk/en/products/save/spring-income-plan.html","https://www.aia.com.hk/en/products/save/spring-income-plan.html")</f>
        <v>https://www.aia.com.hk/en/products/save/spring-income-plan.html</v>
      </c>
      <c r="J218" s="111"/>
      <c r="K218" s="96" t="s">
        <v>2183</v>
      </c>
      <c r="L218" s="33" t="s">
        <v>149</v>
      </c>
    </row>
    <row r="219" customFormat="false" ht="72" hidden="false" customHeight="true" outlineLevel="0" collapsed="false">
      <c r="A219" s="95" t="s">
        <v>1592</v>
      </c>
      <c r="B219" s="96" t="s">
        <v>821</v>
      </c>
      <c r="C219" s="95" t="s">
        <v>1231</v>
      </c>
      <c r="D219" s="96" t="s">
        <v>2181</v>
      </c>
      <c r="E219" s="96" t="s">
        <v>2185</v>
      </c>
      <c r="F219" s="96" t="s">
        <v>2136</v>
      </c>
      <c r="G219" s="101" t="n">
        <v>46321</v>
      </c>
      <c r="H219" s="96" t="s">
        <v>1246</v>
      </c>
      <c r="I219" s="111" t="str">
        <f aca="false">HYPERLINK("https://www.aia.com.hk/en/products/save/fortune-promise-2.html","https://www.aia.com.hk/en/products/save/fortune-promise-2.html")</f>
        <v>https://www.aia.com.hk/en/products/save/fortune-promise-2.html</v>
      </c>
      <c r="J219" s="111"/>
      <c r="K219" s="96" t="s">
        <v>2183</v>
      </c>
      <c r="L219" s="33" t="s">
        <v>149</v>
      </c>
    </row>
    <row r="220" customFormat="false" ht="72" hidden="false" customHeight="true" outlineLevel="0" collapsed="false">
      <c r="A220" s="95" t="s">
        <v>1594</v>
      </c>
      <c r="B220" s="96" t="s">
        <v>821</v>
      </c>
      <c r="C220" s="95" t="s">
        <v>1231</v>
      </c>
      <c r="D220" s="96" t="s">
        <v>2181</v>
      </c>
      <c r="E220" s="96" t="s">
        <v>2186</v>
      </c>
      <c r="F220" s="96" t="s">
        <v>2136</v>
      </c>
      <c r="G220" s="101" t="n">
        <v>46321</v>
      </c>
      <c r="H220" s="96" t="s">
        <v>1228</v>
      </c>
      <c r="I220" s="111" t="str">
        <f aca="false">HYPERLINK("https://www.aia.com.hk/en/products/save/admire-life-2.html","https://www.aia.com.hk/en/products/save/admire-life-2.html")</f>
        <v>https://www.aia.com.hk/en/products/save/admire-life-2.html</v>
      </c>
      <c r="J220" s="111"/>
      <c r="K220" s="96" t="s">
        <v>2183</v>
      </c>
      <c r="L220" s="33" t="s">
        <v>149</v>
      </c>
    </row>
    <row r="221" customFormat="false" ht="72" hidden="false" customHeight="true" outlineLevel="0" collapsed="false">
      <c r="A221" s="95" t="s">
        <v>1596</v>
      </c>
      <c r="B221" s="96" t="s">
        <v>821</v>
      </c>
      <c r="C221" s="95" t="s">
        <v>1231</v>
      </c>
      <c r="D221" s="96" t="s">
        <v>2181</v>
      </c>
      <c r="E221" s="96" t="s">
        <v>1595</v>
      </c>
      <c r="F221" s="96" t="s">
        <v>2136</v>
      </c>
      <c r="G221" s="101" t="n">
        <v>46321</v>
      </c>
      <c r="H221" s="96" t="s">
        <v>1253</v>
      </c>
      <c r="I221" s="111" t="str">
        <f aca="false">HYPERLINK("https://www.aia.com.hk/en/products/save/golden-years-income-plan.html","https://www.aia.com.hk/en/products/save/golden-years-income-plan.html")</f>
        <v>https://www.aia.com.hk/en/products/save/golden-years-income-plan.html</v>
      </c>
      <c r="J221" s="111"/>
      <c r="K221" s="96" t="s">
        <v>2183</v>
      </c>
      <c r="L221" s="33" t="s">
        <v>149</v>
      </c>
    </row>
    <row r="222" customFormat="false" ht="72" hidden="false" customHeight="true" outlineLevel="0" collapsed="false">
      <c r="A222" s="95" t="s">
        <v>1598</v>
      </c>
      <c r="B222" s="96" t="s">
        <v>821</v>
      </c>
      <c r="C222" s="95" t="s">
        <v>1231</v>
      </c>
      <c r="D222" s="96" t="s">
        <v>2181</v>
      </c>
      <c r="E222" s="96" t="s">
        <v>1597</v>
      </c>
      <c r="F222" s="96" t="s">
        <v>2136</v>
      </c>
      <c r="G222" s="101" t="n">
        <v>46321</v>
      </c>
      <c r="H222" s="96" t="s">
        <v>1257</v>
      </c>
      <c r="I222" s="111" t="str">
        <f aca="false">HYPERLINK("https://www.aia.com.hk/en/products/save/everbliss-annuity.html","https://www.aia.com.hk/en/products/save/everbliss-annuity.html")</f>
        <v>https://www.aia.com.hk/en/products/save/everbliss-annuity.html</v>
      </c>
      <c r="J222" s="111"/>
      <c r="K222" s="96" t="s">
        <v>2183</v>
      </c>
      <c r="L222" s="33" t="s">
        <v>149</v>
      </c>
    </row>
    <row r="223" customFormat="false" ht="72" hidden="false" customHeight="true" outlineLevel="0" collapsed="false">
      <c r="A223" s="95" t="s">
        <v>1600</v>
      </c>
      <c r="B223" s="96" t="s">
        <v>821</v>
      </c>
      <c r="C223" s="95" t="s">
        <v>1263</v>
      </c>
      <c r="D223" s="96" t="s">
        <v>2181</v>
      </c>
      <c r="E223" s="96" t="s">
        <v>1599</v>
      </c>
      <c r="F223" s="96" t="s">
        <v>2136</v>
      </c>
      <c r="G223" s="101" t="n">
        <v>46321</v>
      </c>
      <c r="H223" s="96" t="s">
        <v>1261</v>
      </c>
      <c r="I223" s="111" t="str">
        <f aca="false">HYPERLINK("https://www.manulife.com.hk/en/individual/products/save/savings/prestige-achiever.html","https://www.manulife.com.hk/en/individual/products/save/savings/prestige-achiever.html")</f>
        <v>https://www.manulife.com.hk/en/individual/products/save/savings/prestige-achiever.html</v>
      </c>
      <c r="J223" s="111"/>
      <c r="K223" s="96" t="s">
        <v>2183</v>
      </c>
      <c r="L223" s="33" t="s">
        <v>149</v>
      </c>
    </row>
    <row r="224" customFormat="false" ht="72" hidden="false" customHeight="true" outlineLevel="0" collapsed="false">
      <c r="A224" s="95" t="s">
        <v>1602</v>
      </c>
      <c r="B224" s="96" t="s">
        <v>821</v>
      </c>
      <c r="C224" s="95" t="s">
        <v>1263</v>
      </c>
      <c r="D224" s="96" t="s">
        <v>2181</v>
      </c>
      <c r="E224" s="96" t="s">
        <v>2187</v>
      </c>
      <c r="F224" s="96" t="s">
        <v>2136</v>
      </c>
      <c r="G224" s="101" t="n">
        <v>46321</v>
      </c>
      <c r="H224" s="96" t="s">
        <v>1266</v>
      </c>
      <c r="I224" s="111" t="str">
        <f aca="false">HYPERLINK("https://www.manulife.com.hk/en/individual/products/save/savings/harvest-saver.html","https://www.manulife.com.hk/en/individual/products/save/savings/harvest-saver.html")</f>
        <v>https://www.manulife.com.hk/en/individual/products/save/savings/harvest-saver.html</v>
      </c>
      <c r="J224" s="111"/>
      <c r="K224" s="96" t="s">
        <v>2183</v>
      </c>
      <c r="L224" s="33" t="s">
        <v>149</v>
      </c>
    </row>
    <row r="225" customFormat="false" ht="72" hidden="false" customHeight="true" outlineLevel="0" collapsed="false">
      <c r="A225" s="95" t="s">
        <v>1604</v>
      </c>
      <c r="B225" s="96" t="s">
        <v>821</v>
      </c>
      <c r="C225" s="95" t="s">
        <v>1263</v>
      </c>
      <c r="D225" s="96" t="s">
        <v>2181</v>
      </c>
      <c r="E225" s="96" t="s">
        <v>1603</v>
      </c>
      <c r="F225" s="96" t="s">
        <v>2136</v>
      </c>
      <c r="G225" s="101" t="n">
        <v>46321</v>
      </c>
      <c r="H225" s="96" t="s">
        <v>1228</v>
      </c>
      <c r="I225" s="111" t="str">
        <f aca="false">HYPERLINK("https://www.manulife.com.hk/en/individual/products/save/savings/manucentury.html","https://www.manulife.com.hk/en/individual/products/save/savings/manucentury.html")</f>
        <v>https://www.manulife.com.hk/en/individual/products/save/savings/manucentury.html</v>
      </c>
      <c r="J225" s="111"/>
      <c r="K225" s="96" t="s">
        <v>2183</v>
      </c>
      <c r="L225" s="33" t="s">
        <v>149</v>
      </c>
    </row>
    <row r="226" customFormat="false" ht="72" hidden="false" customHeight="true" outlineLevel="0" collapsed="false">
      <c r="A226" s="95" t="s">
        <v>1606</v>
      </c>
      <c r="B226" s="96" t="s">
        <v>821</v>
      </c>
      <c r="C226" s="95" t="s">
        <v>1263</v>
      </c>
      <c r="D226" s="96" t="s">
        <v>2181</v>
      </c>
      <c r="E226" s="96" t="s">
        <v>1605</v>
      </c>
      <c r="F226" s="96" t="s">
        <v>2136</v>
      </c>
      <c r="G226" s="101" t="n">
        <v>46321</v>
      </c>
      <c r="H226" s="96" t="s">
        <v>1228</v>
      </c>
      <c r="I226" s="111" t="str">
        <f aca="false">HYPERLINK("https://www.manulife.com.hk/en/individual/products/save/savings/annuity-plan-flexifortune.html","https://www.manulife.com.hk/en/individual/products/save/savings/annuity-plan-flexifortune.html")</f>
        <v>https://www.manulife.com.hk/en/individual/products/save/savings/annuity-plan-flexifortune.html</v>
      </c>
      <c r="J226" s="111"/>
      <c r="K226" s="96" t="s">
        <v>2183</v>
      </c>
      <c r="L226" s="33" t="s">
        <v>149</v>
      </c>
    </row>
    <row r="227" customFormat="false" ht="72" hidden="false" customHeight="true" outlineLevel="0" collapsed="false">
      <c r="A227" s="95" t="s">
        <v>1608</v>
      </c>
      <c r="B227" s="96" t="s">
        <v>821</v>
      </c>
      <c r="C227" s="95" t="s">
        <v>1263</v>
      </c>
      <c r="D227" s="96" t="s">
        <v>2181</v>
      </c>
      <c r="E227" s="96" t="s">
        <v>1607</v>
      </c>
      <c r="F227" s="96" t="s">
        <v>2136</v>
      </c>
      <c r="G227" s="101" t="n">
        <v>46321</v>
      </c>
      <c r="H227" s="96" t="s">
        <v>1228</v>
      </c>
      <c r="I227" s="111" t="str">
        <f aca="false">HYPERLINK("https://www.manulife.com.hk/en/individual/products/save/savings/manudelight-annuity-plan.html","https://www.manulife.com.hk/en/individual/products/save/savings/manudelight-annuity-plan.html")</f>
        <v>https://www.manulife.com.hk/en/individual/products/save/savings/manudelight-annuity-plan.html</v>
      </c>
      <c r="J227" s="111"/>
      <c r="K227" s="96" t="s">
        <v>2183</v>
      </c>
      <c r="L227" s="33" t="s">
        <v>149</v>
      </c>
    </row>
    <row r="228" customFormat="false" ht="72" hidden="false" customHeight="true" outlineLevel="0" collapsed="false">
      <c r="A228" s="95" t="s">
        <v>1613</v>
      </c>
      <c r="B228" s="96" t="s">
        <v>821</v>
      </c>
      <c r="C228" s="95" t="s">
        <v>1609</v>
      </c>
      <c r="D228" s="96" t="s">
        <v>2181</v>
      </c>
      <c r="E228" s="95" t="s">
        <v>1610</v>
      </c>
      <c r="F228" s="96" t="s">
        <v>2136</v>
      </c>
      <c r="G228" s="101"/>
      <c r="H228" s="96" t="s">
        <v>1279</v>
      </c>
      <c r="I228" s="111" t="str">
        <f aca="false">HYPERLINK("https://www.dbs.com.hk/personal/promotion/harvest-saver","https://www.dbs.com.hk/personal/promotion/harvest-saver")</f>
        <v>https://www.dbs.com.hk/personal/promotion/harvest-saver</v>
      </c>
      <c r="J228" s="111"/>
      <c r="K228" s="96" t="s">
        <v>2188</v>
      </c>
      <c r="L228" s="33" t="s">
        <v>151</v>
      </c>
    </row>
    <row r="229" customFormat="false" ht="72" hidden="false" customHeight="true" outlineLevel="0" collapsed="false">
      <c r="A229" s="95" t="s">
        <v>1617</v>
      </c>
      <c r="B229" s="96" t="s">
        <v>872</v>
      </c>
      <c r="C229" s="95" t="s">
        <v>883</v>
      </c>
      <c r="D229" s="96" t="s">
        <v>2174</v>
      </c>
      <c r="E229" s="95" t="s">
        <v>1614</v>
      </c>
      <c r="F229" s="96" t="s">
        <v>2136</v>
      </c>
      <c r="G229" s="101" t="n">
        <v>46320</v>
      </c>
      <c r="H229" s="97" t="s">
        <v>1286</v>
      </c>
      <c r="I229" s="111" t="str">
        <f aca="false">HYPERLINK("https://www.sunlifemalaysia.com/client-care/downloads/","https://www.sunlifemalaysia.com/client-care/downloads/")</f>
        <v>https://www.sunlifemalaysia.com/client-care/downloads/</v>
      </c>
      <c r="J229" s="111" t="str">
        <f aca="false">HYPERLINK("https://www.sunlifemalaysia.com/getContentAsset/0d515eb4-0804-41f1-8034-77dce9604d56/826411a5-9a44-43a6-8410-a7ad95da6d70/Private-Wealth-Privilege-Campaign_GTT-Certificate-of-Takaful-GTTPW0726-_Final.pdf","https://www.sunlifemalaysia.com/getContentAsset/0d515eb4-0804-41f1-8034-77dce9604d56/826411a5-9a44-43a6-8410-a7ad95da6d70/Private-Wealth-Privilege-Campaign_GTT-Certificate-of-Takaful-GTTPW0726-_Final.pdf")</f>
        <v>https://www.sunlifemalaysia.com/getContentAsset/0d515eb4-0804-41f1-8034-77dce9604d56/826411a5-9a44-43a6-8410-a7ad95da6d70/Private-Wealth-Privilege-Campaign_GTT-Certificate-of-Takaful-GTTPW0726-_Final.pdf</v>
      </c>
      <c r="K229" s="96" t="s">
        <v>2189</v>
      </c>
      <c r="L229" s="33" t="s">
        <v>153</v>
      </c>
    </row>
    <row r="230" customFormat="false" ht="72" hidden="false" customHeight="true" outlineLevel="0" collapsed="false">
      <c r="A230" s="95" t="s">
        <v>1619</v>
      </c>
      <c r="B230" s="96" t="s">
        <v>872</v>
      </c>
      <c r="C230" s="95" t="s">
        <v>883</v>
      </c>
      <c r="D230" s="96" t="s">
        <v>2174</v>
      </c>
      <c r="E230" s="95" t="s">
        <v>1618</v>
      </c>
      <c r="F230" s="96" t="s">
        <v>2136</v>
      </c>
      <c r="G230" s="101" t="n">
        <v>46320</v>
      </c>
      <c r="H230" s="97" t="s">
        <v>1292</v>
      </c>
      <c r="I230" s="111" t="str">
        <f aca="false">HYPERLINK("https://www.sunlifemalaysia.com/client-care/downloads/","https://www.sunlifemalaysia.com/client-care/downloads/")</f>
        <v>https://www.sunlifemalaysia.com/client-care/downloads/</v>
      </c>
      <c r="J230" s="111" t="str">
        <f aca="false">HYPERLINK("https://www.sunlifemalaysia.com/getContentAsset/cb939176-6528-4785-9603-9a93f9f88dee/826411a5-9a44-43a6-8410-a7ad95da6d70/GTT-CI-Certificate-of-Takaful_Eng_071125_Final-Website.pdf","https://www.sunlifemalaysia.com/getContentAsset/cb939176-6528-4785-9603-9a93f9f88dee/826411a5-9a44-43a6-8410-a7ad95da6d70/GTT-CI-Certificate-of-Takaful_Eng_071125_Final-Website.pdf")</f>
        <v>https://www.sunlifemalaysia.com/getContentAsset/cb939176-6528-4785-9603-9a93f9f88dee/826411a5-9a44-43a6-8410-a7ad95da6d70/GTT-CI-Certificate-of-Takaful_Eng_071125_Final-Website.pdf</v>
      </c>
      <c r="K230" s="96" t="s">
        <v>2189</v>
      </c>
      <c r="L230" s="33" t="s">
        <v>153</v>
      </c>
    </row>
    <row r="231" customFormat="false" ht="72" hidden="false" customHeight="true" outlineLevel="0" collapsed="false">
      <c r="A231" s="95" t="s">
        <v>1621</v>
      </c>
      <c r="B231" s="96" t="s">
        <v>872</v>
      </c>
      <c r="C231" s="95" t="s">
        <v>883</v>
      </c>
      <c r="D231" s="96" t="s">
        <v>2174</v>
      </c>
      <c r="E231" s="95" t="s">
        <v>1620</v>
      </c>
      <c r="F231" s="96" t="s">
        <v>2136</v>
      </c>
      <c r="G231" s="101" t="n">
        <v>46320</v>
      </c>
      <c r="H231" s="97" t="s">
        <v>1296</v>
      </c>
      <c r="I231" s="111" t="str">
        <f aca="false">HYPERLINK("https://www.sunlifemalaysia.com/client-care/downloads/","https://www.sunlifemalaysia.com/client-care/downloads/")</f>
        <v>https://www.sunlifemalaysia.com/client-care/downloads/</v>
      </c>
      <c r="J231" s="111" t="str">
        <f aca="false">HYPERLINK("https://www.sunlifemalaysia.com/getContentAsset/528d43c5-286a-4a2f-86d0-26270ce3cb46/826411a5-9a44-43a6-8410-a7ad95da6d70/Certificate-of-Takaful_GTTCW_1May26_1.pdf","https://www.sunlifemalaysia.com/getContentAsset/528d43c5-286a-4a2f-86d0-26270ce3cb46/826411a5-9a44-43a6-8410-a7ad95da6d70/Certificate-of-Takaful_GTTCW_1May26_1.pdf")</f>
        <v>https://www.sunlifemalaysia.com/getContentAsset/528d43c5-286a-4a2f-86d0-26270ce3cb46/826411a5-9a44-43a6-8410-a7ad95da6d70/Certificate-of-Takaful_GTTCW_1May26_1.pdf</v>
      </c>
      <c r="K231" s="96" t="s">
        <v>2189</v>
      </c>
      <c r="L231" s="33" t="s">
        <v>153</v>
      </c>
    </row>
    <row r="232" customFormat="false" ht="72" hidden="false" customHeight="true" outlineLevel="0" collapsed="false">
      <c r="A232" s="95" t="s">
        <v>1623</v>
      </c>
      <c r="B232" s="96" t="s">
        <v>872</v>
      </c>
      <c r="C232" s="95" t="s">
        <v>883</v>
      </c>
      <c r="D232" s="96" t="s">
        <v>2174</v>
      </c>
      <c r="E232" s="95" t="s">
        <v>1622</v>
      </c>
      <c r="F232" s="96" t="s">
        <v>2136</v>
      </c>
      <c r="G232" s="101" t="n">
        <v>46320</v>
      </c>
      <c r="H232" s="97" t="s">
        <v>1300</v>
      </c>
      <c r="I232" s="111" t="str">
        <f aca="false">HYPERLINK("https://www.sunlifemalaysia.com/client-care/downloads/","https://www.sunlifemalaysia.com/client-care/downloads/")</f>
        <v>https://www.sunlifemalaysia.com/client-care/downloads/</v>
      </c>
      <c r="J232" s="111" t="str">
        <f aca="false">HYPERLINK("https://www.sunlifemalaysia.com/getContentAsset/d1d1d5fc-dbd4-4747-a159-48c7df0bac2c/826411a5-9a44-43a6-8410-a7ad95da6d70/39.pdf","https://www.sunlifemalaysia.com/getContentAsset/d1d1d5fc-dbd4-4747-a159-48c7df0bac2c/826411a5-9a44-43a6-8410-a7ad95da6d70/39.pdf")</f>
        <v>https://www.sunlifemalaysia.com/getContentAsset/d1d1d5fc-dbd4-4747-a159-48c7df0bac2c/826411a5-9a44-43a6-8410-a7ad95da6d70/39.pdf</v>
      </c>
      <c r="K232" s="96" t="s">
        <v>2189</v>
      </c>
      <c r="L232" s="33" t="s">
        <v>153</v>
      </c>
    </row>
    <row r="233" customFormat="false" ht="72" hidden="false" customHeight="true" outlineLevel="0" collapsed="false">
      <c r="A233" s="95" t="s">
        <v>1627</v>
      </c>
      <c r="B233" s="96" t="s">
        <v>872</v>
      </c>
      <c r="C233" s="95" t="s">
        <v>883</v>
      </c>
      <c r="D233" s="96" t="s">
        <v>2174</v>
      </c>
      <c r="E233" s="95" t="s">
        <v>1624</v>
      </c>
      <c r="F233" s="96" t="s">
        <v>2136</v>
      </c>
      <c r="G233" s="101" t="n">
        <v>46320</v>
      </c>
      <c r="H233" s="97" t="s">
        <v>1304</v>
      </c>
      <c r="I233" s="111" t="str">
        <f aca="false">HYPERLINK("https://www.sunlifemalaysia.com/client-care/downloads/","https://www.sunlifemalaysia.com/client-care/downloads/")</f>
        <v>https://www.sunlifemalaysia.com/client-care/downloads/</v>
      </c>
      <c r="J233" s="111" t="str">
        <f aca="false">HYPERLINK("https://www.sunlifemalaysia.com/getContentAsset/c0326332-fcb5-4478-9b98-7e03bb626dbe/826411a5-9a44-43a6-8410-a7ad95da6d70/40.pdf","https://www.sunlifemalaysia.com/getContentAsset/c0326332-fcb5-4478-9b98-7e03bb626dbe/826411a5-9a44-43a6-8410-a7ad95da6d70/40.pdf")</f>
        <v>https://www.sunlifemalaysia.com/getContentAsset/c0326332-fcb5-4478-9b98-7e03bb626dbe/826411a5-9a44-43a6-8410-a7ad95da6d70/40.pdf</v>
      </c>
      <c r="K233" s="96" t="s">
        <v>2175</v>
      </c>
      <c r="L233" s="33" t="s">
        <v>155</v>
      </c>
    </row>
    <row r="234" customFormat="false" ht="72" hidden="false" customHeight="true" outlineLevel="0" collapsed="false">
      <c r="A234" s="95" t="s">
        <v>1629</v>
      </c>
      <c r="B234" s="96" t="s">
        <v>872</v>
      </c>
      <c r="C234" s="95" t="s">
        <v>883</v>
      </c>
      <c r="D234" s="96" t="s">
        <v>2174</v>
      </c>
      <c r="E234" s="95" t="s">
        <v>1628</v>
      </c>
      <c r="F234" s="96" t="s">
        <v>2136</v>
      </c>
      <c r="G234" s="101" t="n">
        <v>46320</v>
      </c>
      <c r="H234" s="97" t="s">
        <v>1308</v>
      </c>
      <c r="I234" s="111" t="str">
        <f aca="false">HYPERLINK("https://www.sunlifemalaysia.com/client-care/downloads/","https://www.sunlifemalaysia.com/client-care/downloads/")</f>
        <v>https://www.sunlifemalaysia.com/client-care/downloads/</v>
      </c>
      <c r="J234" s="111" t="str">
        <f aca="false">HYPERLINK("https://www.sunlifemalaysia.com/getContentAsset/4557f4c7-55b2-4795-b5c3-051bddf97529/826411a5-9a44-43a6-8410-a7ad95da6d70/47.pdf","https://www.sunlifemalaysia.com/getContentAsset/4557f4c7-55b2-4795-b5c3-051bddf97529/826411a5-9a44-43a6-8410-a7ad95da6d70/47.pdf")</f>
        <v>https://www.sunlifemalaysia.com/getContentAsset/4557f4c7-55b2-4795-b5c3-051bddf97529/826411a5-9a44-43a6-8410-a7ad95da6d70/47.pdf</v>
      </c>
      <c r="K234" s="96" t="s">
        <v>2175</v>
      </c>
      <c r="L234" s="33" t="s">
        <v>155</v>
      </c>
    </row>
    <row r="235" customFormat="false" ht="72" hidden="false" customHeight="true" outlineLevel="0" collapsed="false">
      <c r="A235" s="95" t="s">
        <v>1631</v>
      </c>
      <c r="B235" s="96" t="s">
        <v>872</v>
      </c>
      <c r="C235" s="95" t="s">
        <v>883</v>
      </c>
      <c r="D235" s="96" t="s">
        <v>2174</v>
      </c>
      <c r="E235" s="95" t="s">
        <v>1630</v>
      </c>
      <c r="F235" s="96" t="s">
        <v>2136</v>
      </c>
      <c r="G235" s="101" t="n">
        <v>46320</v>
      </c>
      <c r="H235" s="97" t="s">
        <v>1312</v>
      </c>
      <c r="I235" s="111" t="str">
        <f aca="false">HYPERLINK("https://www.sunlifemalaysia.com/client-care/downloads/","https://www.sunlifemalaysia.com/client-care/downloads/")</f>
        <v>https://www.sunlifemalaysia.com/client-care/downloads/</v>
      </c>
      <c r="J235" s="111" t="str">
        <f aca="false">HYPERLINK("https://www.sunlifemalaysia.com/getContentAsset/a5d19da1-740b-4ea7-a9ac-90d491dc67fc/826411a5-9a44-43a6-8410-a7ad95da6d70/41.pdf","https://www.sunlifemalaysia.com/getContentAsset/a5d19da1-740b-4ea7-a9ac-90d491dc67fc/826411a5-9a44-43a6-8410-a7ad95da6d70/41.pdf")</f>
        <v>https://www.sunlifemalaysia.com/getContentAsset/a5d19da1-740b-4ea7-a9ac-90d491dc67fc/826411a5-9a44-43a6-8410-a7ad95da6d70/41.pdf</v>
      </c>
      <c r="K235" s="96" t="s">
        <v>2175</v>
      </c>
      <c r="L235" s="33" t="s">
        <v>155</v>
      </c>
    </row>
    <row r="236" customFormat="false" ht="72" hidden="false" customHeight="true" outlineLevel="0" collapsed="false">
      <c r="A236" s="95" t="s">
        <v>1633</v>
      </c>
      <c r="B236" s="96" t="s">
        <v>872</v>
      </c>
      <c r="C236" s="95" t="s">
        <v>883</v>
      </c>
      <c r="D236" s="96" t="s">
        <v>2174</v>
      </c>
      <c r="E236" s="95" t="s">
        <v>1632</v>
      </c>
      <c r="F236" s="96" t="s">
        <v>2136</v>
      </c>
      <c r="G236" s="101" t="n">
        <v>46320</v>
      </c>
      <c r="H236" s="97" t="s">
        <v>1316</v>
      </c>
      <c r="I236" s="111" t="str">
        <f aca="false">HYPERLINK("https://www.sunlifemalaysia.com/client-care/downloads/","https://www.sunlifemalaysia.com/client-care/downloads/")</f>
        <v>https://www.sunlifemalaysia.com/client-care/downloads/</v>
      </c>
      <c r="J236" s="111" t="str">
        <f aca="false">HYPERLINK("https://www.sunlifemalaysia.com/getContentAsset/e37f1929-bb7a-4d82-b677-041c8405c304/826411a5-9a44-43a6-8410-a7ad95da6d70/43.pdf","https://www.sunlifemalaysia.com/getContentAsset/e37f1929-bb7a-4d82-b677-041c8405c304/826411a5-9a44-43a6-8410-a7ad95da6d70/43.pdf")</f>
        <v>https://www.sunlifemalaysia.com/getContentAsset/e37f1929-bb7a-4d82-b677-041c8405c304/826411a5-9a44-43a6-8410-a7ad95da6d70/43.pdf</v>
      </c>
      <c r="K236" s="96" t="s">
        <v>2175</v>
      </c>
      <c r="L236" s="33" t="s">
        <v>155</v>
      </c>
    </row>
    <row r="237" customFormat="false" ht="72" hidden="false" customHeight="true" outlineLevel="0" collapsed="false">
      <c r="A237" s="95" t="s">
        <v>1635</v>
      </c>
      <c r="B237" s="96" t="s">
        <v>872</v>
      </c>
      <c r="C237" s="95" t="s">
        <v>883</v>
      </c>
      <c r="D237" s="96" t="s">
        <v>2174</v>
      </c>
      <c r="E237" s="95" t="s">
        <v>1634</v>
      </c>
      <c r="F237" s="96" t="s">
        <v>2136</v>
      </c>
      <c r="G237" s="101" t="n">
        <v>46320</v>
      </c>
      <c r="H237" s="97" t="s">
        <v>1320</v>
      </c>
      <c r="I237" s="111" t="str">
        <f aca="false">HYPERLINK("https://www.sunlifemalaysia.com/client-care/downloads/","https://www.sunlifemalaysia.com/client-care/downloads/")</f>
        <v>https://www.sunlifemalaysia.com/client-care/downloads/</v>
      </c>
      <c r="J237" s="111" t="str">
        <f aca="false">HYPERLINK("https://www.sunlifemalaysia.com/getContentAsset/5a5ff04e-82c7-456d-a1af-d225a47e257f/826411a5-9a44-43a6-8410-a7ad95da6d70/45.pdf","https://www.sunlifemalaysia.com/getContentAsset/5a5ff04e-82c7-456d-a1af-d225a47e257f/826411a5-9a44-43a6-8410-a7ad95da6d70/45.pdf")</f>
        <v>https://www.sunlifemalaysia.com/getContentAsset/5a5ff04e-82c7-456d-a1af-d225a47e257f/826411a5-9a44-43a6-8410-a7ad95da6d70/45.pdf</v>
      </c>
      <c r="K237" s="96" t="s">
        <v>2175</v>
      </c>
      <c r="L237" s="33" t="s">
        <v>155</v>
      </c>
    </row>
    <row r="238" customFormat="false" ht="72" hidden="false" customHeight="true" outlineLevel="0" collapsed="false">
      <c r="A238" s="95" t="s">
        <v>1638</v>
      </c>
      <c r="B238" s="96" t="s">
        <v>821</v>
      </c>
      <c r="C238" s="95" t="s">
        <v>1326</v>
      </c>
      <c r="D238" s="96" t="s">
        <v>2181</v>
      </c>
      <c r="E238" s="95" t="s">
        <v>1636</v>
      </c>
      <c r="F238" s="96" t="s">
        <v>2136</v>
      </c>
      <c r="G238" s="101"/>
      <c r="H238" s="97" t="s">
        <v>1324</v>
      </c>
      <c r="I238" s="111" t="str">
        <f aca="false">HYPERLINK("https://www.bluecross.com.hk/en/HomeSafe-Protection-Insurance/Information","https://www.bluecross.com.hk/en/HomeSafe-Protection-Insurance/Information")</f>
        <v>https://www.bluecross.com.hk/en/HomeSafe-Protection-Insurance/Information</v>
      </c>
      <c r="J238" s="111"/>
      <c r="K238" s="96" t="s">
        <v>2190</v>
      </c>
      <c r="L238" s="33" t="s">
        <v>157</v>
      </c>
    </row>
    <row r="239" customFormat="false" ht="72" hidden="false" customHeight="true" outlineLevel="0" collapsed="false">
      <c r="A239" s="95" t="s">
        <v>1640</v>
      </c>
      <c r="B239" s="96" t="s">
        <v>821</v>
      </c>
      <c r="C239" s="95" t="s">
        <v>1333</v>
      </c>
      <c r="D239" s="96" t="s">
        <v>2181</v>
      </c>
      <c r="E239" s="95" t="s">
        <v>1639</v>
      </c>
      <c r="F239" s="96" t="s">
        <v>2136</v>
      </c>
      <c r="G239" s="101"/>
      <c r="H239" s="97" t="s">
        <v>1331</v>
      </c>
      <c r="I239" s="111" t="str">
        <f aca="false">HYPERLINK("https://www.tgi.com.hk/insurance/motor-product","https://www.tgi.com.hk/insurance/motor-product")</f>
        <v>https://www.tgi.com.hk/insurance/motor-product</v>
      </c>
      <c r="J239" s="111"/>
      <c r="K239" s="96" t="s">
        <v>2190</v>
      </c>
      <c r="L239" s="33" t="s">
        <v>157</v>
      </c>
    </row>
    <row r="240" customFormat="false" ht="72" hidden="false" customHeight="true" outlineLevel="0" collapsed="false">
      <c r="A240" s="95" t="s">
        <v>1642</v>
      </c>
      <c r="B240" s="96" t="s">
        <v>821</v>
      </c>
      <c r="C240" s="95" t="s">
        <v>1333</v>
      </c>
      <c r="D240" s="96" t="s">
        <v>2181</v>
      </c>
      <c r="E240" s="95" t="s">
        <v>1641</v>
      </c>
      <c r="F240" s="96" t="s">
        <v>2136</v>
      </c>
      <c r="G240" s="101"/>
      <c r="H240" s="97" t="s">
        <v>1336</v>
      </c>
      <c r="I240" s="111" t="str">
        <f aca="false">HYPERLINK("https://www.tgi.com.hk/insurance/travel-product","https://www.tgi.com.hk/insurance/travel-product")</f>
        <v>https://www.tgi.com.hk/insurance/travel-product</v>
      </c>
      <c r="J240" s="111"/>
      <c r="K240" s="96" t="s">
        <v>2190</v>
      </c>
      <c r="L240" s="33" t="s">
        <v>157</v>
      </c>
    </row>
    <row r="241" customFormat="false" ht="72" hidden="false" customHeight="true" outlineLevel="0" collapsed="false">
      <c r="A241" s="95" t="s">
        <v>1644</v>
      </c>
      <c r="B241" s="96" t="s">
        <v>1340</v>
      </c>
      <c r="C241" s="95" t="s">
        <v>1343</v>
      </c>
      <c r="D241" s="96" t="s">
        <v>2181</v>
      </c>
      <c r="E241" s="95" t="s">
        <v>1643</v>
      </c>
      <c r="F241" s="96" t="s">
        <v>2136</v>
      </c>
      <c r="G241" s="101"/>
      <c r="H241" s="97" t="s">
        <v>1341</v>
      </c>
      <c r="I241" s="111" t="str">
        <f aca="false">HYPERLINK("https://www.manulife.com/ph/services/frequently-asked-questions/365-ready-products","https://www.manulife.com/ph/services/frequently-asked-questions/365-ready-products")</f>
        <v>https://www.manulife.com/ph/services/frequently-asked-questions/365-ready-products</v>
      </c>
      <c r="J241" s="111"/>
      <c r="K241" s="96" t="s">
        <v>2190</v>
      </c>
      <c r="L241" s="33" t="s">
        <v>157</v>
      </c>
    </row>
    <row r="242" customFormat="false" ht="91.2" hidden="false" customHeight="true" outlineLevel="0" collapsed="false">
      <c r="A242" s="95" t="s">
        <v>1647</v>
      </c>
      <c r="B242" s="96" t="s">
        <v>821</v>
      </c>
      <c r="C242" s="95" t="s">
        <v>1333</v>
      </c>
      <c r="D242" s="96" t="s">
        <v>2181</v>
      </c>
      <c r="E242" s="95" t="s">
        <v>1645</v>
      </c>
      <c r="F242" s="96" t="s">
        <v>2136</v>
      </c>
      <c r="G242" s="101"/>
      <c r="H242" s="97" t="s">
        <v>1346</v>
      </c>
      <c r="I242" s="111" t="str">
        <f aca="false">HYPERLINK("https://www.tgi.com.hk/insurance/motor-product","https://www.tgi.com.hk/insurance/motor-product")</f>
        <v>https://www.tgi.com.hk/insurance/motor-product</v>
      </c>
      <c r="J242" s="111"/>
      <c r="K242" s="96" t="s">
        <v>2191</v>
      </c>
      <c r="L242" s="33" t="s">
        <v>159</v>
      </c>
    </row>
    <row r="243" customFormat="false" ht="91.2" hidden="false" customHeight="true" outlineLevel="0" collapsed="false">
      <c r="A243" s="95" t="s">
        <v>1649</v>
      </c>
      <c r="B243" s="96" t="s">
        <v>821</v>
      </c>
      <c r="C243" s="95" t="s">
        <v>1333</v>
      </c>
      <c r="D243" s="96" t="s">
        <v>2181</v>
      </c>
      <c r="E243" s="95" t="s">
        <v>1648</v>
      </c>
      <c r="F243" s="96" t="s">
        <v>2136</v>
      </c>
      <c r="G243" s="101"/>
      <c r="H243" s="97" t="s">
        <v>1351</v>
      </c>
      <c r="I243" s="111" t="str">
        <f aca="false">HYPERLINK("https://www.tgi.com.hk/insurance/travel-product","https://www.tgi.com.hk/insurance/travel-product")</f>
        <v>https://www.tgi.com.hk/insurance/travel-product</v>
      </c>
      <c r="J243" s="111"/>
      <c r="K243" s="96" t="s">
        <v>2192</v>
      </c>
      <c r="L243" s="33" t="s">
        <v>159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75"/>
    <col collapsed="false" customWidth="true" hidden="false" outlineLevel="0" max="4" min="3" style="0" width="65"/>
  </cols>
  <sheetData>
    <row r="1" customFormat="false" ht="32" hidden="false" customHeight="true" outlineLevel="0" collapsed="false">
      <c r="A1" s="6" t="s">
        <v>2193</v>
      </c>
      <c r="B1" s="6" t="s">
        <v>2194</v>
      </c>
      <c r="C1" s="6" t="s">
        <v>2195</v>
      </c>
      <c r="D1" s="6" t="s">
        <v>2196</v>
      </c>
    </row>
    <row r="2" customFormat="false" ht="30" hidden="false" customHeight="true" outlineLevel="0" collapsed="false">
      <c r="A2" s="71" t="s">
        <v>2197</v>
      </c>
      <c r="B2" s="71" t="s">
        <v>2198</v>
      </c>
      <c r="C2" s="71" t="s">
        <v>2199</v>
      </c>
      <c r="D2" s="70" t="s">
        <v>2200</v>
      </c>
    </row>
    <row r="3" customFormat="false" ht="30" hidden="false" customHeight="true" outlineLevel="0" collapsed="false">
      <c r="A3" s="77" t="s">
        <v>54</v>
      </c>
      <c r="B3" s="77" t="s">
        <v>2201</v>
      </c>
      <c r="C3" s="77" t="s">
        <v>2202</v>
      </c>
      <c r="D3" s="77" t="s">
        <v>2203</v>
      </c>
    </row>
    <row r="4" customFormat="false" ht="30" hidden="false" customHeight="true" outlineLevel="0" collapsed="false">
      <c r="A4" s="71" t="s">
        <v>2204</v>
      </c>
      <c r="B4" s="71" t="s">
        <v>2205</v>
      </c>
      <c r="C4" s="71" t="s">
        <v>2206</v>
      </c>
      <c r="D4" s="71" t="s">
        <v>2207</v>
      </c>
    </row>
    <row r="5" customFormat="false" ht="30" hidden="false" customHeight="true" outlineLevel="0" collapsed="false">
      <c r="A5" s="77" t="s">
        <v>2208</v>
      </c>
      <c r="B5" s="77" t="s">
        <v>2209</v>
      </c>
      <c r="C5" s="77" t="s">
        <v>2210</v>
      </c>
      <c r="D5" s="76" t="s">
        <v>2211</v>
      </c>
    </row>
    <row r="6" customFormat="false" ht="30" hidden="false" customHeight="true" outlineLevel="0" collapsed="false">
      <c r="A6" s="71" t="s">
        <v>2212</v>
      </c>
      <c r="B6" s="71" t="s">
        <v>2213</v>
      </c>
      <c r="C6" s="71" t="s">
        <v>2214</v>
      </c>
      <c r="D6" s="70" t="s">
        <v>2215</v>
      </c>
    </row>
    <row r="7" customFormat="false" ht="30" hidden="false" customHeight="true" outlineLevel="0" collapsed="false">
      <c r="A7" s="77" t="s">
        <v>2216</v>
      </c>
      <c r="B7" s="77" t="s">
        <v>2217</v>
      </c>
      <c r="C7" s="77" t="s">
        <v>2218</v>
      </c>
      <c r="D7" s="76" t="s">
        <v>2219</v>
      </c>
    </row>
    <row r="8" customFormat="false" ht="30" hidden="false" customHeight="true" outlineLevel="0" collapsed="false">
      <c r="A8" s="71" t="s">
        <v>2220</v>
      </c>
      <c r="B8" s="71" t="s">
        <v>2221</v>
      </c>
      <c r="C8" s="71" t="s">
        <v>2222</v>
      </c>
      <c r="D8" s="71" t="s">
        <v>2223</v>
      </c>
    </row>
    <row r="9" customFormat="false" ht="30" hidden="false" customHeight="true" outlineLevel="0" collapsed="false">
      <c r="A9" s="77" t="s">
        <v>2224</v>
      </c>
      <c r="B9" s="77" t="s">
        <v>2225</v>
      </c>
      <c r="C9" s="77" t="s">
        <v>2226</v>
      </c>
      <c r="D9" s="77" t="s">
        <v>2227</v>
      </c>
    </row>
    <row r="12" customFormat="false" ht="32" hidden="false" customHeight="true" outlineLevel="0" collapsed="false">
      <c r="A12" s="6" t="s">
        <v>2228</v>
      </c>
      <c r="B12" s="6" t="s">
        <v>2229</v>
      </c>
      <c r="C12" s="6" t="s">
        <v>2230</v>
      </c>
      <c r="D12" s="6" t="s">
        <v>2231</v>
      </c>
    </row>
    <row r="13" customFormat="false" ht="28" hidden="false" customHeight="true" outlineLevel="0" collapsed="false">
      <c r="A13" s="112" t="s">
        <v>2232</v>
      </c>
      <c r="B13" s="112" t="n">
        <f aca="false">COUNTA('12地区基线'!A2:A13)</f>
        <v>12</v>
      </c>
      <c r="C13" s="112" t="n">
        <v>12</v>
      </c>
      <c r="D13" s="113" t="str">
        <f aca="false">IF(B13=C13,"一致","需检查增删")</f>
        <v>一致</v>
      </c>
    </row>
    <row r="14" customFormat="false" ht="28" hidden="false" customHeight="true" outlineLevel="0" collapsed="false">
      <c r="A14" s="112" t="s">
        <v>2233</v>
      </c>
      <c r="B14" s="112" t="n">
        <f aca="false">COUNTA(首批固定任务!A2:A109)</f>
        <v>108</v>
      </c>
      <c r="C14" s="112" t="n">
        <v>108</v>
      </c>
      <c r="D14" s="113" t="str">
        <f aca="false">IF(B14=C14,"一致","需检查增删")</f>
        <v>一致</v>
      </c>
    </row>
    <row r="15" customFormat="false" ht="28" hidden="false" customHeight="true" outlineLevel="0" collapsed="false">
      <c r="A15" s="112" t="s">
        <v>2234</v>
      </c>
      <c r="B15" s="112" t="n">
        <f aca="false">COUNTA(保司与来源!A2:A243)</f>
        <v>242</v>
      </c>
      <c r="C15" s="112" t="n">
        <v>242</v>
      </c>
      <c r="D15" s="113" t="str">
        <f aca="false">IF(B15=C15,"一致","需检查增删")</f>
        <v>一致</v>
      </c>
    </row>
    <row r="16" customFormat="false" ht="28" hidden="false" customHeight="true" outlineLevel="0" collapsed="false">
      <c r="A16" s="112" t="s">
        <v>2235</v>
      </c>
      <c r="B16" s="112" t="n">
        <f aca="false">SUM('12地区基线'!D2:D13)</f>
        <v>4710</v>
      </c>
      <c r="C16" s="112" t="n">
        <v>4710</v>
      </c>
      <c r="D16" s="113" t="str">
        <f aca="false">IF(B16=C16,"一致","需检查增删")</f>
        <v>一致</v>
      </c>
    </row>
    <row r="17" customFormat="false" ht="28" hidden="false" customHeight="true" outlineLevel="0" collapsed="false">
      <c r="A17" s="112" t="s">
        <v>2236</v>
      </c>
      <c r="B17" s="112" t="n">
        <f aca="false">SUM('12地区基线'!E2:E13)</f>
        <v>2245</v>
      </c>
      <c r="C17" s="112" t="n">
        <v>2245</v>
      </c>
      <c r="D17" s="113" t="str">
        <f aca="false">IF(B17=C17,"一致","需检查增删")</f>
        <v>一致</v>
      </c>
    </row>
    <row r="18" customFormat="false" ht="28" hidden="false" customHeight="true" outlineLevel="0" collapsed="false">
      <c r="A18" s="112" t="s">
        <v>2237</v>
      </c>
      <c r="B18" s="112" t="n">
        <f aca="false">SUM('12地区基线'!F2:F13)</f>
        <v>411</v>
      </c>
      <c r="C18" s="112" t="n">
        <v>411</v>
      </c>
      <c r="D18" s="113" t="str">
        <f aca="false">IF(B18=C18,"一致","需检查增删")</f>
        <v>一致</v>
      </c>
    </row>
    <row r="19" customFormat="false" ht="28" hidden="false" customHeight="true" outlineLevel="0" collapsed="false">
      <c r="A19" s="112" t="s">
        <v>2238</v>
      </c>
      <c r="B19" s="112" t="n">
        <f aca="false">SUM('12地区基线'!G2:G13)</f>
        <v>51</v>
      </c>
      <c r="C19" s="112" t="n">
        <v>51</v>
      </c>
      <c r="D19" s="113" t="str">
        <f aca="false">IF(B19=C19,"一致","需检查增删")</f>
        <v>一致</v>
      </c>
    </row>
    <row r="21" customFormat="false" ht="32" hidden="false" customHeight="true" outlineLevel="0" collapsed="false">
      <c r="A21" s="17" t="s">
        <v>2239</v>
      </c>
      <c r="B21" s="17" t="s">
        <v>2240</v>
      </c>
      <c r="C21" s="17" t="s">
        <v>2241</v>
      </c>
      <c r="D21" s="17" t="s">
        <v>2242</v>
      </c>
    </row>
    <row r="22" customFormat="false" ht="40" hidden="false" customHeight="true" outlineLevel="0" collapsed="false">
      <c r="A22" s="19" t="s">
        <v>820</v>
      </c>
      <c r="B22" s="19" t="n">
        <f aca="false">COUNTIFS(首批固定任务!$A$2:$A$24,A22)</f>
        <v>1</v>
      </c>
      <c r="C22" s="19" t="n">
        <f aca="false">COUNTIFS(本批执行结果!$A$2:$A$24,A22)</f>
        <v>1</v>
      </c>
      <c r="D22" s="19" t="str">
        <f aca="false">IF(AND(B22=1,C22=1),"一致","缺范围或重复")</f>
        <v>一致</v>
      </c>
    </row>
    <row r="23" customFormat="false" ht="40" hidden="false" customHeight="true" outlineLevel="0" collapsed="false">
      <c r="A23" s="19" t="s">
        <v>837</v>
      </c>
      <c r="B23" s="19" t="n">
        <f aca="false">COUNTIFS(首批固定任务!$A$2:$A$24,A23)</f>
        <v>1</v>
      </c>
      <c r="C23" s="19" t="n">
        <f aca="false">COUNTIFS(本批执行结果!$A$2:$A$24,A23)</f>
        <v>1</v>
      </c>
      <c r="D23" s="19" t="str">
        <f aca="false">IF(AND(B23=1,C23=1),"一致","缺范围或重复")</f>
        <v>一致</v>
      </c>
    </row>
    <row r="24" customFormat="false" ht="40" hidden="false" customHeight="true" outlineLevel="0" collapsed="false">
      <c r="A24" s="19" t="s">
        <v>843</v>
      </c>
      <c r="B24" s="19" t="n">
        <f aca="false">COUNTIFS(首批固定任务!$A$2:$A$24,A24)</f>
        <v>1</v>
      </c>
      <c r="C24" s="19" t="n">
        <f aca="false">COUNTIFS(本批执行结果!$A$2:$A$24,A24)</f>
        <v>1</v>
      </c>
      <c r="D24" s="19" t="str">
        <f aca="false">IF(AND(B24=1,C24=1),"一致","缺范围或重复")</f>
        <v>一致</v>
      </c>
    </row>
    <row r="25" customFormat="false" ht="40" hidden="false" customHeight="true" outlineLevel="0" collapsed="false">
      <c r="A25" s="19" t="s">
        <v>848</v>
      </c>
      <c r="B25" s="19" t="n">
        <f aca="false">COUNTIFS(首批固定任务!$A$2:$A$24,A25)</f>
        <v>1</v>
      </c>
      <c r="C25" s="19" t="n">
        <f aca="false">COUNTIFS(本批执行结果!$A$2:$A$24,A25)</f>
        <v>1</v>
      </c>
      <c r="D25" s="19" t="str">
        <f aca="false">IF(AND(B25=1,C25=1),"一致","缺范围或重复")</f>
        <v>一致</v>
      </c>
    </row>
    <row r="26" customFormat="false" ht="40" hidden="false" customHeight="true" outlineLevel="0" collapsed="false">
      <c r="A26" s="19" t="s">
        <v>853</v>
      </c>
      <c r="B26" s="19" t="n">
        <f aca="false">COUNTIFS(首批固定任务!$A$2:$A$24,A26)</f>
        <v>1</v>
      </c>
      <c r="C26" s="19" t="n">
        <f aca="false">COUNTIFS(本批执行结果!$A$2:$A$24,A26)</f>
        <v>1</v>
      </c>
      <c r="D26" s="19" t="str">
        <f aca="false">IF(AND(B26=1,C26=1),"一致","缺范围或重复")</f>
        <v>一致</v>
      </c>
    </row>
    <row r="27" customFormat="false" ht="40" hidden="false" customHeight="true" outlineLevel="0" collapsed="false">
      <c r="A27" s="19" t="s">
        <v>860</v>
      </c>
      <c r="B27" s="19" t="n">
        <f aca="false">COUNTIFS(首批固定任务!$A$2:$A$24,A27)</f>
        <v>1</v>
      </c>
      <c r="C27" s="19" t="n">
        <f aca="false">COUNTIFS(本批执行结果!$A$2:$A$24,A27)</f>
        <v>1</v>
      </c>
      <c r="D27" s="19" t="str">
        <f aca="false">IF(AND(B27=1,C27=1),"一致","缺范围或重复")</f>
        <v>一致</v>
      </c>
    </row>
    <row r="28" customFormat="false" ht="40" hidden="false" customHeight="true" outlineLevel="0" collapsed="false">
      <c r="A28" s="19" t="s">
        <v>865</v>
      </c>
      <c r="B28" s="19" t="n">
        <f aca="false">COUNTIFS(首批固定任务!$A$2:$A$24,A28)</f>
        <v>1</v>
      </c>
      <c r="C28" s="19" t="n">
        <f aca="false">COUNTIFS(本批执行结果!$A$2:$A$24,A28)</f>
        <v>1</v>
      </c>
      <c r="D28" s="19" t="str">
        <f aca="false">IF(AND(B28=1,C28=1),"一致","缺范围或重复")</f>
        <v>一致</v>
      </c>
    </row>
    <row r="29" customFormat="false" ht="40" hidden="false" customHeight="true" outlineLevel="0" collapsed="false">
      <c r="A29" s="19" t="s">
        <v>871</v>
      </c>
      <c r="B29" s="19" t="n">
        <f aca="false">COUNTIFS(首批固定任务!$A$2:$A$24,A29)</f>
        <v>1</v>
      </c>
      <c r="C29" s="19" t="n">
        <f aca="false">COUNTIFS(本批执行结果!$A$2:$A$24,A29)</f>
        <v>1</v>
      </c>
      <c r="D29" s="19" t="str">
        <f aca="false">IF(AND(B29=1,C29=1),"一致","缺范围或重复")</f>
        <v>一致</v>
      </c>
    </row>
    <row r="30" customFormat="false" ht="40" hidden="false" customHeight="true" outlineLevel="0" collapsed="false">
      <c r="A30" s="19" t="s">
        <v>878</v>
      </c>
      <c r="B30" s="19" t="n">
        <f aca="false">COUNTIFS(首批固定任务!$A$2:$A$24,A30)</f>
        <v>1</v>
      </c>
      <c r="C30" s="19" t="n">
        <f aca="false">COUNTIFS(本批执行结果!$A$2:$A$24,A30)</f>
        <v>1</v>
      </c>
      <c r="D30" s="19" t="str">
        <f aca="false">IF(AND(B30=1,C30=1),"一致","缺范围或重复")</f>
        <v>一致</v>
      </c>
    </row>
    <row r="31" customFormat="false" ht="40" hidden="false" customHeight="true" outlineLevel="0" collapsed="false">
      <c r="A31" s="19" t="s">
        <v>881</v>
      </c>
      <c r="B31" s="19" t="n">
        <f aca="false">COUNTIFS(首批固定任务!$A$2:$A$24,A31)</f>
        <v>1</v>
      </c>
      <c r="C31" s="19" t="n">
        <f aca="false">COUNTIFS(本批执行结果!$A$2:$A$24,A31)</f>
        <v>1</v>
      </c>
      <c r="D31" s="19" t="str">
        <f aca="false">IF(AND(B31=1,C31=1),"一致","缺范围或重复")</f>
        <v>一致</v>
      </c>
    </row>
    <row r="32" customFormat="false" ht="40" hidden="false" customHeight="true" outlineLevel="0" collapsed="false">
      <c r="A32" s="19" t="s">
        <v>885</v>
      </c>
      <c r="B32" s="19" t="n">
        <f aca="false">COUNTIFS(首批固定任务!$A$2:$A$24,A32)</f>
        <v>1</v>
      </c>
      <c r="C32" s="19" t="n">
        <f aca="false">COUNTIFS(本批执行结果!$A$2:$A$24,A32)</f>
        <v>1</v>
      </c>
      <c r="D32" s="19" t="str">
        <f aca="false">IF(AND(B32=1,C32=1),"一致","缺范围或重复")</f>
        <v>一致</v>
      </c>
    </row>
    <row r="33" customFormat="false" ht="40" hidden="false" customHeight="true" outlineLevel="0" collapsed="false">
      <c r="A33" s="19" t="s">
        <v>888</v>
      </c>
      <c r="B33" s="19" t="n">
        <f aca="false">COUNTIFS(首批固定任务!$A$2:$A$24,A33)</f>
        <v>1</v>
      </c>
      <c r="C33" s="19" t="n">
        <f aca="false">COUNTIFS(本批执行结果!$A$2:$A$24,A33)</f>
        <v>1</v>
      </c>
      <c r="D33" s="19" t="str">
        <f aca="false">IF(AND(B33=1,C33=1),"一致","缺范围或重复")</f>
        <v>一致</v>
      </c>
    </row>
    <row r="34" customFormat="false" ht="40" hidden="false" customHeight="true" outlineLevel="0" collapsed="false">
      <c r="A34" s="19" t="s">
        <v>891</v>
      </c>
      <c r="B34" s="19" t="n">
        <f aca="false">COUNTIFS(首批固定任务!$A$2:$A$24,A34)</f>
        <v>1</v>
      </c>
      <c r="C34" s="19" t="n">
        <f aca="false">COUNTIFS(本批执行结果!$A$2:$A$24,A34)</f>
        <v>1</v>
      </c>
      <c r="D34" s="19" t="str">
        <f aca="false">IF(AND(B34=1,C34=1),"一致","缺范围或重复")</f>
        <v>一致</v>
      </c>
    </row>
    <row r="35" customFormat="false" ht="40" hidden="false" customHeight="true" outlineLevel="0" collapsed="false">
      <c r="A35" s="19" t="s">
        <v>899</v>
      </c>
      <c r="B35" s="19" t="n">
        <f aca="false">COUNTIFS(首批固定任务!$A$2:$A$24,A35)</f>
        <v>1</v>
      </c>
      <c r="C35" s="19" t="n">
        <f aca="false">COUNTIFS(本批执行结果!$A$2:$A$24,A35)</f>
        <v>1</v>
      </c>
      <c r="D35" s="19" t="str">
        <f aca="false">IF(AND(B35=1,C35=1),"一致","缺范围或重复")</f>
        <v>一致</v>
      </c>
    </row>
    <row r="36" customFormat="false" ht="40" hidden="false" customHeight="true" outlineLevel="0" collapsed="false">
      <c r="A36" s="19" t="s">
        <v>903</v>
      </c>
      <c r="B36" s="19" t="n">
        <f aca="false">COUNTIFS(首批固定任务!$A$2:$A$24,A36)</f>
        <v>1</v>
      </c>
      <c r="C36" s="19" t="n">
        <f aca="false">COUNTIFS(本批执行结果!$A$2:$A$24,A36)</f>
        <v>1</v>
      </c>
      <c r="D36" s="19" t="str">
        <f aca="false">IF(AND(B36=1,C36=1),"一致","缺范围或重复")</f>
        <v>一致</v>
      </c>
    </row>
    <row r="37" customFormat="false" ht="40" hidden="false" customHeight="true" outlineLevel="0" collapsed="false">
      <c r="A37" s="19" t="s">
        <v>907</v>
      </c>
      <c r="B37" s="19" t="n">
        <f aca="false">COUNTIFS(首批固定任务!$A$2:$A$24,A37)</f>
        <v>1</v>
      </c>
      <c r="C37" s="19" t="n">
        <f aca="false">COUNTIFS(本批执行结果!$A$2:$A$24,A37)</f>
        <v>1</v>
      </c>
      <c r="D37" s="19" t="str">
        <f aca="false">IF(AND(B37=1,C37=1),"一致","缺范围或重复")</f>
        <v>一致</v>
      </c>
    </row>
    <row r="38" customFormat="false" ht="40" hidden="false" customHeight="true" outlineLevel="0" collapsed="false">
      <c r="A38" s="19" t="s">
        <v>911</v>
      </c>
      <c r="B38" s="19" t="n">
        <f aca="false">COUNTIFS(首批固定任务!$A$2:$A$24,A38)</f>
        <v>1</v>
      </c>
      <c r="C38" s="19" t="n">
        <f aca="false">COUNTIFS(本批执行结果!$A$2:$A$24,A38)</f>
        <v>1</v>
      </c>
      <c r="D38" s="19" t="str">
        <f aca="false">IF(AND(B38=1,C38=1),"一致","缺范围或重复")</f>
        <v>一致</v>
      </c>
    </row>
    <row r="39" customFormat="false" ht="40" hidden="false" customHeight="true" outlineLevel="0" collapsed="false">
      <c r="A39" s="19" t="s">
        <v>915</v>
      </c>
      <c r="B39" s="19" t="n">
        <f aca="false">COUNTIFS(首批固定任务!$A$2:$A$24,A39)</f>
        <v>1</v>
      </c>
      <c r="C39" s="19" t="n">
        <f aca="false">COUNTIFS(本批执行结果!$A$2:$A$24,A39)</f>
        <v>1</v>
      </c>
      <c r="D39" s="19" t="str">
        <f aca="false">IF(AND(B39=1,C39=1),"一致","缺范围或重复")</f>
        <v>一致</v>
      </c>
    </row>
    <row r="40" customFormat="false" ht="40" hidden="false" customHeight="true" outlineLevel="0" collapsed="false">
      <c r="A40" s="19" t="s">
        <v>922</v>
      </c>
      <c r="B40" s="19" t="n">
        <f aca="false">COUNTIFS(首批固定任务!$A$2:$A$24,A40)</f>
        <v>1</v>
      </c>
      <c r="C40" s="19" t="n">
        <f aca="false">COUNTIFS(本批执行结果!$A$2:$A$24,A40)</f>
        <v>1</v>
      </c>
      <c r="D40" s="19" t="str">
        <f aca="false">IF(AND(B40=1,C40=1),"一致","缺范围或重复")</f>
        <v>一致</v>
      </c>
    </row>
    <row r="41" customFormat="false" ht="40" hidden="false" customHeight="true" outlineLevel="0" collapsed="false">
      <c r="A41" s="19" t="s">
        <v>927</v>
      </c>
      <c r="B41" s="19" t="n">
        <f aca="false">COUNTIFS(首批固定任务!$A$2:$A$24,A41)</f>
        <v>1</v>
      </c>
      <c r="C41" s="19" t="n">
        <f aca="false">COUNTIFS(本批执行结果!$A$2:$A$24,A41)</f>
        <v>1</v>
      </c>
      <c r="D41" s="19" t="str">
        <f aca="false">IF(AND(B41=1,C41=1),"一致","缺范围或重复")</f>
        <v>一致</v>
      </c>
    </row>
    <row r="42" customFormat="false" ht="40" hidden="false" customHeight="true" outlineLevel="0" collapsed="false">
      <c r="A42" s="19" t="s">
        <v>932</v>
      </c>
      <c r="B42" s="19" t="n">
        <f aca="false">COUNTIFS(首批固定任务!$A$2:$A$24,A42)</f>
        <v>1</v>
      </c>
      <c r="C42" s="19" t="n">
        <f aca="false">COUNTIFS(本批执行结果!$A$2:$A$24,A42)</f>
        <v>1</v>
      </c>
      <c r="D42" s="19" t="str">
        <f aca="false">IF(AND(B42=1,C42=1),"一致","缺范围或重复")</f>
        <v>一致</v>
      </c>
    </row>
    <row r="43" customFormat="false" ht="40" hidden="false" customHeight="true" outlineLevel="0" collapsed="false">
      <c r="A43" s="19" t="s">
        <v>937</v>
      </c>
      <c r="B43" s="19" t="n">
        <f aca="false">COUNTIFS(首批固定任务!$A$2:$A$24,A43)</f>
        <v>1</v>
      </c>
      <c r="C43" s="19" t="n">
        <f aca="false">COUNTIFS(本批执行结果!$A$2:$A$24,A43)</f>
        <v>1</v>
      </c>
      <c r="D43" s="19" t="str">
        <f aca="false">IF(AND(B43=1,C43=1),"一致","缺范围或重复")</f>
        <v>一致</v>
      </c>
    </row>
    <row r="44" customFormat="false" ht="40" hidden="false" customHeight="true" outlineLevel="0" collapsed="false">
      <c r="A44" s="19" t="s">
        <v>945</v>
      </c>
      <c r="B44" s="19" t="n">
        <f aca="false">COUNTIFS(首批固定任务!$A$2:$A$24,A44)</f>
        <v>1</v>
      </c>
      <c r="C44" s="19" t="n">
        <f aca="false">COUNTIFS(本批执行结果!$A$2:$A$24,A44)</f>
        <v>1</v>
      </c>
      <c r="D44" s="19" t="str">
        <f aca="false">IF(AND(B44=1,C44=1),"一致","缺范围或重复")</f>
        <v>一致</v>
      </c>
    </row>
    <row r="45" customFormat="false" ht="40" hidden="false" customHeight="true" outlineLevel="0" collapsed="false">
      <c r="A45" s="19"/>
      <c r="B45" s="19"/>
      <c r="C45" s="19"/>
      <c r="D45" s="19"/>
    </row>
    <row r="46" customFormat="false" ht="60" hidden="false" customHeight="true" outlineLevel="0" collapsed="false">
      <c r="A46" s="19" t="s">
        <v>2243</v>
      </c>
      <c r="B46" s="19" t="s">
        <v>2244</v>
      </c>
      <c r="C46" s="19" t="s">
        <v>2245</v>
      </c>
      <c r="D46" s="20" t="s">
        <v>2246</v>
      </c>
    </row>
    <row r="47" customFormat="false" ht="60" hidden="false" customHeight="true" outlineLevel="0" collapsed="false">
      <c r="A47" s="20" t="s">
        <v>2247</v>
      </c>
      <c r="B47" s="20" t="s">
        <v>2248</v>
      </c>
      <c r="C47" s="20" t="s">
        <v>2249</v>
      </c>
      <c r="D47" s="19" t="s">
        <v>2250</v>
      </c>
    </row>
    <row r="48" customFormat="false" ht="60" hidden="false" customHeight="true" outlineLevel="0" collapsed="false">
      <c r="A48" s="20" t="s">
        <v>686</v>
      </c>
      <c r="B48" s="19" t="s">
        <v>2251</v>
      </c>
      <c r="C48" s="23" t="s">
        <v>2252</v>
      </c>
      <c r="D48" s="20" t="s">
        <v>2253</v>
      </c>
    </row>
    <row r="49" customFormat="false" ht="40" hidden="false" customHeight="true" outlineLevel="0" collapsed="false">
      <c r="A49" s="19"/>
      <c r="B49" s="19"/>
      <c r="C49" s="19"/>
      <c r="D49" s="19"/>
    </row>
    <row r="50" customFormat="false" ht="60" hidden="false" customHeight="true" outlineLevel="0" collapsed="false">
      <c r="A50" s="114" t="s">
        <v>2254</v>
      </c>
      <c r="B50" s="114" t="s">
        <v>2255</v>
      </c>
      <c r="C50" s="114" t="s">
        <v>2256</v>
      </c>
      <c r="D50" s="114" t="s">
        <v>2257</v>
      </c>
    </row>
    <row r="53" customFormat="false" ht="36" hidden="false" customHeight="true" outlineLevel="0" collapsed="false">
      <c r="A53" s="26" t="s">
        <v>2258</v>
      </c>
      <c r="B53" s="26" t="s">
        <v>2259</v>
      </c>
      <c r="C53" s="26" t="s">
        <v>2260</v>
      </c>
      <c r="D53" s="26" t="s">
        <v>2242</v>
      </c>
    </row>
    <row r="54" customFormat="false" ht="48" hidden="false" customHeight="true" outlineLevel="0" collapsed="false">
      <c r="A54" s="27" t="s">
        <v>950</v>
      </c>
      <c r="B54" s="27" t="n">
        <f aca="false">COUNTIFS(首批固定任务!$A$2:$A$68,A54)</f>
        <v>1</v>
      </c>
      <c r="C54" s="27" t="n">
        <f aca="false">COUNTIFS(本批执行结果!$A$2:$A$68,A54)</f>
        <v>1</v>
      </c>
      <c r="D54" s="27" t="str">
        <f aca="false">IF(AND(B54=1,C54=1),"一致","缺范围或重复")</f>
        <v>一致</v>
      </c>
    </row>
    <row r="55" customFormat="false" ht="48" hidden="false" customHeight="true" outlineLevel="0" collapsed="false">
      <c r="A55" s="27" t="s">
        <v>963</v>
      </c>
      <c r="B55" s="27" t="n">
        <f aca="false">COUNTIFS(首批固定任务!$A$2:$A$68,A55)</f>
        <v>1</v>
      </c>
      <c r="C55" s="27" t="n">
        <f aca="false">COUNTIFS(本批执行结果!$A$2:$A$68,A55)</f>
        <v>1</v>
      </c>
      <c r="D55" s="27" t="str">
        <f aca="false">IF(AND(B55=1,C55=1),"一致","缺范围或重复")</f>
        <v>一致</v>
      </c>
    </row>
    <row r="56" customFormat="false" ht="48" hidden="false" customHeight="true" outlineLevel="0" collapsed="false">
      <c r="A56" s="27" t="s">
        <v>967</v>
      </c>
      <c r="B56" s="27" t="n">
        <f aca="false">COUNTIFS(首批固定任务!$A$2:$A$68,A56)</f>
        <v>1</v>
      </c>
      <c r="C56" s="27" t="n">
        <f aca="false">COUNTIFS(本批执行结果!$A$2:$A$68,A56)</f>
        <v>1</v>
      </c>
      <c r="D56" s="27" t="str">
        <f aca="false">IF(AND(B56=1,C56=1),"一致","缺范围或重复")</f>
        <v>一致</v>
      </c>
    </row>
    <row r="57" customFormat="false" ht="48" hidden="false" customHeight="true" outlineLevel="0" collapsed="false">
      <c r="A57" s="27" t="s">
        <v>971</v>
      </c>
      <c r="B57" s="27" t="n">
        <f aca="false">COUNTIFS(首批固定任务!$A$2:$A$68,A57)</f>
        <v>1</v>
      </c>
      <c r="C57" s="27" t="n">
        <f aca="false">COUNTIFS(本批执行结果!$A$2:$A$68,A57)</f>
        <v>1</v>
      </c>
      <c r="D57" s="27" t="str">
        <f aca="false">IF(AND(B57=1,C57=1),"一致","缺范围或重复")</f>
        <v>一致</v>
      </c>
    </row>
    <row r="58" customFormat="false" ht="48" hidden="false" customHeight="true" outlineLevel="0" collapsed="false">
      <c r="A58" s="27" t="s">
        <v>975</v>
      </c>
      <c r="B58" s="27" t="n">
        <f aca="false">COUNTIFS(首批固定任务!$A$2:$A$68,A58)</f>
        <v>1</v>
      </c>
      <c r="C58" s="27" t="n">
        <f aca="false">COUNTIFS(本批执行结果!$A$2:$A$68,A58)</f>
        <v>1</v>
      </c>
      <c r="D58" s="27" t="str">
        <f aca="false">IF(AND(B58=1,C58=1),"一致","缺范围或重复")</f>
        <v>一致</v>
      </c>
    </row>
    <row r="59" customFormat="false" ht="48" hidden="false" customHeight="true" outlineLevel="0" collapsed="false">
      <c r="A59" s="27" t="s">
        <v>979</v>
      </c>
      <c r="B59" s="27" t="n">
        <f aca="false">COUNTIFS(首批固定任务!$A$2:$A$68,A59)</f>
        <v>1</v>
      </c>
      <c r="C59" s="27" t="n">
        <f aca="false">COUNTIFS(本批执行结果!$A$2:$A$68,A59)</f>
        <v>1</v>
      </c>
      <c r="D59" s="27" t="str">
        <f aca="false">IF(AND(B59=1,C59=1),"一致","缺范围或重复")</f>
        <v>一致</v>
      </c>
    </row>
    <row r="60" customFormat="false" ht="48" hidden="false" customHeight="true" outlineLevel="0" collapsed="false">
      <c r="A60" s="27" t="s">
        <v>990</v>
      </c>
      <c r="B60" s="27" t="n">
        <f aca="false">COUNTIFS(首批固定任务!$A$2:$A$68,A60)</f>
        <v>1</v>
      </c>
      <c r="C60" s="27" t="n">
        <f aca="false">COUNTIFS(本批执行结果!$A$2:$A$68,A60)</f>
        <v>1</v>
      </c>
      <c r="D60" s="27" t="str">
        <f aca="false">IF(AND(B60=1,C60=1),"一致","缺范围或重复")</f>
        <v>一致</v>
      </c>
    </row>
    <row r="61" customFormat="false" ht="48" hidden="false" customHeight="true" outlineLevel="0" collapsed="false">
      <c r="A61" s="27" t="s">
        <v>994</v>
      </c>
      <c r="B61" s="27" t="n">
        <f aca="false">COUNTIFS(首批固定任务!$A$2:$A$68,A61)</f>
        <v>1</v>
      </c>
      <c r="C61" s="27" t="n">
        <f aca="false">COUNTIFS(本批执行结果!$A$2:$A$68,A61)</f>
        <v>1</v>
      </c>
      <c r="D61" s="27" t="str">
        <f aca="false">IF(AND(B61=1,C61=1),"一致","缺范围或重复")</f>
        <v>一致</v>
      </c>
    </row>
    <row r="62" customFormat="false" ht="48" hidden="false" customHeight="true" outlineLevel="0" collapsed="false">
      <c r="A62" s="27" t="s">
        <v>1004</v>
      </c>
      <c r="B62" s="27" t="n">
        <f aca="false">COUNTIFS(首批固定任务!$A$2:$A$68,A62)</f>
        <v>1</v>
      </c>
      <c r="C62" s="27" t="n">
        <f aca="false">COUNTIFS(本批执行结果!$A$2:$A$68,A62)</f>
        <v>1</v>
      </c>
      <c r="D62" s="27" t="str">
        <f aca="false">IF(AND(B62=1,C62=1),"一致","缺范围或重复")</f>
        <v>一致</v>
      </c>
    </row>
    <row r="63" customFormat="false" ht="48" hidden="false" customHeight="true" outlineLevel="0" collapsed="false">
      <c r="A63" s="27" t="s">
        <v>1009</v>
      </c>
      <c r="B63" s="27" t="n">
        <f aca="false">COUNTIFS(首批固定任务!$A$2:$A$68,A63)</f>
        <v>1</v>
      </c>
      <c r="C63" s="27" t="n">
        <f aca="false">COUNTIFS(本批执行结果!$A$2:$A$68,A63)</f>
        <v>1</v>
      </c>
      <c r="D63" s="27" t="str">
        <f aca="false">IF(AND(B63=1,C63=1),"一致","缺范围或重复")</f>
        <v>一致</v>
      </c>
    </row>
    <row r="64" customFormat="false" ht="48" hidden="false" customHeight="true" outlineLevel="0" collapsed="false">
      <c r="A64" s="27" t="s">
        <v>1019</v>
      </c>
      <c r="B64" s="27" t="n">
        <f aca="false">COUNTIFS(首批固定任务!$A$2:$A$68,A64)</f>
        <v>1</v>
      </c>
      <c r="C64" s="27" t="n">
        <f aca="false">COUNTIFS(本批执行结果!$A$2:$A$68,A64)</f>
        <v>1</v>
      </c>
      <c r="D64" s="27" t="str">
        <f aca="false">IF(AND(B64=1,C64=1),"一致","缺范围或重复")</f>
        <v>一致</v>
      </c>
    </row>
    <row r="65" customFormat="false" ht="48" hidden="false" customHeight="true" outlineLevel="0" collapsed="false">
      <c r="A65" s="27" t="s">
        <v>1027</v>
      </c>
      <c r="B65" s="27" t="n">
        <f aca="false">COUNTIFS(首批固定任务!$A$2:$A$68,A65)</f>
        <v>1</v>
      </c>
      <c r="C65" s="27" t="n">
        <f aca="false">COUNTIFS(本批执行结果!$A$2:$A$68,A65)</f>
        <v>1</v>
      </c>
      <c r="D65" s="27" t="str">
        <f aca="false">IF(AND(B65=1,C65=1),"一致","缺范围或重复")</f>
        <v>一致</v>
      </c>
    </row>
    <row r="66" customFormat="false" ht="48" hidden="false" customHeight="true" outlineLevel="0" collapsed="false">
      <c r="A66" s="27" t="s">
        <v>1031</v>
      </c>
      <c r="B66" s="27" t="n">
        <f aca="false">COUNTIFS(首批固定任务!$A$2:$A$68,A66)</f>
        <v>1</v>
      </c>
      <c r="C66" s="27" t="n">
        <f aca="false">COUNTIFS(本批执行结果!$A$2:$A$68,A66)</f>
        <v>1</v>
      </c>
      <c r="D66" s="27" t="str">
        <f aca="false">IF(AND(B66=1,C66=1),"一致","缺范围或重复")</f>
        <v>一致</v>
      </c>
    </row>
    <row r="67" customFormat="false" ht="48" hidden="false" customHeight="true" outlineLevel="0" collapsed="false">
      <c r="A67" s="27" t="s">
        <v>1035</v>
      </c>
      <c r="B67" s="27" t="n">
        <f aca="false">COUNTIFS(首批固定任务!$A$2:$A$68,A67)</f>
        <v>1</v>
      </c>
      <c r="C67" s="27" t="n">
        <f aca="false">COUNTIFS(本批执行结果!$A$2:$A$68,A67)</f>
        <v>1</v>
      </c>
      <c r="D67" s="27" t="str">
        <f aca="false">IF(AND(B67=1,C67=1),"一致","缺范围或重复")</f>
        <v>一致</v>
      </c>
    </row>
    <row r="68" customFormat="false" ht="48" hidden="false" customHeight="true" outlineLevel="0" collapsed="false">
      <c r="A68" s="27" t="s">
        <v>1039</v>
      </c>
      <c r="B68" s="27" t="n">
        <f aca="false">COUNTIFS(首批固定任务!$A$2:$A$68,A68)</f>
        <v>1</v>
      </c>
      <c r="C68" s="27" t="n">
        <f aca="false">COUNTIFS(本批执行结果!$A$2:$A$68,A68)</f>
        <v>1</v>
      </c>
      <c r="D68" s="27" t="str">
        <f aca="false">IF(AND(B68=1,C68=1),"一致","缺范围或重复")</f>
        <v>一致</v>
      </c>
    </row>
    <row r="69" customFormat="false" ht="48" hidden="false" customHeight="true" outlineLevel="0" collapsed="false">
      <c r="A69" s="27" t="s">
        <v>1043</v>
      </c>
      <c r="B69" s="27" t="n">
        <f aca="false">COUNTIFS(首批固定任务!$A$2:$A$68,A69)</f>
        <v>1</v>
      </c>
      <c r="C69" s="27" t="n">
        <f aca="false">COUNTIFS(本批执行结果!$A$2:$A$68,A69)</f>
        <v>1</v>
      </c>
      <c r="D69" s="27" t="str">
        <f aca="false">IF(AND(B69=1,C69=1),"一致","缺范围或重复")</f>
        <v>一致</v>
      </c>
    </row>
    <row r="70" customFormat="false" ht="48" hidden="false" customHeight="true" outlineLevel="0" collapsed="false">
      <c r="A70" s="27" t="s">
        <v>1052</v>
      </c>
      <c r="B70" s="27" t="n">
        <f aca="false">COUNTIFS(首批固定任务!$A$2:$A$68,A70)</f>
        <v>1</v>
      </c>
      <c r="C70" s="27" t="n">
        <f aca="false">COUNTIFS(本批执行结果!$A$2:$A$68,A70)</f>
        <v>1</v>
      </c>
      <c r="D70" s="27" t="str">
        <f aca="false">IF(AND(B70=1,C70=1),"一致","缺范围或重复")</f>
        <v>一致</v>
      </c>
    </row>
    <row r="71" customFormat="false" ht="48" hidden="false" customHeight="true" outlineLevel="0" collapsed="false">
      <c r="A71" s="27" t="s">
        <v>1056</v>
      </c>
      <c r="B71" s="27" t="n">
        <f aca="false">COUNTIFS(首批固定任务!$A$2:$A$68,A71)</f>
        <v>1</v>
      </c>
      <c r="C71" s="27" t="n">
        <f aca="false">COUNTIFS(本批执行结果!$A$2:$A$68,A71)</f>
        <v>1</v>
      </c>
      <c r="D71" s="27" t="str">
        <f aca="false">IF(AND(B71=1,C71=1),"一致","缺范围或重复")</f>
        <v>一致</v>
      </c>
    </row>
    <row r="72" customFormat="false" ht="48" hidden="false" customHeight="true" outlineLevel="0" collapsed="false">
      <c r="A72" s="27" t="s">
        <v>1066</v>
      </c>
      <c r="B72" s="27" t="n">
        <f aca="false">COUNTIFS(首批固定任务!$A$2:$A$68,A72)</f>
        <v>1</v>
      </c>
      <c r="C72" s="27" t="n">
        <f aca="false">COUNTIFS(本批执行结果!$A$2:$A$68,A72)</f>
        <v>1</v>
      </c>
      <c r="D72" s="27" t="str">
        <f aca="false">IF(AND(B72=1,C72=1),"一致","缺范围或重复")</f>
        <v>一致</v>
      </c>
    </row>
    <row r="73" customFormat="false" ht="48" hidden="false" customHeight="true" outlineLevel="0" collapsed="false">
      <c r="A73" s="27" t="s">
        <v>1075</v>
      </c>
      <c r="B73" s="27" t="n">
        <f aca="false">COUNTIFS(首批固定任务!$A$2:$A$68,A73)</f>
        <v>1</v>
      </c>
      <c r="C73" s="27" t="n">
        <f aca="false">COUNTIFS(本批执行结果!$A$2:$A$68,A73)</f>
        <v>1</v>
      </c>
      <c r="D73" s="27" t="str">
        <f aca="false">IF(AND(B73=1,C73=1),"一致","缺范围或重复")</f>
        <v>一致</v>
      </c>
    </row>
    <row r="74" customFormat="false" ht="48" hidden="false" customHeight="true" outlineLevel="0" collapsed="false">
      <c r="A74" s="27" t="s">
        <v>1079</v>
      </c>
      <c r="B74" s="27" t="n">
        <f aca="false">COUNTIFS(首批固定任务!$A$2:$A$68,A74)</f>
        <v>1</v>
      </c>
      <c r="C74" s="27" t="n">
        <f aca="false">COUNTIFS(本批执行结果!$A$2:$A$68,A74)</f>
        <v>1</v>
      </c>
      <c r="D74" s="27" t="str">
        <f aca="false">IF(AND(B74=1,C74=1),"一致","缺范围或重复")</f>
        <v>一致</v>
      </c>
    </row>
    <row r="75" customFormat="false" ht="48" hidden="false" customHeight="true" outlineLevel="0" collapsed="false">
      <c r="A75" s="27" t="s">
        <v>1085</v>
      </c>
      <c r="B75" s="27" t="n">
        <f aca="false">COUNTIFS(首批固定任务!$A$2:$A$68,A75)</f>
        <v>1</v>
      </c>
      <c r="C75" s="27" t="n">
        <f aca="false">COUNTIFS(本批执行结果!$A$2:$A$68,A75)</f>
        <v>1</v>
      </c>
      <c r="D75" s="27" t="str">
        <f aca="false">IF(AND(B75=1,C75=1),"一致","缺范围或重复")</f>
        <v>一致</v>
      </c>
    </row>
    <row r="76" customFormat="false" ht="48" hidden="false" customHeight="true" outlineLevel="0" collapsed="false">
      <c r="A76" s="27" t="s">
        <v>1089</v>
      </c>
      <c r="B76" s="27" t="n">
        <f aca="false">COUNTIFS(首批固定任务!$A$2:$A$68,A76)</f>
        <v>1</v>
      </c>
      <c r="C76" s="27" t="n">
        <f aca="false">COUNTIFS(本批执行结果!$A$2:$A$68,A76)</f>
        <v>1</v>
      </c>
      <c r="D76" s="27" t="str">
        <f aca="false">IF(AND(B76=1,C76=1),"一致","缺范围或重复")</f>
        <v>一致</v>
      </c>
    </row>
    <row r="77" customFormat="false" ht="48" hidden="false" customHeight="true" outlineLevel="0" collapsed="false">
      <c r="A77" s="27" t="s">
        <v>1092</v>
      </c>
      <c r="B77" s="27" t="n">
        <f aca="false">COUNTIFS(首批固定任务!$A$2:$A$68,A77)</f>
        <v>1</v>
      </c>
      <c r="C77" s="27" t="n">
        <f aca="false">COUNTIFS(本批执行结果!$A$2:$A$68,A77)</f>
        <v>1</v>
      </c>
      <c r="D77" s="27" t="str">
        <f aca="false">IF(AND(B77=1,C77=1),"一致","缺范围或重复")</f>
        <v>一致</v>
      </c>
    </row>
    <row r="78" customFormat="false" ht="48" hidden="false" customHeight="true" outlineLevel="0" collapsed="false">
      <c r="A78" s="27" t="s">
        <v>1095</v>
      </c>
      <c r="B78" s="27" t="n">
        <f aca="false">COUNTIFS(首批固定任务!$A$2:$A$68,A78)</f>
        <v>1</v>
      </c>
      <c r="C78" s="27" t="n">
        <f aca="false">COUNTIFS(本批执行结果!$A$2:$A$68,A78)</f>
        <v>1</v>
      </c>
      <c r="D78" s="27" t="str">
        <f aca="false">IF(AND(B78=1,C78=1),"一致","缺范围或重复")</f>
        <v>一致</v>
      </c>
    </row>
    <row r="79" customFormat="false" ht="48" hidden="false" customHeight="true" outlineLevel="0" collapsed="false">
      <c r="A79" s="27" t="s">
        <v>1099</v>
      </c>
      <c r="B79" s="27" t="n">
        <f aca="false">COUNTIFS(首批固定任务!$A$2:$A$68,A79)</f>
        <v>1</v>
      </c>
      <c r="C79" s="27" t="n">
        <f aca="false">COUNTIFS(本批执行结果!$A$2:$A$68,A79)</f>
        <v>1</v>
      </c>
      <c r="D79" s="27" t="str">
        <f aca="false">IF(AND(B79=1,C79=1),"一致","缺范围或重复")</f>
        <v>一致</v>
      </c>
    </row>
    <row r="80" customFormat="false" ht="48" hidden="false" customHeight="true" outlineLevel="0" collapsed="false">
      <c r="A80" s="27" t="s">
        <v>1102</v>
      </c>
      <c r="B80" s="27" t="n">
        <f aca="false">COUNTIFS(首批固定任务!$A$2:$A$68,A80)</f>
        <v>1</v>
      </c>
      <c r="C80" s="27" t="n">
        <f aca="false">COUNTIFS(本批执行结果!$A$2:$A$68,A80)</f>
        <v>1</v>
      </c>
      <c r="D80" s="27" t="str">
        <f aca="false">IF(AND(B80=1,C80=1),"一致","缺范围或重复")</f>
        <v>一致</v>
      </c>
    </row>
    <row r="81" customFormat="false" ht="48" hidden="false" customHeight="true" outlineLevel="0" collapsed="false">
      <c r="A81" s="27" t="s">
        <v>1105</v>
      </c>
      <c r="B81" s="27" t="n">
        <f aca="false">COUNTIFS(首批固定任务!$A$2:$A$68,A81)</f>
        <v>1</v>
      </c>
      <c r="C81" s="27" t="n">
        <f aca="false">COUNTIFS(本批执行结果!$A$2:$A$68,A81)</f>
        <v>1</v>
      </c>
      <c r="D81" s="27" t="str">
        <f aca="false">IF(AND(B81=1,C81=1),"一致","缺范围或重复")</f>
        <v>一致</v>
      </c>
    </row>
    <row r="82" customFormat="false" ht="48" hidden="false" customHeight="true" outlineLevel="0" collapsed="false">
      <c r="A82" s="27" t="s">
        <v>1111</v>
      </c>
      <c r="B82" s="27" t="n">
        <f aca="false">COUNTIFS(首批固定任务!$A$2:$A$68,A82)</f>
        <v>1</v>
      </c>
      <c r="C82" s="27" t="n">
        <f aca="false">COUNTIFS(本批执行结果!$A$2:$A$68,A82)</f>
        <v>1</v>
      </c>
      <c r="D82" s="27" t="str">
        <f aca="false">IF(AND(B82=1,C82=1),"一致","缺范围或重复")</f>
        <v>一致</v>
      </c>
    </row>
    <row r="83" customFormat="false" ht="48" hidden="false" customHeight="true" outlineLevel="0" collapsed="false">
      <c r="A83" s="27" t="s">
        <v>1114</v>
      </c>
      <c r="B83" s="27" t="n">
        <f aca="false">COUNTIFS(首批固定任务!$A$2:$A$68,A83)</f>
        <v>1</v>
      </c>
      <c r="C83" s="27" t="n">
        <f aca="false">COUNTIFS(本批执行结果!$A$2:$A$68,A83)</f>
        <v>1</v>
      </c>
      <c r="D83" s="27" t="str">
        <f aca="false">IF(AND(B83=1,C83=1),"一致","缺范围或重复")</f>
        <v>一致</v>
      </c>
    </row>
    <row r="84" customFormat="false" ht="48" hidden="false" customHeight="true" outlineLevel="0" collapsed="false">
      <c r="A84" s="27" t="s">
        <v>1118</v>
      </c>
      <c r="B84" s="27" t="n">
        <f aca="false">COUNTIFS(首批固定任务!$A$2:$A$68,A84)</f>
        <v>1</v>
      </c>
      <c r="C84" s="27" t="n">
        <f aca="false">COUNTIFS(本批执行结果!$A$2:$A$68,A84)</f>
        <v>1</v>
      </c>
      <c r="D84" s="27" t="str">
        <f aca="false">IF(AND(B84=1,C84=1),"一致","缺范围或重复")</f>
        <v>一致</v>
      </c>
    </row>
    <row r="85" customFormat="false" ht="48" hidden="false" customHeight="true" outlineLevel="0" collapsed="false">
      <c r="A85" s="27" t="s">
        <v>1121</v>
      </c>
      <c r="B85" s="27" t="n">
        <f aca="false">COUNTIFS(首批固定任务!$A$2:$A$68,A85)</f>
        <v>1</v>
      </c>
      <c r="C85" s="27" t="n">
        <f aca="false">COUNTIFS(本批执行结果!$A$2:$A$68,A85)</f>
        <v>1</v>
      </c>
      <c r="D85" s="27" t="str">
        <f aca="false">IF(AND(B85=1,C85=1),"一致","缺范围或重复")</f>
        <v>一致</v>
      </c>
    </row>
    <row r="86" customFormat="false" ht="48" hidden="false" customHeight="true" outlineLevel="0" collapsed="false">
      <c r="A86" s="27" t="s">
        <v>1124</v>
      </c>
      <c r="B86" s="27" t="n">
        <f aca="false">COUNTIFS(首批固定任务!$A$2:$A$68,A86)</f>
        <v>1</v>
      </c>
      <c r="C86" s="27" t="n">
        <f aca="false">COUNTIFS(本批执行结果!$A$2:$A$68,A86)</f>
        <v>1</v>
      </c>
      <c r="D86" s="27" t="str">
        <f aca="false">IF(AND(B86=1,C86=1),"一致","缺范围或重复")</f>
        <v>一致</v>
      </c>
    </row>
    <row r="87" customFormat="false" ht="48" hidden="false" customHeight="true" outlineLevel="0" collapsed="false">
      <c r="A87" s="27" t="s">
        <v>1131</v>
      </c>
      <c r="B87" s="27" t="n">
        <f aca="false">COUNTIFS(首批固定任务!$A$2:$A$68,A87)</f>
        <v>1</v>
      </c>
      <c r="C87" s="27" t="n">
        <f aca="false">COUNTIFS(本批执行结果!$A$2:$A$68,A87)</f>
        <v>1</v>
      </c>
      <c r="D87" s="27" t="str">
        <f aca="false">IF(AND(B87=1,C87=1),"一致","缺范围或重复")</f>
        <v>一致</v>
      </c>
    </row>
    <row r="88" customFormat="false" ht="48" hidden="false" customHeight="true" outlineLevel="0" collapsed="false">
      <c r="A88" s="27" t="s">
        <v>1134</v>
      </c>
      <c r="B88" s="27" t="n">
        <f aca="false">COUNTIFS(首批固定任务!$A$2:$A$68,A88)</f>
        <v>1</v>
      </c>
      <c r="C88" s="27" t="n">
        <f aca="false">COUNTIFS(本批执行结果!$A$2:$A$68,A88)</f>
        <v>1</v>
      </c>
      <c r="D88" s="27" t="str">
        <f aca="false">IF(AND(B88=1,C88=1),"一致","缺范围或重复")</f>
        <v>一致</v>
      </c>
    </row>
    <row r="89" customFormat="false" ht="48" hidden="false" customHeight="true" outlineLevel="0" collapsed="false">
      <c r="A89" s="27" t="s">
        <v>1137</v>
      </c>
      <c r="B89" s="27" t="n">
        <f aca="false">COUNTIFS(首批固定任务!$A$2:$A$68,A89)</f>
        <v>1</v>
      </c>
      <c r="C89" s="27" t="n">
        <f aca="false">COUNTIFS(本批执行结果!$A$2:$A$68,A89)</f>
        <v>1</v>
      </c>
      <c r="D89" s="27" t="str">
        <f aca="false">IF(AND(B89=1,C89=1),"一致","缺范围或重复")</f>
        <v>一致</v>
      </c>
    </row>
    <row r="90" customFormat="false" ht="48" hidden="false" customHeight="true" outlineLevel="0" collapsed="false">
      <c r="A90" s="27" t="s">
        <v>1140</v>
      </c>
      <c r="B90" s="27" t="n">
        <f aca="false">COUNTIFS(首批固定任务!$A$2:$A$68,A90)</f>
        <v>1</v>
      </c>
      <c r="C90" s="27" t="n">
        <f aca="false">COUNTIFS(本批执行结果!$A$2:$A$68,A90)</f>
        <v>1</v>
      </c>
      <c r="D90" s="27" t="str">
        <f aca="false">IF(AND(B90=1,C90=1),"一致","缺范围或重复")</f>
        <v>一致</v>
      </c>
    </row>
    <row r="91" customFormat="false" ht="48" hidden="false" customHeight="true" outlineLevel="0" collapsed="false">
      <c r="A91" s="27" t="s">
        <v>1143</v>
      </c>
      <c r="B91" s="27" t="n">
        <f aca="false">COUNTIFS(首批固定任务!$A$2:$A$68,A91)</f>
        <v>1</v>
      </c>
      <c r="C91" s="27" t="n">
        <f aca="false">COUNTIFS(本批执行结果!$A$2:$A$68,A91)</f>
        <v>1</v>
      </c>
      <c r="D91" s="27" t="str">
        <f aca="false">IF(AND(B91=1,C91=1),"一致","缺范围或重复")</f>
        <v>一致</v>
      </c>
    </row>
    <row r="92" customFormat="false" ht="48" hidden="false" customHeight="true" outlineLevel="0" collapsed="false">
      <c r="A92" s="27" t="s">
        <v>1146</v>
      </c>
      <c r="B92" s="27" t="n">
        <f aca="false">COUNTIFS(首批固定任务!$A$2:$A$68,A92)</f>
        <v>1</v>
      </c>
      <c r="C92" s="27" t="n">
        <f aca="false">COUNTIFS(本批执行结果!$A$2:$A$68,A92)</f>
        <v>1</v>
      </c>
      <c r="D92" s="27" t="str">
        <f aca="false">IF(AND(B92=1,C92=1),"一致","缺范围或重复")</f>
        <v>一致</v>
      </c>
    </row>
    <row r="93" customFormat="false" ht="48" hidden="false" customHeight="true" outlineLevel="0" collapsed="false">
      <c r="A93" s="27" t="s">
        <v>1150</v>
      </c>
      <c r="B93" s="27" t="n">
        <f aca="false">COUNTIFS(首批固定任务!$A$2:$A$68,A93)</f>
        <v>1</v>
      </c>
      <c r="C93" s="27" t="n">
        <f aca="false">COUNTIFS(本批执行结果!$A$2:$A$68,A93)</f>
        <v>1</v>
      </c>
      <c r="D93" s="27" t="str">
        <f aca="false">IF(AND(B93=1,C93=1),"一致","缺范围或重复")</f>
        <v>一致</v>
      </c>
    </row>
    <row r="94" customFormat="false" ht="48" hidden="false" customHeight="true" outlineLevel="0" collapsed="false">
      <c r="A94" s="27" t="s">
        <v>1153</v>
      </c>
      <c r="B94" s="27" t="n">
        <f aca="false">COUNTIFS(首批固定任务!$A$2:$A$68,A94)</f>
        <v>1</v>
      </c>
      <c r="C94" s="27" t="n">
        <f aca="false">COUNTIFS(本批执行结果!$A$2:$A$68,A94)</f>
        <v>1</v>
      </c>
      <c r="D94" s="27" t="str">
        <f aca="false">IF(AND(B94=1,C94=1),"一致","缺范围或重复")</f>
        <v>一致</v>
      </c>
    </row>
    <row r="95" customFormat="false" ht="48" hidden="false" customHeight="true" outlineLevel="0" collapsed="false">
      <c r="A95" s="27" t="s">
        <v>1156</v>
      </c>
      <c r="B95" s="27" t="n">
        <f aca="false">COUNTIFS(首批固定任务!$A$2:$A$68,A95)</f>
        <v>1</v>
      </c>
      <c r="C95" s="27" t="n">
        <f aca="false">COUNTIFS(本批执行结果!$A$2:$A$68,A95)</f>
        <v>1</v>
      </c>
      <c r="D95" s="27" t="str">
        <f aca="false">IF(AND(B95=1,C95=1),"一致","缺范围或重复")</f>
        <v>一致</v>
      </c>
    </row>
    <row r="96" customFormat="false" ht="48" hidden="false" customHeight="true" outlineLevel="0" collapsed="false">
      <c r="A96" s="27" t="s">
        <v>1159</v>
      </c>
      <c r="B96" s="27" t="n">
        <f aca="false">COUNTIFS(首批固定任务!$A$2:$A$68,A96)</f>
        <v>1</v>
      </c>
      <c r="C96" s="27" t="n">
        <f aca="false">COUNTIFS(本批执行结果!$A$2:$A$68,A96)</f>
        <v>1</v>
      </c>
      <c r="D96" s="27" t="str">
        <f aca="false">IF(AND(B96=1,C96=1),"一致","缺范围或重复")</f>
        <v>一致</v>
      </c>
    </row>
    <row r="97" customFormat="false" ht="48" hidden="false" customHeight="true" outlineLevel="0" collapsed="false">
      <c r="A97" s="27" t="s">
        <v>1162</v>
      </c>
      <c r="B97" s="27" t="n">
        <f aca="false">COUNTIFS(首批固定任务!$A$2:$A$68,A97)</f>
        <v>1</v>
      </c>
      <c r="C97" s="27" t="n">
        <f aca="false">COUNTIFS(本批执行结果!$A$2:$A$68,A97)</f>
        <v>1</v>
      </c>
      <c r="D97" s="27" t="str">
        <f aca="false">IF(AND(B97=1,C97=1),"一致","缺范围或重复")</f>
        <v>一致</v>
      </c>
    </row>
    <row r="98" customFormat="false" ht="48" hidden="false" customHeight="true" outlineLevel="0" collapsed="false">
      <c r="A98" s="27"/>
      <c r="B98" s="27"/>
      <c r="C98" s="27"/>
      <c r="D98" s="27"/>
    </row>
    <row r="99" customFormat="false" ht="76" hidden="false" customHeight="true" outlineLevel="0" collapsed="false">
      <c r="A99" s="27" t="s">
        <v>2261</v>
      </c>
      <c r="B99" s="27" t="s">
        <v>2262</v>
      </c>
      <c r="C99" s="27" t="s">
        <v>2263</v>
      </c>
      <c r="D99" s="27" t="s">
        <v>2264</v>
      </c>
    </row>
    <row r="100" customFormat="false" ht="76" hidden="false" customHeight="true" outlineLevel="0" collapsed="false">
      <c r="A100" s="27" t="s">
        <v>2265</v>
      </c>
      <c r="B100" s="27" t="s">
        <v>2266</v>
      </c>
      <c r="C100" s="28" t="s">
        <v>2267</v>
      </c>
      <c r="D100" s="27" t="s">
        <v>2268</v>
      </c>
    </row>
    <row r="101" customFormat="false" ht="76" hidden="false" customHeight="true" outlineLevel="0" collapsed="false">
      <c r="A101" s="27" t="s">
        <v>2269</v>
      </c>
      <c r="B101" s="27" t="s">
        <v>2270</v>
      </c>
      <c r="C101" s="27" t="s">
        <v>2271</v>
      </c>
      <c r="D101" s="27" t="s">
        <v>2272</v>
      </c>
    </row>
    <row r="102" customFormat="false" ht="76" hidden="false" customHeight="true" outlineLevel="0" collapsed="false">
      <c r="A102" s="28" t="s">
        <v>2273</v>
      </c>
      <c r="B102" s="27" t="s">
        <v>2274</v>
      </c>
      <c r="C102" s="28" t="s">
        <v>2275</v>
      </c>
      <c r="D102" s="28" t="s">
        <v>2276</v>
      </c>
    </row>
    <row r="103" customFormat="false" ht="76" hidden="false" customHeight="true" outlineLevel="0" collapsed="false">
      <c r="A103" s="28" t="s">
        <v>2277</v>
      </c>
      <c r="B103" s="23" t="s">
        <v>2278</v>
      </c>
      <c r="C103" s="23" t="s">
        <v>2279</v>
      </c>
      <c r="D103" s="29" t="s">
        <v>2280</v>
      </c>
    </row>
    <row r="104" customFormat="false" ht="76" hidden="false" customHeight="true" outlineLevel="0" collapsed="false">
      <c r="A104" s="28" t="s">
        <v>2281</v>
      </c>
      <c r="B104" s="28" t="s">
        <v>2282</v>
      </c>
      <c r="C104" s="28" t="s">
        <v>2283</v>
      </c>
      <c r="D104" s="28" t="s">
        <v>2284</v>
      </c>
    </row>
    <row r="105" customFormat="false" ht="48" hidden="false" customHeight="true" outlineLevel="0" collapsed="false">
      <c r="A105" s="27"/>
      <c r="B105" s="27"/>
      <c r="C105" s="27"/>
      <c r="D105" s="27"/>
    </row>
    <row r="106" customFormat="false" ht="76" hidden="false" customHeight="true" outlineLevel="0" collapsed="false">
      <c r="A106" s="27" t="s">
        <v>2285</v>
      </c>
      <c r="B106" s="27" t="s">
        <v>2286</v>
      </c>
      <c r="C106" s="27" t="s">
        <v>2287</v>
      </c>
      <c r="D106" s="27" t="s">
        <v>2288</v>
      </c>
    </row>
    <row r="109" customFormat="false" ht="36" hidden="false" customHeight="true" outlineLevel="0" collapsed="false">
      <c r="A109" s="31" t="s">
        <v>2289</v>
      </c>
      <c r="B109" s="32" t="s">
        <v>2259</v>
      </c>
      <c r="C109" s="32" t="s">
        <v>2260</v>
      </c>
      <c r="D109" s="32" t="s">
        <v>2242</v>
      </c>
    </row>
    <row r="110" customFormat="false" ht="48" hidden="false" customHeight="true" outlineLevel="0" collapsed="false">
      <c r="A110" s="33" t="s">
        <v>1165</v>
      </c>
      <c r="B110" s="33" t="n">
        <f aca="false">COUNTIFS(首批固定任务!$A$2:$A$109,A110)</f>
        <v>1</v>
      </c>
      <c r="C110" s="33" t="n">
        <f aca="false">COUNTIFS(本批执行结果!$A$2:$A$109,A110)</f>
        <v>1</v>
      </c>
      <c r="D110" s="33" t="str">
        <f aca="false">IF(AND(B110=1,C110=1),"一致","需核对")</f>
        <v>一致</v>
      </c>
    </row>
    <row r="111" customFormat="false" ht="48" hidden="false" customHeight="true" outlineLevel="0" collapsed="false">
      <c r="A111" s="33" t="s">
        <v>1175</v>
      </c>
      <c r="B111" s="33" t="n">
        <f aca="false">COUNTIFS(首批固定任务!$A$2:$A$109,A111)</f>
        <v>1</v>
      </c>
      <c r="C111" s="33" t="n">
        <f aca="false">COUNTIFS(本批执行结果!$A$2:$A$109,A111)</f>
        <v>1</v>
      </c>
      <c r="D111" s="33" t="str">
        <f aca="false">IF(AND(B111=1,C111=1),"一致","需核对")</f>
        <v>一致</v>
      </c>
    </row>
    <row r="112" customFormat="false" ht="48" hidden="false" customHeight="true" outlineLevel="0" collapsed="false">
      <c r="A112" s="33" t="s">
        <v>1179</v>
      </c>
      <c r="B112" s="33" t="n">
        <f aca="false">COUNTIFS(首批固定任务!$A$2:$A$109,A112)</f>
        <v>1</v>
      </c>
      <c r="C112" s="33" t="n">
        <f aca="false">COUNTIFS(本批执行结果!$A$2:$A$109,A112)</f>
        <v>1</v>
      </c>
      <c r="D112" s="33" t="str">
        <f aca="false">IF(AND(B112=1,C112=1),"一致","需核对")</f>
        <v>一致</v>
      </c>
    </row>
    <row r="113" customFormat="false" ht="48" hidden="false" customHeight="true" outlineLevel="0" collapsed="false">
      <c r="A113" s="33" t="s">
        <v>1183</v>
      </c>
      <c r="B113" s="33" t="n">
        <f aca="false">COUNTIFS(首批固定任务!$A$2:$A$109,A113)</f>
        <v>1</v>
      </c>
      <c r="C113" s="33" t="n">
        <f aca="false">COUNTIFS(本批执行结果!$A$2:$A$109,A113)</f>
        <v>1</v>
      </c>
      <c r="D113" s="33" t="str">
        <f aca="false">IF(AND(B113=1,C113=1),"一致","需核对")</f>
        <v>一致</v>
      </c>
    </row>
    <row r="114" customFormat="false" ht="48" hidden="false" customHeight="true" outlineLevel="0" collapsed="false">
      <c r="A114" s="33" t="s">
        <v>1189</v>
      </c>
      <c r="B114" s="33" t="n">
        <f aca="false">COUNTIFS(首批固定任务!$A$2:$A$109,A114)</f>
        <v>1</v>
      </c>
      <c r="C114" s="33" t="n">
        <f aca="false">COUNTIFS(本批执行结果!$A$2:$A$109,A114)</f>
        <v>1</v>
      </c>
      <c r="D114" s="33" t="str">
        <f aca="false">IF(AND(B114=1,C114=1),"一致","需核对")</f>
        <v>一致</v>
      </c>
    </row>
    <row r="115" customFormat="false" ht="48" hidden="false" customHeight="true" outlineLevel="0" collapsed="false">
      <c r="A115" s="33" t="s">
        <v>1193</v>
      </c>
      <c r="B115" s="33" t="n">
        <f aca="false">COUNTIFS(首批固定任务!$A$2:$A$109,A115)</f>
        <v>1</v>
      </c>
      <c r="C115" s="33" t="n">
        <f aca="false">COUNTIFS(本批执行结果!$A$2:$A$109,A115)</f>
        <v>1</v>
      </c>
      <c r="D115" s="33" t="str">
        <f aca="false">IF(AND(B115=1,C115=1),"一致","需核对")</f>
        <v>一致</v>
      </c>
    </row>
    <row r="116" customFormat="false" ht="48" hidden="false" customHeight="true" outlineLevel="0" collapsed="false">
      <c r="A116" s="33" t="s">
        <v>1197</v>
      </c>
      <c r="B116" s="33" t="n">
        <f aca="false">COUNTIFS(首批固定任务!$A$2:$A$109,A116)</f>
        <v>1</v>
      </c>
      <c r="C116" s="33" t="n">
        <f aca="false">COUNTIFS(本批执行结果!$A$2:$A$109,A116)</f>
        <v>1</v>
      </c>
      <c r="D116" s="33" t="str">
        <f aca="false">IF(AND(B116=1,C116=1),"一致","需核对")</f>
        <v>一致</v>
      </c>
    </row>
    <row r="117" customFormat="false" ht="48" hidden="false" customHeight="true" outlineLevel="0" collapsed="false">
      <c r="A117" s="33" t="s">
        <v>1201</v>
      </c>
      <c r="B117" s="33" t="n">
        <f aca="false">COUNTIFS(首批固定任务!$A$2:$A$109,A117)</f>
        <v>1</v>
      </c>
      <c r="C117" s="33" t="n">
        <f aca="false">COUNTIFS(本批执行结果!$A$2:$A$109,A117)</f>
        <v>1</v>
      </c>
      <c r="D117" s="33" t="str">
        <f aca="false">IF(AND(B117=1,C117=1),"一致","需核对")</f>
        <v>一致</v>
      </c>
    </row>
    <row r="118" customFormat="false" ht="48" hidden="false" customHeight="true" outlineLevel="0" collapsed="false">
      <c r="A118" s="33" t="s">
        <v>1205</v>
      </c>
      <c r="B118" s="33" t="n">
        <f aca="false">COUNTIFS(首批固定任务!$A$2:$A$109,A118)</f>
        <v>1</v>
      </c>
      <c r="C118" s="33" t="n">
        <f aca="false">COUNTIFS(本批执行结果!$A$2:$A$109,A118)</f>
        <v>1</v>
      </c>
      <c r="D118" s="33" t="str">
        <f aca="false">IF(AND(B118=1,C118=1),"一致","需核对")</f>
        <v>一致</v>
      </c>
    </row>
    <row r="119" customFormat="false" ht="48" hidden="false" customHeight="true" outlineLevel="0" collapsed="false">
      <c r="A119" s="33" t="s">
        <v>1209</v>
      </c>
      <c r="B119" s="33" t="n">
        <f aca="false">COUNTIFS(首批固定任务!$A$2:$A$109,A119)</f>
        <v>1</v>
      </c>
      <c r="C119" s="33" t="n">
        <f aca="false">COUNTIFS(本批执行结果!$A$2:$A$109,A119)</f>
        <v>1</v>
      </c>
      <c r="D119" s="33" t="str">
        <f aca="false">IF(AND(B119=1,C119=1),"一致","需核对")</f>
        <v>一致</v>
      </c>
    </row>
    <row r="120" customFormat="false" ht="48" hidden="false" customHeight="true" outlineLevel="0" collapsed="false">
      <c r="A120" s="33" t="s">
        <v>1215</v>
      </c>
      <c r="B120" s="33" t="n">
        <f aca="false">COUNTIFS(首批固定任务!$A$2:$A$109,A120)</f>
        <v>1</v>
      </c>
      <c r="C120" s="33" t="n">
        <f aca="false">COUNTIFS(本批执行结果!$A$2:$A$109,A120)</f>
        <v>1</v>
      </c>
      <c r="D120" s="33" t="str">
        <f aca="false">IF(AND(B120=1,C120=1),"一致","需核对")</f>
        <v>一致</v>
      </c>
    </row>
    <row r="121" customFormat="false" ht="48" hidden="false" customHeight="true" outlineLevel="0" collapsed="false">
      <c r="A121" s="33" t="s">
        <v>1219</v>
      </c>
      <c r="B121" s="33" t="n">
        <f aca="false">COUNTIFS(首批固定任务!$A$2:$A$109,A121)</f>
        <v>1</v>
      </c>
      <c r="C121" s="33" t="n">
        <f aca="false">COUNTIFS(本批执行结果!$A$2:$A$109,A121)</f>
        <v>1</v>
      </c>
      <c r="D121" s="33" t="str">
        <f aca="false">IF(AND(B121=1,C121=1),"一致","需核对")</f>
        <v>一致</v>
      </c>
    </row>
    <row r="122" customFormat="false" ht="48" hidden="false" customHeight="true" outlineLevel="0" collapsed="false">
      <c r="A122" s="33" t="s">
        <v>1223</v>
      </c>
      <c r="B122" s="33" t="n">
        <f aca="false">COUNTIFS(首批固定任务!$A$2:$A$109,A122)</f>
        <v>1</v>
      </c>
      <c r="C122" s="33" t="n">
        <f aca="false">COUNTIFS(本批执行结果!$A$2:$A$109,A122)</f>
        <v>1</v>
      </c>
      <c r="D122" s="33" t="str">
        <f aca="false">IF(AND(B122=1,C122=1),"一致","需核对")</f>
        <v>一致</v>
      </c>
    </row>
    <row r="123" customFormat="false" ht="48" hidden="false" customHeight="true" outlineLevel="0" collapsed="false">
      <c r="A123" s="33" t="s">
        <v>1227</v>
      </c>
      <c r="B123" s="33" t="n">
        <f aca="false">COUNTIFS(首批固定任务!$A$2:$A$109,A123)</f>
        <v>1</v>
      </c>
      <c r="C123" s="33" t="n">
        <f aca="false">COUNTIFS(本批执行结果!$A$2:$A$109,A123)</f>
        <v>1</v>
      </c>
      <c r="D123" s="33" t="str">
        <f aca="false">IF(AND(B123=1,C123=1),"一致","需核对")</f>
        <v>一致</v>
      </c>
    </row>
    <row r="124" customFormat="false" ht="48" hidden="false" customHeight="true" outlineLevel="0" collapsed="false">
      <c r="A124" s="33" t="s">
        <v>1237</v>
      </c>
      <c r="B124" s="33" t="n">
        <f aca="false">COUNTIFS(首批固定任务!$A$2:$A$109,A124)</f>
        <v>1</v>
      </c>
      <c r="C124" s="33" t="n">
        <f aca="false">COUNTIFS(本批执行结果!$A$2:$A$109,A124)</f>
        <v>1</v>
      </c>
      <c r="D124" s="33" t="str">
        <f aca="false">IF(AND(B124=1,C124=1),"一致","需核对")</f>
        <v>一致</v>
      </c>
    </row>
    <row r="125" customFormat="false" ht="48" hidden="false" customHeight="true" outlineLevel="0" collapsed="false">
      <c r="A125" s="33" t="s">
        <v>1241</v>
      </c>
      <c r="B125" s="33" t="n">
        <f aca="false">COUNTIFS(首批固定任务!$A$2:$A$109,A125)</f>
        <v>1</v>
      </c>
      <c r="C125" s="33" t="n">
        <f aca="false">COUNTIFS(本批执行结果!$A$2:$A$109,A125)</f>
        <v>1</v>
      </c>
      <c r="D125" s="33" t="str">
        <f aca="false">IF(AND(B125=1,C125=1),"一致","需核对")</f>
        <v>一致</v>
      </c>
    </row>
    <row r="126" customFormat="false" ht="48" hidden="false" customHeight="true" outlineLevel="0" collapsed="false">
      <c r="A126" s="33" t="s">
        <v>1245</v>
      </c>
      <c r="B126" s="33" t="n">
        <f aca="false">COUNTIFS(首批固定任务!$A$2:$A$109,A126)</f>
        <v>1</v>
      </c>
      <c r="C126" s="33" t="n">
        <f aca="false">COUNTIFS(本批执行结果!$A$2:$A$109,A126)</f>
        <v>1</v>
      </c>
      <c r="D126" s="33" t="str">
        <f aca="false">IF(AND(B126=1,C126=1),"一致","需核对")</f>
        <v>一致</v>
      </c>
    </row>
    <row r="127" customFormat="false" ht="48" hidden="false" customHeight="true" outlineLevel="0" collapsed="false">
      <c r="A127" s="33" t="s">
        <v>1249</v>
      </c>
      <c r="B127" s="33" t="n">
        <f aca="false">COUNTIFS(首批固定任务!$A$2:$A$109,A127)</f>
        <v>1</v>
      </c>
      <c r="C127" s="33" t="n">
        <f aca="false">COUNTIFS(本批执行结果!$A$2:$A$109,A127)</f>
        <v>1</v>
      </c>
      <c r="D127" s="33" t="str">
        <f aca="false">IF(AND(B127=1,C127=1),"一致","需核对")</f>
        <v>一致</v>
      </c>
    </row>
    <row r="128" customFormat="false" ht="48" hidden="false" customHeight="true" outlineLevel="0" collapsed="false">
      <c r="A128" s="33" t="s">
        <v>1252</v>
      </c>
      <c r="B128" s="33" t="n">
        <f aca="false">COUNTIFS(首批固定任务!$A$2:$A$109,A128)</f>
        <v>1</v>
      </c>
      <c r="C128" s="33" t="n">
        <f aca="false">COUNTIFS(本批执行结果!$A$2:$A$109,A128)</f>
        <v>1</v>
      </c>
      <c r="D128" s="33" t="str">
        <f aca="false">IF(AND(B128=1,C128=1),"一致","需核对")</f>
        <v>一致</v>
      </c>
    </row>
    <row r="129" customFormat="false" ht="48" hidden="false" customHeight="true" outlineLevel="0" collapsed="false">
      <c r="A129" s="33" t="s">
        <v>1256</v>
      </c>
      <c r="B129" s="33" t="n">
        <f aca="false">COUNTIFS(首批固定任务!$A$2:$A$109,A129)</f>
        <v>1</v>
      </c>
      <c r="C129" s="33" t="n">
        <f aca="false">COUNTIFS(本批执行结果!$A$2:$A$109,A129)</f>
        <v>1</v>
      </c>
      <c r="D129" s="33" t="str">
        <f aca="false">IF(AND(B129=1,C129=1),"一致","需核对")</f>
        <v>一致</v>
      </c>
    </row>
    <row r="130" customFormat="false" ht="48" hidden="false" customHeight="true" outlineLevel="0" collapsed="false">
      <c r="A130" s="33" t="s">
        <v>1260</v>
      </c>
      <c r="B130" s="33" t="n">
        <f aca="false">COUNTIFS(首批固定任务!$A$2:$A$109,A130)</f>
        <v>1</v>
      </c>
      <c r="C130" s="33" t="n">
        <f aca="false">COUNTIFS(本批执行结果!$A$2:$A$109,A130)</f>
        <v>1</v>
      </c>
      <c r="D130" s="33" t="str">
        <f aca="false">IF(AND(B130=1,C130=1),"一致","需核对")</f>
        <v>一致</v>
      </c>
    </row>
    <row r="131" customFormat="false" ht="48" hidden="false" customHeight="true" outlineLevel="0" collapsed="false">
      <c r="A131" s="33" t="s">
        <v>1265</v>
      </c>
      <c r="B131" s="33" t="n">
        <f aca="false">COUNTIFS(首批固定任务!$A$2:$A$109,A131)</f>
        <v>1</v>
      </c>
      <c r="C131" s="33" t="n">
        <f aca="false">COUNTIFS(本批执行结果!$A$2:$A$109,A131)</f>
        <v>1</v>
      </c>
      <c r="D131" s="33" t="str">
        <f aca="false">IF(AND(B131=1,C131=1),"一致","需核对")</f>
        <v>一致</v>
      </c>
    </row>
    <row r="132" customFormat="false" ht="48" hidden="false" customHeight="true" outlineLevel="0" collapsed="false">
      <c r="A132" s="33" t="s">
        <v>1269</v>
      </c>
      <c r="B132" s="33" t="n">
        <f aca="false">COUNTIFS(首批固定任务!$A$2:$A$109,A132)</f>
        <v>1</v>
      </c>
      <c r="C132" s="33" t="n">
        <f aca="false">COUNTIFS(本批执行结果!$A$2:$A$109,A132)</f>
        <v>1</v>
      </c>
      <c r="D132" s="33" t="str">
        <f aca="false">IF(AND(B132=1,C132=1),"一致","需核对")</f>
        <v>一致</v>
      </c>
    </row>
    <row r="133" customFormat="false" ht="48" hidden="false" customHeight="true" outlineLevel="0" collapsed="false">
      <c r="A133" s="33" t="s">
        <v>1272</v>
      </c>
      <c r="B133" s="33" t="n">
        <f aca="false">COUNTIFS(首批固定任务!$A$2:$A$109,A133)</f>
        <v>1</v>
      </c>
      <c r="C133" s="33" t="n">
        <f aca="false">COUNTIFS(本批执行结果!$A$2:$A$109,A133)</f>
        <v>1</v>
      </c>
      <c r="D133" s="33" t="str">
        <f aca="false">IF(AND(B133=1,C133=1),"一致","需核对")</f>
        <v>一致</v>
      </c>
    </row>
    <row r="134" customFormat="false" ht="48" hidden="false" customHeight="true" outlineLevel="0" collapsed="false">
      <c r="A134" s="33" t="s">
        <v>1275</v>
      </c>
      <c r="B134" s="33" t="n">
        <f aca="false">COUNTIFS(首批固定任务!$A$2:$A$109,A134)</f>
        <v>1</v>
      </c>
      <c r="C134" s="33" t="n">
        <f aca="false">COUNTIFS(本批执行结果!$A$2:$A$109,A134)</f>
        <v>1</v>
      </c>
      <c r="D134" s="33" t="str">
        <f aca="false">IF(AND(B134=1,C134=1),"一致","需核对")</f>
        <v>一致</v>
      </c>
    </row>
    <row r="135" customFormat="false" ht="48" hidden="false" customHeight="true" outlineLevel="0" collapsed="false">
      <c r="A135" s="33" t="s">
        <v>1278</v>
      </c>
      <c r="B135" s="33" t="n">
        <f aca="false">COUNTIFS(首批固定任务!$A$2:$A$109,A135)</f>
        <v>1</v>
      </c>
      <c r="C135" s="33" t="n">
        <f aca="false">COUNTIFS(本批执行结果!$A$2:$A$109,A135)</f>
        <v>1</v>
      </c>
      <c r="D135" s="33" t="str">
        <f aca="false">IF(AND(B135=1,C135=1),"一致","需核对")</f>
        <v>一致</v>
      </c>
    </row>
    <row r="136" customFormat="false" ht="48" hidden="false" customHeight="true" outlineLevel="0" collapsed="false">
      <c r="A136" s="33" t="s">
        <v>1285</v>
      </c>
      <c r="B136" s="33" t="n">
        <f aca="false">COUNTIFS(首批固定任务!$A$2:$A$109,A136)</f>
        <v>1</v>
      </c>
      <c r="C136" s="33" t="n">
        <f aca="false">COUNTIFS(本批执行结果!$A$2:$A$109,A136)</f>
        <v>1</v>
      </c>
      <c r="D136" s="33" t="str">
        <f aca="false">IF(AND(B136=1,C136=1),"一致","需核对")</f>
        <v>一致</v>
      </c>
    </row>
    <row r="137" customFormat="false" ht="48" hidden="false" customHeight="true" outlineLevel="0" collapsed="false">
      <c r="A137" s="33" t="s">
        <v>1291</v>
      </c>
      <c r="B137" s="33" t="n">
        <f aca="false">COUNTIFS(首批固定任务!$A$2:$A$109,A137)</f>
        <v>1</v>
      </c>
      <c r="C137" s="33" t="n">
        <f aca="false">COUNTIFS(本批执行结果!$A$2:$A$109,A137)</f>
        <v>1</v>
      </c>
      <c r="D137" s="33" t="str">
        <f aca="false">IF(AND(B137=1,C137=1),"一致","需核对")</f>
        <v>一致</v>
      </c>
    </row>
    <row r="138" customFormat="false" ht="48" hidden="false" customHeight="true" outlineLevel="0" collapsed="false">
      <c r="A138" s="33" t="s">
        <v>1295</v>
      </c>
      <c r="B138" s="33" t="n">
        <f aca="false">COUNTIFS(首批固定任务!$A$2:$A$109,A138)</f>
        <v>1</v>
      </c>
      <c r="C138" s="33" t="n">
        <f aca="false">COUNTIFS(本批执行结果!$A$2:$A$109,A138)</f>
        <v>1</v>
      </c>
      <c r="D138" s="33" t="str">
        <f aca="false">IF(AND(B138=1,C138=1),"一致","需核对")</f>
        <v>一致</v>
      </c>
    </row>
    <row r="139" customFormat="false" ht="48" hidden="false" customHeight="true" outlineLevel="0" collapsed="false">
      <c r="A139" s="33" t="s">
        <v>1299</v>
      </c>
      <c r="B139" s="33" t="n">
        <f aca="false">COUNTIFS(首批固定任务!$A$2:$A$109,A139)</f>
        <v>1</v>
      </c>
      <c r="C139" s="33" t="n">
        <f aca="false">COUNTIFS(本批执行结果!$A$2:$A$109,A139)</f>
        <v>1</v>
      </c>
      <c r="D139" s="33" t="str">
        <f aca="false">IF(AND(B139=1,C139=1),"一致","需核对")</f>
        <v>一致</v>
      </c>
    </row>
    <row r="140" customFormat="false" ht="48" hidden="false" customHeight="true" outlineLevel="0" collapsed="false">
      <c r="A140" s="33" t="s">
        <v>1303</v>
      </c>
      <c r="B140" s="33" t="n">
        <f aca="false">COUNTIFS(首批固定任务!$A$2:$A$109,A140)</f>
        <v>1</v>
      </c>
      <c r="C140" s="33" t="n">
        <f aca="false">COUNTIFS(本批执行结果!$A$2:$A$109,A140)</f>
        <v>1</v>
      </c>
      <c r="D140" s="33" t="str">
        <f aca="false">IF(AND(B140=1,C140=1),"一致","需核对")</f>
        <v>一致</v>
      </c>
    </row>
    <row r="141" customFormat="false" ht="48" hidden="false" customHeight="true" outlineLevel="0" collapsed="false">
      <c r="A141" s="33" t="s">
        <v>1307</v>
      </c>
      <c r="B141" s="33" t="n">
        <f aca="false">COUNTIFS(首批固定任务!$A$2:$A$109,A141)</f>
        <v>1</v>
      </c>
      <c r="C141" s="33" t="n">
        <f aca="false">COUNTIFS(本批执行结果!$A$2:$A$109,A141)</f>
        <v>1</v>
      </c>
      <c r="D141" s="33" t="str">
        <f aca="false">IF(AND(B141=1,C141=1),"一致","需核对")</f>
        <v>一致</v>
      </c>
    </row>
    <row r="142" customFormat="false" ht="48" hidden="false" customHeight="true" outlineLevel="0" collapsed="false">
      <c r="A142" s="33" t="s">
        <v>1311</v>
      </c>
      <c r="B142" s="33" t="n">
        <f aca="false">COUNTIFS(首批固定任务!$A$2:$A$109,A142)</f>
        <v>1</v>
      </c>
      <c r="C142" s="33" t="n">
        <f aca="false">COUNTIFS(本批执行结果!$A$2:$A$109,A142)</f>
        <v>1</v>
      </c>
      <c r="D142" s="33" t="str">
        <f aca="false">IF(AND(B142=1,C142=1),"一致","需核对")</f>
        <v>一致</v>
      </c>
    </row>
    <row r="143" customFormat="false" ht="48" hidden="false" customHeight="true" outlineLevel="0" collapsed="false">
      <c r="A143" s="33" t="s">
        <v>1315</v>
      </c>
      <c r="B143" s="33" t="n">
        <f aca="false">COUNTIFS(首批固定任务!$A$2:$A$109,A143)</f>
        <v>1</v>
      </c>
      <c r="C143" s="33" t="n">
        <f aca="false">COUNTIFS(本批执行结果!$A$2:$A$109,A143)</f>
        <v>1</v>
      </c>
      <c r="D143" s="33" t="str">
        <f aca="false">IF(AND(B143=1,C143=1),"一致","需核对")</f>
        <v>一致</v>
      </c>
    </row>
    <row r="144" customFormat="false" ht="48" hidden="false" customHeight="true" outlineLevel="0" collapsed="false">
      <c r="A144" s="33" t="s">
        <v>1319</v>
      </c>
      <c r="B144" s="33" t="n">
        <f aca="false">COUNTIFS(首批固定任务!$A$2:$A$109,A144)</f>
        <v>1</v>
      </c>
      <c r="C144" s="33" t="n">
        <f aca="false">COUNTIFS(本批执行结果!$A$2:$A$109,A144)</f>
        <v>1</v>
      </c>
      <c r="D144" s="33" t="str">
        <f aca="false">IF(AND(B144=1,C144=1),"一致","需核对")</f>
        <v>一致</v>
      </c>
    </row>
    <row r="145" customFormat="false" ht="48" hidden="false" customHeight="true" outlineLevel="0" collapsed="false">
      <c r="A145" s="33" t="s">
        <v>1323</v>
      </c>
      <c r="B145" s="33" t="n">
        <f aca="false">COUNTIFS(首批固定任务!$A$2:$A$109,A145)</f>
        <v>1</v>
      </c>
      <c r="C145" s="33" t="n">
        <f aca="false">COUNTIFS(本批执行结果!$A$2:$A$109,A145)</f>
        <v>1</v>
      </c>
      <c r="D145" s="33" t="str">
        <f aca="false">IF(AND(B145=1,C145=1),"一致","需核对")</f>
        <v>一致</v>
      </c>
    </row>
    <row r="146" customFormat="false" ht="48" hidden="false" customHeight="true" outlineLevel="0" collapsed="false">
      <c r="A146" s="33" t="s">
        <v>1330</v>
      </c>
      <c r="B146" s="33" t="n">
        <f aca="false">COUNTIFS(首批固定任务!$A$2:$A$109,A146)</f>
        <v>1</v>
      </c>
      <c r="C146" s="33" t="n">
        <f aca="false">COUNTIFS(本批执行结果!$A$2:$A$109,A146)</f>
        <v>1</v>
      </c>
      <c r="D146" s="33" t="str">
        <f aca="false">IF(AND(B146=1,C146=1),"一致","需核对")</f>
        <v>一致</v>
      </c>
    </row>
    <row r="147" customFormat="false" ht="48" hidden="false" customHeight="true" outlineLevel="0" collapsed="false">
      <c r="A147" s="33" t="s">
        <v>1335</v>
      </c>
      <c r="B147" s="33" t="n">
        <f aca="false">COUNTIFS(首批固定任务!$A$2:$A$109,A147)</f>
        <v>1</v>
      </c>
      <c r="C147" s="33" t="n">
        <f aca="false">COUNTIFS(本批执行结果!$A$2:$A$109,A147)</f>
        <v>1</v>
      </c>
      <c r="D147" s="33" t="str">
        <f aca="false">IF(AND(B147=1,C147=1),"一致","需核对")</f>
        <v>一致</v>
      </c>
    </row>
    <row r="148" customFormat="false" ht="48" hidden="false" customHeight="true" outlineLevel="0" collapsed="false">
      <c r="A148" s="33" t="s">
        <v>1339</v>
      </c>
      <c r="B148" s="33" t="n">
        <f aca="false">COUNTIFS(首批固定任务!$A$2:$A$109,A148)</f>
        <v>1</v>
      </c>
      <c r="C148" s="33" t="n">
        <f aca="false">COUNTIFS(本批执行结果!$A$2:$A$109,A148)</f>
        <v>1</v>
      </c>
      <c r="D148" s="33" t="str">
        <f aca="false">IF(AND(B148=1,C148=1),"一致","需核对")</f>
        <v>一致</v>
      </c>
    </row>
    <row r="149" customFormat="false" ht="48" hidden="false" customHeight="true" outlineLevel="0" collapsed="false">
      <c r="A149" s="33" t="s">
        <v>1345</v>
      </c>
      <c r="B149" s="33" t="n">
        <f aca="false">COUNTIFS(首批固定任务!$A$2:$A$109,A149)</f>
        <v>1</v>
      </c>
      <c r="C149" s="33" t="n">
        <f aca="false">COUNTIFS(本批执行结果!$A$2:$A$109,A149)</f>
        <v>1</v>
      </c>
      <c r="D149" s="33" t="str">
        <f aca="false">IF(AND(B149=1,C149=1),"一致","需核对")</f>
        <v>一致</v>
      </c>
    </row>
    <row r="150" customFormat="false" ht="48" hidden="false" customHeight="true" outlineLevel="0" collapsed="false">
      <c r="A150" s="33" t="s">
        <v>1350</v>
      </c>
      <c r="B150" s="33" t="n">
        <f aca="false">COUNTIFS(首批固定任务!$A$2:$A$109,A150)</f>
        <v>1</v>
      </c>
      <c r="C150" s="33" t="n">
        <f aca="false">COUNTIFS(本批执行结果!$A$2:$A$109,A150)</f>
        <v>1</v>
      </c>
      <c r="D150" s="33" t="str">
        <f aca="false">IF(AND(B150=1,C150=1),"一致","需核对")</f>
        <v>一致</v>
      </c>
    </row>
    <row r="151" customFormat="false" ht="48" hidden="false" customHeight="true" outlineLevel="0" collapsed="false">
      <c r="A151" s="33"/>
      <c r="B151" s="33"/>
      <c r="C151" s="33"/>
      <c r="D151" s="33"/>
    </row>
    <row r="152" customFormat="false" ht="48" hidden="false" customHeight="true" outlineLevel="0" collapsed="false">
      <c r="A152" s="33"/>
      <c r="B152" s="33"/>
      <c r="C152" s="33"/>
      <c r="D152" s="33"/>
    </row>
    <row r="153" customFormat="false" ht="76" hidden="false" customHeight="true" outlineLevel="0" collapsed="false">
      <c r="A153" s="34" t="s">
        <v>2290</v>
      </c>
      <c r="B153" s="34" t="s">
        <v>2291</v>
      </c>
      <c r="C153" s="34" t="s">
        <v>2292</v>
      </c>
      <c r="D153" s="34" t="s">
        <v>2293</v>
      </c>
    </row>
    <row r="154" customFormat="false" ht="76" hidden="false" customHeight="true" outlineLevel="0" collapsed="false">
      <c r="A154" s="33" t="s">
        <v>2294</v>
      </c>
      <c r="B154" s="33" t="s">
        <v>2295</v>
      </c>
      <c r="C154" s="33" t="s">
        <v>2296</v>
      </c>
      <c r="D154" s="34" t="s">
        <v>2297</v>
      </c>
    </row>
    <row r="155" customFormat="false" ht="76" hidden="false" customHeight="true" outlineLevel="0" collapsed="false">
      <c r="A155" s="33" t="s">
        <v>2298</v>
      </c>
      <c r="B155" s="33" t="s">
        <v>2299</v>
      </c>
      <c r="C155" s="34" t="s">
        <v>2300</v>
      </c>
      <c r="D155" s="34" t="s">
        <v>2301</v>
      </c>
    </row>
    <row r="156" customFormat="false" ht="76" hidden="false" customHeight="true" outlineLevel="0" collapsed="false">
      <c r="A156" s="33" t="s">
        <v>2302</v>
      </c>
      <c r="B156" s="33" t="s">
        <v>2303</v>
      </c>
      <c r="C156" s="34" t="s">
        <v>2304</v>
      </c>
      <c r="D156" s="33" t="s">
        <v>2305</v>
      </c>
    </row>
    <row r="157" customFormat="false" ht="76" hidden="false" customHeight="true" outlineLevel="0" collapsed="false">
      <c r="A157" s="33" t="s">
        <v>2306</v>
      </c>
      <c r="B157" s="33" t="s">
        <v>2307</v>
      </c>
      <c r="C157" s="33" t="s">
        <v>2308</v>
      </c>
      <c r="D157" s="34" t="s">
        <v>2309</v>
      </c>
    </row>
    <row r="158" customFormat="false" ht="76" hidden="false" customHeight="true" outlineLevel="0" collapsed="false">
      <c r="A158" s="33" t="s">
        <v>2310</v>
      </c>
      <c r="B158" s="33" t="s">
        <v>2311</v>
      </c>
      <c r="C158" s="34" t="s">
        <v>2312</v>
      </c>
      <c r="D158" s="34" t="s">
        <v>2313</v>
      </c>
    </row>
    <row r="159" customFormat="false" ht="76" hidden="false" customHeight="true" outlineLevel="0" collapsed="false">
      <c r="A159" s="33" t="s">
        <v>2314</v>
      </c>
      <c r="B159" s="34" t="s">
        <v>2315</v>
      </c>
      <c r="C159" s="34" t="s">
        <v>2316</v>
      </c>
      <c r="D159" s="33" t="s">
        <v>2317</v>
      </c>
    </row>
    <row r="160" customFormat="false" ht="76" hidden="false" customHeight="true" outlineLevel="0" collapsed="false">
      <c r="A160" s="33" t="s">
        <v>2318</v>
      </c>
      <c r="B160" s="34" t="s">
        <v>2319</v>
      </c>
      <c r="C160" s="34" t="s">
        <v>2320</v>
      </c>
      <c r="D160" s="34" t="s">
        <v>2321</v>
      </c>
    </row>
    <row r="161" customFormat="false" ht="76" hidden="false" customHeight="true" outlineLevel="0" collapsed="false">
      <c r="A161" s="34" t="s">
        <v>2322</v>
      </c>
      <c r="B161" s="33" t="s">
        <v>2323</v>
      </c>
      <c r="C161" s="34" t="s">
        <v>2324</v>
      </c>
      <c r="D161" s="115" t="s">
        <v>2325</v>
      </c>
    </row>
    <row r="162" customFormat="false" ht="76" hidden="false" customHeight="true" outlineLevel="0" collapsed="false">
      <c r="A162" s="34" t="s">
        <v>2326</v>
      </c>
      <c r="B162" s="34" t="s">
        <v>2327</v>
      </c>
      <c r="C162" s="34" t="s">
        <v>2328</v>
      </c>
      <c r="D162" s="33" t="s">
        <v>2329</v>
      </c>
    </row>
    <row r="166" customFormat="false" ht="78" hidden="false" customHeight="true" outlineLevel="0" collapsed="false">
      <c r="A166" s="38" t="s">
        <v>2330</v>
      </c>
      <c r="B166" s="39" t="s">
        <v>2331</v>
      </c>
      <c r="C166" s="38" t="s">
        <v>2332</v>
      </c>
      <c r="D166" s="39" t="s">
        <v>2333</v>
      </c>
    </row>
    <row r="167" customFormat="false" ht="78" hidden="false" customHeight="true" outlineLevel="0" collapsed="false">
      <c r="A167" s="38" t="s">
        <v>2334</v>
      </c>
      <c r="B167" s="38" t="s">
        <v>2335</v>
      </c>
      <c r="C167" s="38" t="s">
        <v>2336</v>
      </c>
      <c r="D167" s="38" t="s">
        <v>2337</v>
      </c>
    </row>
    <row r="168" customFormat="false" ht="78" hidden="false" customHeight="true" outlineLevel="0" collapsed="false">
      <c r="A168" s="38" t="s">
        <v>2338</v>
      </c>
      <c r="B168" s="39" t="s">
        <v>2339</v>
      </c>
      <c r="C168" s="38" t="s">
        <v>2340</v>
      </c>
      <c r="D168" s="38" t="s">
        <v>2341</v>
      </c>
    </row>
    <row r="169" customFormat="false" ht="78" hidden="false" customHeight="true" outlineLevel="0" collapsed="false">
      <c r="A169" s="38" t="s">
        <v>202</v>
      </c>
      <c r="B169" s="39" t="s">
        <v>2342</v>
      </c>
      <c r="C169" s="38" t="s">
        <v>2343</v>
      </c>
      <c r="D169" s="38" t="s">
        <v>2344</v>
      </c>
    </row>
    <row r="170" customFormat="false" ht="78" hidden="false" customHeight="true" outlineLevel="0" collapsed="false">
      <c r="A170" s="38" t="s">
        <v>2345</v>
      </c>
      <c r="B170" s="39" t="s">
        <v>2346</v>
      </c>
      <c r="C170" s="38" t="s">
        <v>2347</v>
      </c>
      <c r="D170" s="38" t="s">
        <v>2348</v>
      </c>
    </row>
    <row r="171" customFormat="false" ht="78" hidden="false" customHeight="true" outlineLevel="0" collapsed="false">
      <c r="A171" s="38" t="s">
        <v>2349</v>
      </c>
      <c r="B171" s="39" t="s">
        <v>2350</v>
      </c>
      <c r="C171" s="38" t="s">
        <v>2351</v>
      </c>
      <c r="D171" s="38" t="s">
        <v>2352</v>
      </c>
    </row>
    <row r="172" customFormat="false" ht="78" hidden="false" customHeight="true" outlineLevel="0" collapsed="false">
      <c r="A172" s="38" t="s">
        <v>2353</v>
      </c>
      <c r="B172" s="39" t="s">
        <v>2354</v>
      </c>
      <c r="C172" s="38" t="s">
        <v>2355</v>
      </c>
      <c r="D172" s="38" t="s">
        <v>2356</v>
      </c>
    </row>
    <row r="173" customFormat="false" ht="78" hidden="false" customHeight="true" outlineLevel="0" collapsed="false">
      <c r="A173" s="38" t="s">
        <v>2357</v>
      </c>
      <c r="B173" s="38" t="s">
        <v>2358</v>
      </c>
      <c r="C173" s="38" t="s">
        <v>2359</v>
      </c>
      <c r="D173" s="38" t="s">
        <v>2360</v>
      </c>
    </row>
    <row r="174" customFormat="false" ht="78" hidden="false" customHeight="true" outlineLevel="0" collapsed="false">
      <c r="A174" s="38" t="s">
        <v>2361</v>
      </c>
      <c r="B174" s="23" t="s">
        <v>2362</v>
      </c>
      <c r="C174" s="38" t="s">
        <v>2363</v>
      </c>
      <c r="D174" s="38" t="s">
        <v>2364</v>
      </c>
    </row>
    <row r="175" customFormat="false" ht="78" hidden="false" customHeight="true" outlineLevel="0" collapsed="false">
      <c r="A175" s="38" t="s">
        <v>238</v>
      </c>
      <c r="B175" s="39" t="s">
        <v>2365</v>
      </c>
      <c r="C175" s="38" t="s">
        <v>2366</v>
      </c>
      <c r="D175" s="38" t="s">
        <v>2367</v>
      </c>
    </row>
    <row r="176" customFormat="false" ht="78" hidden="false" customHeight="true" outlineLevel="0" collapsed="false">
      <c r="A176" s="38" t="s">
        <v>2368</v>
      </c>
      <c r="B176" s="38" t="s">
        <v>2369</v>
      </c>
      <c r="C176" s="38" t="s">
        <v>2370</v>
      </c>
      <c r="D176" s="38" t="s">
        <v>2371</v>
      </c>
    </row>
    <row r="177" customFormat="false" ht="90" hidden="false" customHeight="true" outlineLevel="0" collapsed="false">
      <c r="A177" s="116" t="s">
        <v>2372</v>
      </c>
      <c r="B177" s="116" t="s">
        <v>2373</v>
      </c>
      <c r="C177" s="116" t="s">
        <v>2374</v>
      </c>
      <c r="D177" s="116" t="s">
        <v>2375</v>
      </c>
    </row>
    <row r="178" customFormat="false" ht="100" hidden="false" customHeight="true" outlineLevel="0" collapsed="false">
      <c r="A178" s="42" t="s">
        <v>2376</v>
      </c>
      <c r="B178" s="42" t="s">
        <v>2377</v>
      </c>
      <c r="C178" s="42" t="s">
        <v>2378</v>
      </c>
      <c r="D178" s="30" t="s">
        <v>2379</v>
      </c>
    </row>
    <row r="179" customFormat="false" ht="100" hidden="false" customHeight="true" outlineLevel="0" collapsed="false">
      <c r="A179" s="42" t="s">
        <v>2380</v>
      </c>
      <c r="B179" s="42" t="s">
        <v>2381</v>
      </c>
      <c r="C179" s="42" t="s">
        <v>2382</v>
      </c>
      <c r="D179" s="42" t="s">
        <v>2383</v>
      </c>
    </row>
    <row r="180" customFormat="false" ht="100" hidden="false" customHeight="true" outlineLevel="0" collapsed="false">
      <c r="A180" s="42" t="s">
        <v>2384</v>
      </c>
      <c r="B180" s="42" t="s">
        <v>2385</v>
      </c>
      <c r="C180" s="42" t="s">
        <v>2386</v>
      </c>
      <c r="D180" s="42" t="s">
        <v>2387</v>
      </c>
    </row>
    <row r="181" customFormat="false" ht="100" hidden="false" customHeight="true" outlineLevel="0" collapsed="false">
      <c r="A181" s="42" t="s">
        <v>2388</v>
      </c>
      <c r="B181" s="42" t="s">
        <v>2389</v>
      </c>
      <c r="C181" s="42" t="s">
        <v>2390</v>
      </c>
      <c r="D181" s="42" t="s">
        <v>2391</v>
      </c>
    </row>
    <row r="182" customFormat="false" ht="100" hidden="false" customHeight="true" outlineLevel="0" collapsed="false">
      <c r="A182" s="42" t="s">
        <v>669</v>
      </c>
      <c r="B182" s="42" t="s">
        <v>2392</v>
      </c>
      <c r="C182" s="42" t="s">
        <v>2393</v>
      </c>
      <c r="D182" s="42" t="s">
        <v>2394</v>
      </c>
    </row>
    <row r="183" customFormat="false" ht="100" hidden="false" customHeight="true" outlineLevel="0" collapsed="false">
      <c r="A183" s="42" t="s">
        <v>2395</v>
      </c>
      <c r="B183" s="42" t="s">
        <v>2396</v>
      </c>
      <c r="C183" s="42" t="s">
        <v>2397</v>
      </c>
      <c r="D183" s="42" t="s">
        <v>2398</v>
      </c>
    </row>
    <row r="184" customFormat="false" ht="100" hidden="false" customHeight="true" outlineLevel="0" collapsed="false">
      <c r="A184" s="42" t="s">
        <v>2399</v>
      </c>
      <c r="B184" s="42" t="s">
        <v>2400</v>
      </c>
      <c r="C184" s="42" t="s">
        <v>2401</v>
      </c>
      <c r="D184" s="42" t="s">
        <v>2402</v>
      </c>
    </row>
    <row r="185" customFormat="false" ht="100" hidden="false" customHeight="true" outlineLevel="0" collapsed="false">
      <c r="A185" s="42" t="s">
        <v>2403</v>
      </c>
      <c r="B185" s="42" t="s">
        <v>2404</v>
      </c>
      <c r="C185" s="42" t="s">
        <v>2405</v>
      </c>
      <c r="D185" s="42" t="s">
        <v>2406</v>
      </c>
    </row>
    <row r="186" customFormat="false" ht="100" hidden="false" customHeight="true" outlineLevel="0" collapsed="false">
      <c r="A186" s="42" t="s">
        <v>2407</v>
      </c>
      <c r="B186" s="42" t="s">
        <v>2408</v>
      </c>
      <c r="C186" s="42" t="s">
        <v>2409</v>
      </c>
      <c r="D186" s="42" t="s">
        <v>2410</v>
      </c>
    </row>
    <row r="187" customFormat="false" ht="100" hidden="false" customHeight="true" outlineLevel="0" collapsed="false">
      <c r="A187" s="42" t="s">
        <v>2411</v>
      </c>
      <c r="B187" s="30" t="s">
        <v>2412</v>
      </c>
      <c r="C187" s="30" t="s">
        <v>2413</v>
      </c>
      <c r="D187" s="42" t="s">
        <v>2414</v>
      </c>
    </row>
    <row r="188" customFormat="false" ht="100" hidden="false" customHeight="true" outlineLevel="0" collapsed="false">
      <c r="A188" s="42" t="s">
        <v>2415</v>
      </c>
      <c r="B188" s="42" t="s">
        <v>2416</v>
      </c>
      <c r="C188" s="42" t="s">
        <v>2417</v>
      </c>
      <c r="D188" s="42" t="s">
        <v>2418</v>
      </c>
    </row>
    <row r="189" customFormat="false" ht="100" hidden="false" customHeight="true" outlineLevel="0" collapsed="false">
      <c r="A189" s="117" t="s">
        <v>2419</v>
      </c>
      <c r="B189" s="117" t="s">
        <v>2420</v>
      </c>
      <c r="C189" s="117" t="s">
        <v>2421</v>
      </c>
      <c r="D189" s="117" t="s">
        <v>2422</v>
      </c>
    </row>
    <row r="190" customFormat="false" ht="100" hidden="false" customHeight="true" outlineLevel="0" collapsed="false">
      <c r="A190" s="117" t="s">
        <v>2423</v>
      </c>
      <c r="B190" s="117" t="s">
        <v>2424</v>
      </c>
      <c r="C190" s="117" t="s">
        <v>2425</v>
      </c>
      <c r="D190" s="117" t="s">
        <v>2426</v>
      </c>
    </row>
    <row r="191" customFormat="false" ht="96" hidden="false" customHeight="true" outlineLevel="0" collapsed="false">
      <c r="A191" s="46" t="s">
        <v>2427</v>
      </c>
      <c r="B191" s="46" t="s">
        <v>2428</v>
      </c>
      <c r="C191" s="46" t="s">
        <v>2429</v>
      </c>
      <c r="D191" s="46" t="s">
        <v>2430</v>
      </c>
    </row>
    <row r="192" customFormat="false" ht="96" hidden="false" customHeight="true" outlineLevel="0" collapsed="false">
      <c r="A192" s="46" t="s">
        <v>2431</v>
      </c>
      <c r="B192" s="46" t="s">
        <v>2432</v>
      </c>
      <c r="C192" s="46" t="s">
        <v>2433</v>
      </c>
      <c r="D192" s="46" t="s">
        <v>2434</v>
      </c>
    </row>
    <row r="193" customFormat="false" ht="96" hidden="false" customHeight="true" outlineLevel="0" collapsed="false">
      <c r="A193" s="46" t="s">
        <v>2435</v>
      </c>
      <c r="B193" s="46" t="s">
        <v>2436</v>
      </c>
      <c r="C193" s="46" t="s">
        <v>2437</v>
      </c>
      <c r="D193" s="46" t="s">
        <v>2438</v>
      </c>
    </row>
    <row r="194" customFormat="false" ht="96" hidden="false" customHeight="true" outlineLevel="0" collapsed="false">
      <c r="A194" s="46" t="s">
        <v>2439</v>
      </c>
      <c r="B194" s="46" t="s">
        <v>2440</v>
      </c>
      <c r="C194" s="46" t="s">
        <v>2441</v>
      </c>
      <c r="D194" s="46" t="s">
        <v>2442</v>
      </c>
    </row>
    <row r="195" customFormat="false" ht="96" hidden="false" customHeight="true" outlineLevel="0" collapsed="false">
      <c r="A195" s="46" t="s">
        <v>2443</v>
      </c>
      <c r="B195" s="46" t="s">
        <v>2444</v>
      </c>
      <c r="C195" s="46" t="s">
        <v>2445</v>
      </c>
      <c r="D195" s="46" t="s">
        <v>2446</v>
      </c>
    </row>
    <row r="196" customFormat="false" ht="96" hidden="false" customHeight="true" outlineLevel="0" collapsed="false">
      <c r="A196" s="46" t="s">
        <v>2447</v>
      </c>
      <c r="B196" s="46" t="s">
        <v>2448</v>
      </c>
      <c r="C196" s="46" t="s">
        <v>2449</v>
      </c>
      <c r="D196" s="46" t="s">
        <v>2450</v>
      </c>
    </row>
    <row r="197" customFormat="false" ht="96" hidden="false" customHeight="true" outlineLevel="0" collapsed="false">
      <c r="A197" s="46" t="s">
        <v>2451</v>
      </c>
      <c r="B197" s="46" t="s">
        <v>2452</v>
      </c>
      <c r="C197" s="46" t="s">
        <v>2453</v>
      </c>
      <c r="D197" s="46" t="s">
        <v>2454</v>
      </c>
    </row>
    <row r="198" customFormat="false" ht="96" hidden="false" customHeight="true" outlineLevel="0" collapsed="false">
      <c r="A198" s="46" t="s">
        <v>2455</v>
      </c>
      <c r="B198" s="46" t="s">
        <v>2456</v>
      </c>
      <c r="C198" s="46" t="s">
        <v>2457</v>
      </c>
      <c r="D198" s="46" t="s">
        <v>2458</v>
      </c>
    </row>
    <row r="199" customFormat="false" ht="96" hidden="false" customHeight="true" outlineLevel="0" collapsed="false">
      <c r="A199" s="46" t="s">
        <v>2459</v>
      </c>
      <c r="B199" s="46" t="s">
        <v>2460</v>
      </c>
      <c r="C199" s="46" t="s">
        <v>2461</v>
      </c>
      <c r="D199" s="46" t="s">
        <v>2462</v>
      </c>
    </row>
    <row r="200" customFormat="false" ht="96" hidden="false" customHeight="true" outlineLevel="0" collapsed="false">
      <c r="A200" s="46" t="s">
        <v>2463</v>
      </c>
      <c r="B200" s="46" t="s">
        <v>2464</v>
      </c>
      <c r="C200" s="46" t="s">
        <v>2465</v>
      </c>
      <c r="D200" s="46" t="s">
        <v>2466</v>
      </c>
    </row>
    <row r="201" customFormat="false" ht="96" hidden="false" customHeight="true" outlineLevel="0" collapsed="false">
      <c r="A201" s="46" t="s">
        <v>2467</v>
      </c>
      <c r="B201" s="46" t="s">
        <v>2468</v>
      </c>
      <c r="C201" s="46" t="s">
        <v>2469</v>
      </c>
      <c r="D201" s="46" t="s">
        <v>2470</v>
      </c>
    </row>
    <row r="202" customFormat="false" ht="96" hidden="false" customHeight="true" outlineLevel="0" collapsed="false">
      <c r="A202" s="46" t="s">
        <v>2471</v>
      </c>
      <c r="B202" s="46" t="s">
        <v>2472</v>
      </c>
      <c r="C202" s="46" t="s">
        <v>2473</v>
      </c>
      <c r="D202" s="46" t="s">
        <v>2474</v>
      </c>
    </row>
    <row r="203" customFormat="false" ht="96" hidden="false" customHeight="true" outlineLevel="0" collapsed="false">
      <c r="A203" s="50" t="s">
        <v>2475</v>
      </c>
      <c r="B203" s="50" t="s">
        <v>2476</v>
      </c>
      <c r="C203" s="50" t="s">
        <v>2477</v>
      </c>
      <c r="D203" s="23" t="s">
        <v>2478</v>
      </c>
    </row>
    <row r="204" customFormat="false" ht="96" hidden="false" customHeight="true" outlineLevel="0" collapsed="false">
      <c r="A204" s="50" t="s">
        <v>2479</v>
      </c>
      <c r="B204" s="50" t="s">
        <v>2480</v>
      </c>
      <c r="C204" s="50" t="s">
        <v>2481</v>
      </c>
      <c r="D204" s="50" t="s">
        <v>2482</v>
      </c>
    </row>
    <row r="205" customFormat="false" ht="96" hidden="false" customHeight="true" outlineLevel="0" collapsed="false">
      <c r="A205" s="23" t="s">
        <v>2483</v>
      </c>
      <c r="B205" s="50" t="s">
        <v>2484</v>
      </c>
      <c r="C205" s="50" t="s">
        <v>2485</v>
      </c>
      <c r="D205" s="50" t="s">
        <v>2486</v>
      </c>
    </row>
    <row r="206" customFormat="false" ht="96" hidden="false" customHeight="true" outlineLevel="0" collapsed="false">
      <c r="A206" s="50" t="s">
        <v>2487</v>
      </c>
      <c r="B206" s="50" t="s">
        <v>2488</v>
      </c>
      <c r="C206" s="50" t="s">
        <v>2489</v>
      </c>
      <c r="D206" s="50" t="s">
        <v>2490</v>
      </c>
    </row>
    <row r="207" customFormat="false" ht="96" hidden="false" customHeight="true" outlineLevel="0" collapsed="false">
      <c r="A207" s="50" t="s">
        <v>2491</v>
      </c>
      <c r="B207" s="50" t="s">
        <v>2492</v>
      </c>
      <c r="C207" s="50" t="s">
        <v>2493</v>
      </c>
      <c r="D207" s="50" t="s">
        <v>2494</v>
      </c>
    </row>
    <row r="208" customFormat="false" ht="96" hidden="false" customHeight="true" outlineLevel="0" collapsed="false">
      <c r="A208" s="50" t="s">
        <v>2495</v>
      </c>
      <c r="B208" s="50" t="s">
        <v>2496</v>
      </c>
      <c r="C208" s="50" t="s">
        <v>2497</v>
      </c>
      <c r="D208" s="50" t="s">
        <v>2498</v>
      </c>
    </row>
    <row r="209" customFormat="false" ht="96" hidden="false" customHeight="true" outlineLevel="0" collapsed="false">
      <c r="A209" s="50" t="s">
        <v>2499</v>
      </c>
      <c r="B209" s="50" t="s">
        <v>2500</v>
      </c>
      <c r="C209" s="50" t="s">
        <v>2501</v>
      </c>
      <c r="D209" s="50" t="s">
        <v>2502</v>
      </c>
    </row>
    <row r="210" customFormat="false" ht="96" hidden="false" customHeight="true" outlineLevel="0" collapsed="false">
      <c r="A210" s="50" t="s">
        <v>2503</v>
      </c>
      <c r="B210" s="50" t="s">
        <v>2504</v>
      </c>
      <c r="C210" s="50" t="s">
        <v>2505</v>
      </c>
      <c r="D210" s="50" t="s">
        <v>2506</v>
      </c>
    </row>
    <row r="211" customFormat="false" ht="96" hidden="false" customHeight="true" outlineLevel="0" collapsed="false">
      <c r="A211" s="23" t="s">
        <v>2507</v>
      </c>
      <c r="B211" s="50" t="s">
        <v>2508</v>
      </c>
      <c r="C211" s="50" t="s">
        <v>2509</v>
      </c>
      <c r="D211" s="50" t="s">
        <v>2510</v>
      </c>
    </row>
    <row r="212" customFormat="false" ht="96" hidden="false" customHeight="true" outlineLevel="0" collapsed="false">
      <c r="A212" s="50" t="s">
        <v>2511</v>
      </c>
      <c r="B212" s="50" t="s">
        <v>2512</v>
      </c>
      <c r="C212" s="50" t="s">
        <v>2513</v>
      </c>
      <c r="D212" s="50" t="s">
        <v>2514</v>
      </c>
    </row>
    <row r="213" customFormat="false" ht="96" hidden="false" customHeight="true" outlineLevel="0" collapsed="false">
      <c r="A213" s="54" t="s">
        <v>2515</v>
      </c>
      <c r="B213" s="54" t="s">
        <v>2516</v>
      </c>
      <c r="C213" s="54" t="s">
        <v>2517</v>
      </c>
      <c r="D213" s="54" t="s">
        <v>2518</v>
      </c>
    </row>
    <row r="214" customFormat="false" ht="96" hidden="false" customHeight="true" outlineLevel="0" collapsed="false">
      <c r="A214" s="54" t="s">
        <v>2479</v>
      </c>
      <c r="B214" s="54" t="s">
        <v>2519</v>
      </c>
      <c r="C214" s="54" t="s">
        <v>2520</v>
      </c>
      <c r="D214" s="54" t="s">
        <v>2521</v>
      </c>
    </row>
    <row r="215" customFormat="false" ht="96" hidden="false" customHeight="true" outlineLevel="0" collapsed="false">
      <c r="A215" s="54" t="s">
        <v>2522</v>
      </c>
      <c r="B215" s="54" t="s">
        <v>2523</v>
      </c>
      <c r="C215" s="54" t="s">
        <v>2524</v>
      </c>
      <c r="D215" s="54" t="s">
        <v>2525</v>
      </c>
    </row>
    <row r="216" customFormat="false" ht="96" hidden="false" customHeight="true" outlineLevel="0" collapsed="false">
      <c r="A216" s="54" t="s">
        <v>2526</v>
      </c>
      <c r="B216" s="54" t="s">
        <v>2527</v>
      </c>
      <c r="C216" s="54" t="s">
        <v>2528</v>
      </c>
      <c r="D216" s="54" t="s">
        <v>2529</v>
      </c>
    </row>
    <row r="217" customFormat="false" ht="96" hidden="false" customHeight="true" outlineLevel="0" collapsed="false">
      <c r="A217" s="54" t="s">
        <v>2530</v>
      </c>
      <c r="B217" s="54" t="s">
        <v>2531</v>
      </c>
      <c r="C217" s="54" t="s">
        <v>2532</v>
      </c>
      <c r="D217" s="54" t="s">
        <v>2533</v>
      </c>
    </row>
    <row r="218" customFormat="false" ht="96" hidden="false" customHeight="true" outlineLevel="0" collapsed="false">
      <c r="A218" s="54" t="s">
        <v>2534</v>
      </c>
      <c r="B218" s="54" t="s">
        <v>2535</v>
      </c>
      <c r="C218" s="54" t="s">
        <v>2536</v>
      </c>
      <c r="D218" s="54" t="s">
        <v>2537</v>
      </c>
    </row>
    <row r="219" customFormat="false" ht="96" hidden="false" customHeight="true" outlineLevel="0" collapsed="false">
      <c r="A219" s="54" t="s">
        <v>2538</v>
      </c>
      <c r="B219" s="54" t="s">
        <v>2539</v>
      </c>
      <c r="C219" s="54" t="s">
        <v>2540</v>
      </c>
      <c r="D219" s="54" t="s">
        <v>2541</v>
      </c>
    </row>
    <row r="220" customFormat="false" ht="96" hidden="false" customHeight="true" outlineLevel="0" collapsed="false">
      <c r="A220" s="54" t="s">
        <v>2542</v>
      </c>
      <c r="B220" s="54" t="s">
        <v>2543</v>
      </c>
      <c r="C220" s="54" t="s">
        <v>2544</v>
      </c>
      <c r="D220" s="54" t="s">
        <v>2545</v>
      </c>
    </row>
    <row r="221" customFormat="false" ht="96" hidden="false" customHeight="true" outlineLevel="0" collapsed="false">
      <c r="A221" s="54" t="s">
        <v>2546</v>
      </c>
      <c r="B221" s="54" t="s">
        <v>2547</v>
      </c>
      <c r="C221" s="54" t="s">
        <v>2548</v>
      </c>
      <c r="D221" s="54" t="s">
        <v>2549</v>
      </c>
    </row>
    <row r="222" customFormat="false" ht="96" hidden="false" customHeight="true" outlineLevel="0" collapsed="false">
      <c r="A222" s="54" t="s">
        <v>2503</v>
      </c>
      <c r="B222" s="54" t="s">
        <v>2550</v>
      </c>
      <c r="C222" s="54" t="s">
        <v>2551</v>
      </c>
      <c r="D222" s="54" t="s">
        <v>2552</v>
      </c>
    </row>
    <row r="223" customFormat="false" ht="96" hidden="false" customHeight="true" outlineLevel="0" collapsed="false">
      <c r="A223" s="58" t="s">
        <v>2553</v>
      </c>
      <c r="B223" s="58" t="s">
        <v>2554</v>
      </c>
      <c r="C223" s="58" t="s">
        <v>2555</v>
      </c>
      <c r="D223" s="58" t="s">
        <v>2556</v>
      </c>
    </row>
    <row r="224" customFormat="false" ht="96" hidden="false" customHeight="true" outlineLevel="0" collapsed="false">
      <c r="A224" s="58" t="s">
        <v>2557</v>
      </c>
      <c r="B224" s="58" t="s">
        <v>2558</v>
      </c>
      <c r="C224" s="58" t="s">
        <v>2559</v>
      </c>
      <c r="D224" s="58" t="s">
        <v>2521</v>
      </c>
    </row>
    <row r="225" customFormat="false" ht="96" hidden="false" customHeight="true" outlineLevel="0" collapsed="false">
      <c r="A225" s="58" t="s">
        <v>2560</v>
      </c>
      <c r="B225" s="58" t="s">
        <v>2561</v>
      </c>
      <c r="C225" s="58" t="s">
        <v>2562</v>
      </c>
      <c r="D225" s="58" t="s">
        <v>2563</v>
      </c>
    </row>
    <row r="226" customFormat="false" ht="96" hidden="false" customHeight="true" outlineLevel="0" collapsed="false">
      <c r="A226" s="58" t="s">
        <v>2564</v>
      </c>
      <c r="B226" s="58" t="s">
        <v>2565</v>
      </c>
      <c r="C226" s="58" t="s">
        <v>2566</v>
      </c>
      <c r="D226" s="58" t="s">
        <v>2567</v>
      </c>
    </row>
    <row r="227" customFormat="false" ht="96" hidden="false" customHeight="true" outlineLevel="0" collapsed="false">
      <c r="A227" s="58" t="s">
        <v>2568</v>
      </c>
      <c r="B227" s="58" t="s">
        <v>2569</v>
      </c>
      <c r="C227" s="58" t="s">
        <v>2570</v>
      </c>
      <c r="D227" s="58" t="s">
        <v>2571</v>
      </c>
    </row>
    <row r="228" customFormat="false" ht="96" hidden="false" customHeight="true" outlineLevel="0" collapsed="false">
      <c r="A228" s="58" t="s">
        <v>2530</v>
      </c>
      <c r="B228" s="58" t="s">
        <v>2572</v>
      </c>
      <c r="C228" s="58" t="s">
        <v>2573</v>
      </c>
      <c r="D228" s="58" t="s">
        <v>2574</v>
      </c>
    </row>
    <row r="229" customFormat="false" ht="96" hidden="false" customHeight="true" outlineLevel="0" collapsed="false">
      <c r="A229" s="58" t="s">
        <v>2575</v>
      </c>
      <c r="B229" s="58" t="s">
        <v>2576</v>
      </c>
      <c r="C229" s="58" t="s">
        <v>2577</v>
      </c>
      <c r="D229" s="58" t="s">
        <v>2578</v>
      </c>
    </row>
    <row r="230" customFormat="false" ht="96" hidden="false" customHeight="true" outlineLevel="0" collapsed="false">
      <c r="A230" s="58" t="s">
        <v>2579</v>
      </c>
      <c r="B230" s="58" t="s">
        <v>611</v>
      </c>
      <c r="C230" s="58" t="s">
        <v>2580</v>
      </c>
      <c r="D230" s="58" t="s">
        <v>2581</v>
      </c>
    </row>
    <row r="231" customFormat="false" ht="96" hidden="false" customHeight="true" outlineLevel="0" collapsed="false">
      <c r="A231" s="58" t="s">
        <v>2546</v>
      </c>
      <c r="B231" s="58" t="s">
        <v>2547</v>
      </c>
      <c r="C231" s="58" t="s">
        <v>2582</v>
      </c>
      <c r="D231" s="58" t="s">
        <v>2549</v>
      </c>
    </row>
    <row r="232" customFormat="false" ht="96" hidden="false" customHeight="true" outlineLevel="0" collapsed="false">
      <c r="A232" s="58" t="s">
        <v>2583</v>
      </c>
      <c r="B232" s="58" t="s">
        <v>2584</v>
      </c>
      <c r="C232" s="58" t="s">
        <v>2585</v>
      </c>
      <c r="D232" s="58" t="s">
        <v>2586</v>
      </c>
    </row>
    <row r="234" customFormat="false" ht="96" hidden="false" customHeight="true" outlineLevel="0" collapsed="false">
      <c r="A234" s="62" t="s">
        <v>2587</v>
      </c>
      <c r="B234" s="62" t="s">
        <v>2588</v>
      </c>
      <c r="C234" s="62" t="s">
        <v>2589</v>
      </c>
      <c r="D234" s="62" t="s">
        <v>2590</v>
      </c>
    </row>
    <row r="235" customFormat="false" ht="96" hidden="false" customHeight="true" outlineLevel="0" collapsed="false">
      <c r="A235" s="62" t="s">
        <v>2591</v>
      </c>
      <c r="B235" s="62" t="s">
        <v>2592</v>
      </c>
      <c r="C235" s="62" t="s">
        <v>2593</v>
      </c>
      <c r="D235" s="62" t="s">
        <v>2594</v>
      </c>
    </row>
    <row r="236" customFormat="false" ht="96" hidden="false" customHeight="true" outlineLevel="0" collapsed="false">
      <c r="A236" s="62" t="s">
        <v>2595</v>
      </c>
      <c r="B236" s="62" t="s">
        <v>2596</v>
      </c>
      <c r="C236" s="62" t="s">
        <v>2597</v>
      </c>
      <c r="D236" s="62" t="s">
        <v>2598</v>
      </c>
    </row>
    <row r="237" customFormat="false" ht="96" hidden="false" customHeight="true" outlineLevel="0" collapsed="false">
      <c r="A237" s="62" t="s">
        <v>2599</v>
      </c>
      <c r="B237" s="62" t="s">
        <v>2600</v>
      </c>
      <c r="C237" s="62" t="s">
        <v>2601</v>
      </c>
      <c r="D237" s="62" t="s">
        <v>2602</v>
      </c>
    </row>
    <row r="238" customFormat="false" ht="96" hidden="false" customHeight="true" outlineLevel="0" collapsed="false">
      <c r="A238" s="62" t="s">
        <v>2603</v>
      </c>
      <c r="B238" s="62" t="s">
        <v>2604</v>
      </c>
      <c r="C238" s="62" t="s">
        <v>2605</v>
      </c>
      <c r="D238" s="62" t="s">
        <v>2606</v>
      </c>
    </row>
    <row r="239" customFormat="false" ht="96" hidden="false" customHeight="true" outlineLevel="0" collapsed="false">
      <c r="A239" s="62" t="s">
        <v>2607</v>
      </c>
      <c r="B239" s="62" t="s">
        <v>2608</v>
      </c>
      <c r="C239" s="62" t="s">
        <v>2609</v>
      </c>
      <c r="D239" s="62" t="s">
        <v>2610</v>
      </c>
    </row>
    <row r="241" customFormat="false" ht="105" hidden="false" customHeight="true" outlineLevel="0" collapsed="false">
      <c r="A241" s="66" t="s">
        <v>2611</v>
      </c>
      <c r="B241" s="66" t="s">
        <v>2612</v>
      </c>
      <c r="C241" s="66" t="s">
        <v>2613</v>
      </c>
      <c r="D241" s="66" t="s">
        <v>2614</v>
      </c>
    </row>
    <row r="242" customFormat="false" ht="105" hidden="false" customHeight="true" outlineLevel="0" collapsed="false">
      <c r="A242" s="66" t="s">
        <v>2615</v>
      </c>
      <c r="B242" s="66" t="s">
        <v>2616</v>
      </c>
      <c r="C242" s="66" t="s">
        <v>2617</v>
      </c>
      <c r="D242" s="66" t="s">
        <v>2618</v>
      </c>
    </row>
    <row r="243" customFormat="false" ht="105" hidden="false" customHeight="true" outlineLevel="0" collapsed="false">
      <c r="A243" s="66" t="s">
        <v>2619</v>
      </c>
      <c r="B243" s="66" t="s">
        <v>2620</v>
      </c>
      <c r="C243" s="66" t="s">
        <v>2621</v>
      </c>
      <c r="D243" s="66" t="s">
        <v>2622</v>
      </c>
    </row>
    <row r="244" customFormat="false" ht="105" hidden="false" customHeight="true" outlineLevel="0" collapsed="false">
      <c r="A244" s="66" t="s">
        <v>2623</v>
      </c>
      <c r="B244" s="66" t="s">
        <v>2624</v>
      </c>
      <c r="C244" s="66" t="s">
        <v>2625</v>
      </c>
      <c r="D244" s="66" t="s">
        <v>2626</v>
      </c>
    </row>
    <row r="245" customFormat="false" ht="105" hidden="false" customHeight="true" outlineLevel="0" collapsed="false">
      <c r="A245" s="66" t="s">
        <v>2627</v>
      </c>
      <c r="B245" s="66" t="s">
        <v>2628</v>
      </c>
      <c r="C245" s="66" t="s">
        <v>2629</v>
      </c>
      <c r="D245" s="66" t="s">
        <v>2630</v>
      </c>
    </row>
    <row r="246" customFormat="false" ht="105" hidden="false" customHeight="true" outlineLevel="0" collapsed="false">
      <c r="A246" s="66" t="s">
        <v>2631</v>
      </c>
      <c r="B246" s="66" t="s">
        <v>2632</v>
      </c>
      <c r="C246" s="66" t="s">
        <v>2633</v>
      </c>
      <c r="D246" s="66" t="s">
        <v>2634</v>
      </c>
    </row>
    <row r="247" customFormat="false" ht="105" hidden="false" customHeight="true" outlineLevel="0" collapsed="false">
      <c r="A247" s="66" t="s">
        <v>2635</v>
      </c>
      <c r="B247" s="66" t="s">
        <v>2636</v>
      </c>
      <c r="C247" s="66" t="s">
        <v>2637</v>
      </c>
      <c r="D247" s="66" t="s">
        <v>2638</v>
      </c>
    </row>
    <row r="248" customFormat="false" ht="105" hidden="false" customHeight="true" outlineLevel="0" collapsed="false">
      <c r="A248" s="66" t="s">
        <v>2639</v>
      </c>
      <c r="B248" s="66" t="s">
        <v>766</v>
      </c>
      <c r="C248" s="66" t="s">
        <v>2640</v>
      </c>
      <c r="D248" s="66" t="s">
        <v>2641</v>
      </c>
    </row>
    <row r="249" customFormat="false" ht="105" hidden="false" customHeight="true" outlineLevel="0" collapsed="false">
      <c r="A249" s="66" t="s">
        <v>2642</v>
      </c>
      <c r="B249" s="66" t="s">
        <v>2643</v>
      </c>
      <c r="C249" s="66" t="s">
        <v>2644</v>
      </c>
      <c r="D249" s="66" t="s">
        <v>2645</v>
      </c>
    </row>
  </sheetData>
  <conditionalFormatting sqref="D13:D19">
    <cfRule type="containsText" priority="2" operator="containsText" aboveAverage="0" equalAverage="0" bottom="0" percent="0" rank="0" text="需" dxfId="21">
      <formula>NOT(ISERROR(SEARCH("需",D13)))</formula>
    </cfRule>
  </conditionalFormatting>
  <conditionalFormatting sqref="D22:D44">
    <cfRule type="containsText" priority="3" operator="containsText" aboveAverage="0" equalAverage="0" bottom="0" percent="0" rank="0" text="缺" dxfId="22">
      <formula>NOT(ISERROR(SEARCH("缺",D22)))</formula>
    </cfRule>
  </conditionalFormatting>
  <conditionalFormatting sqref="D54:D97">
    <cfRule type="containsText" priority="4" operator="containsText" aboveAverage="0" equalAverage="0" bottom="0" percent="0" rank="0" text="缺" dxfId="23">
      <formula>NOT(ISERROR(SEARCH("缺",D54)))</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37"/>
    <col collapsed="false" customWidth="true" hidden="false" outlineLevel="0" max="3" min="3" style="0" width="45"/>
    <col collapsed="false" customWidth="true" hidden="false" outlineLevel="0" max="4" min="4" style="0" width="23"/>
    <col collapsed="false" customWidth="true" hidden="false" outlineLevel="0" max="5" min="5" style="0" width="40"/>
    <col collapsed="false" customWidth="true" hidden="false" outlineLevel="0" max="6" min="6" style="0" width="42"/>
    <col collapsed="false" customWidth="true" hidden="false" outlineLevel="0" max="7" min="7" style="0" width="35"/>
    <col collapsed="false" customWidth="true" hidden="false" outlineLevel="0" max="8" min="8" style="0" width="37"/>
    <col collapsed="false" customWidth="true" hidden="false" outlineLevel="0" max="9" min="9" style="0" width="30"/>
    <col collapsed="false" customWidth="true" hidden="false" outlineLevel="0" max="10" min="10" style="0" width="54"/>
  </cols>
  <sheetData>
    <row r="1" customFormat="false" ht="48" hidden="false" customHeight="true" outlineLevel="0" collapsed="false">
      <c r="A1" s="118" t="s">
        <v>2646</v>
      </c>
      <c r="B1" s="118"/>
      <c r="C1" s="118"/>
      <c r="D1" s="118"/>
      <c r="E1" s="118"/>
      <c r="F1" s="118"/>
      <c r="G1" s="118"/>
      <c r="H1" s="118"/>
      <c r="I1" s="118"/>
      <c r="J1" s="118"/>
    </row>
    <row r="2" customFormat="false" ht="42" hidden="false" customHeight="true" outlineLevel="0" collapsed="false">
      <c r="A2" s="28" t="s">
        <v>2647</v>
      </c>
      <c r="B2" s="28"/>
      <c r="C2" s="28"/>
      <c r="D2" s="28"/>
      <c r="E2" s="28"/>
      <c r="F2" s="28"/>
      <c r="G2" s="28"/>
      <c r="H2" s="28"/>
      <c r="I2" s="28"/>
      <c r="J2" s="28"/>
    </row>
    <row r="3" customFormat="false" ht="48" hidden="false" customHeight="true" outlineLevel="0" collapsed="false">
      <c r="A3" s="27"/>
      <c r="B3" s="27"/>
      <c r="C3" s="27"/>
      <c r="D3" s="27"/>
      <c r="E3" s="27"/>
      <c r="F3" s="27"/>
      <c r="G3" s="27"/>
      <c r="H3" s="27"/>
      <c r="I3" s="27"/>
      <c r="J3" s="27"/>
    </row>
    <row r="4" customFormat="false" ht="36" hidden="false" customHeight="true" outlineLevel="0" collapsed="false">
      <c r="A4" s="26" t="s">
        <v>2648</v>
      </c>
      <c r="B4" s="26" t="s">
        <v>2649</v>
      </c>
      <c r="C4" s="26" t="s">
        <v>2650</v>
      </c>
      <c r="D4" s="26" t="s">
        <v>2651</v>
      </c>
      <c r="E4" s="26" t="s">
        <v>2652</v>
      </c>
      <c r="F4" s="26" t="s">
        <v>2653</v>
      </c>
      <c r="G4" s="26" t="s">
        <v>2654</v>
      </c>
      <c r="H4" s="26" t="s">
        <v>2655</v>
      </c>
      <c r="I4" s="26" t="s">
        <v>2656</v>
      </c>
      <c r="J4" s="26" t="s">
        <v>816</v>
      </c>
    </row>
    <row r="5" customFormat="false" ht="38.4" hidden="false" customHeight="true" outlineLevel="0" collapsed="false">
      <c r="A5" s="27" t="s">
        <v>962</v>
      </c>
      <c r="B5" s="27" t="s">
        <v>876</v>
      </c>
      <c r="C5" s="27" t="s">
        <v>2657</v>
      </c>
      <c r="D5" s="27" t="s">
        <v>2658</v>
      </c>
      <c r="E5" s="27" t="s">
        <v>2659</v>
      </c>
      <c r="F5" s="27" t="s">
        <v>2660</v>
      </c>
      <c r="G5" s="28" t="s">
        <v>2661</v>
      </c>
      <c r="H5" s="28" t="s">
        <v>2662</v>
      </c>
      <c r="I5" s="28" t="s">
        <v>2662</v>
      </c>
      <c r="J5" s="28" t="s">
        <v>958</v>
      </c>
    </row>
    <row r="6" customFormat="false" ht="38.4" hidden="false" customHeight="true" outlineLevel="0" collapsed="false">
      <c r="A6" s="27" t="s">
        <v>902</v>
      </c>
      <c r="B6" s="27" t="s">
        <v>876</v>
      </c>
      <c r="C6" s="27" t="s">
        <v>2663</v>
      </c>
      <c r="D6" s="27" t="s">
        <v>2664</v>
      </c>
      <c r="E6" s="27" t="s">
        <v>2665</v>
      </c>
      <c r="F6" s="27" t="s">
        <v>2666</v>
      </c>
      <c r="G6" s="28" t="s">
        <v>2661</v>
      </c>
      <c r="H6" s="28" t="s">
        <v>2662</v>
      </c>
      <c r="I6" s="28" t="s">
        <v>2662</v>
      </c>
      <c r="J6" s="28" t="s">
        <v>958</v>
      </c>
    </row>
    <row r="7" customFormat="false" ht="38.4" hidden="false" customHeight="true" outlineLevel="0" collapsed="false">
      <c r="A7" s="27" t="s">
        <v>880</v>
      </c>
      <c r="B7" s="27" t="s">
        <v>876</v>
      </c>
      <c r="C7" s="27" t="s">
        <v>2667</v>
      </c>
      <c r="D7" s="27" t="s">
        <v>2668</v>
      </c>
      <c r="E7" s="27" t="s">
        <v>2659</v>
      </c>
      <c r="F7" s="27" t="s">
        <v>2669</v>
      </c>
      <c r="G7" s="28" t="s">
        <v>2670</v>
      </c>
      <c r="H7" s="28" t="s">
        <v>2662</v>
      </c>
      <c r="I7" s="28" t="s">
        <v>2662</v>
      </c>
      <c r="J7" s="28" t="s">
        <v>958</v>
      </c>
    </row>
    <row r="8" customFormat="false" ht="38.4" hidden="false" customHeight="true" outlineLevel="0" collapsed="false">
      <c r="A8" s="27" t="s">
        <v>906</v>
      </c>
      <c r="B8" s="27" t="s">
        <v>883</v>
      </c>
      <c r="C8" s="27" t="s">
        <v>2671</v>
      </c>
      <c r="D8" s="27" t="s">
        <v>2672</v>
      </c>
      <c r="E8" s="27" t="s">
        <v>2673</v>
      </c>
      <c r="F8" s="27" t="s">
        <v>2674</v>
      </c>
      <c r="G8" s="28" t="s">
        <v>2661</v>
      </c>
      <c r="H8" s="28" t="s">
        <v>2662</v>
      </c>
      <c r="I8" s="28" t="s">
        <v>2662</v>
      </c>
      <c r="J8" s="28" t="s">
        <v>958</v>
      </c>
    </row>
    <row r="9" customFormat="false" ht="48" hidden="false" customHeight="true" outlineLevel="0" collapsed="false">
      <c r="A9" s="27"/>
      <c r="B9" s="27"/>
      <c r="C9" s="27"/>
      <c r="D9" s="27"/>
      <c r="E9" s="27"/>
      <c r="F9" s="27"/>
      <c r="G9" s="27"/>
      <c r="H9" s="27"/>
      <c r="I9" s="27"/>
      <c r="J9" s="27"/>
    </row>
    <row r="10" customFormat="false" ht="42" hidden="false" customHeight="true" outlineLevel="0" collapsed="false">
      <c r="A10" s="28" t="s">
        <v>2675</v>
      </c>
      <c r="B10" s="28"/>
      <c r="C10" s="28"/>
      <c r="D10" s="28"/>
      <c r="E10" s="28"/>
      <c r="F10" s="28"/>
      <c r="G10" s="28"/>
      <c r="H10" s="28"/>
      <c r="I10" s="28"/>
      <c r="J10" s="28"/>
    </row>
    <row r="11" customFormat="false" ht="48" hidden="false" customHeight="true" outlineLevel="0" collapsed="false">
      <c r="A11" s="27"/>
      <c r="B11" s="27"/>
      <c r="C11" s="27"/>
      <c r="D11" s="27"/>
      <c r="E11" s="27"/>
      <c r="F11" s="27"/>
      <c r="G11" s="27"/>
      <c r="H11" s="27"/>
      <c r="I11" s="27"/>
      <c r="J11" s="27"/>
    </row>
    <row r="12" customFormat="false" ht="36" hidden="false" customHeight="true" outlineLevel="0" collapsed="false">
      <c r="A12" s="26" t="s">
        <v>2648</v>
      </c>
      <c r="B12" s="26" t="s">
        <v>2676</v>
      </c>
      <c r="C12" s="26" t="s">
        <v>2677</v>
      </c>
      <c r="D12" s="26" t="s">
        <v>2678</v>
      </c>
      <c r="E12" s="26" t="s">
        <v>2679</v>
      </c>
      <c r="F12" s="26" t="s">
        <v>2680</v>
      </c>
      <c r="G12" s="26" t="s">
        <v>2681</v>
      </c>
      <c r="H12" s="26" t="s">
        <v>2682</v>
      </c>
      <c r="I12" s="26" t="s">
        <v>116</v>
      </c>
      <c r="J12" s="26" t="s">
        <v>2683</v>
      </c>
    </row>
    <row r="13" customFormat="false" ht="38.4" hidden="false" customHeight="true" outlineLevel="0" collapsed="false">
      <c r="A13" s="27" t="s">
        <v>962</v>
      </c>
      <c r="B13" s="28" t="s">
        <v>2684</v>
      </c>
      <c r="C13" s="27" t="s">
        <v>1432</v>
      </c>
      <c r="D13" s="27" t="s">
        <v>2658</v>
      </c>
      <c r="E13" s="27" t="n">
        <v>34</v>
      </c>
      <c r="F13" s="28" t="s">
        <v>2685</v>
      </c>
      <c r="G13" s="27" t="s">
        <v>2686</v>
      </c>
      <c r="H13" s="28" t="s">
        <v>2687</v>
      </c>
      <c r="I13" s="28" t="s">
        <v>2688</v>
      </c>
      <c r="J13" s="27" t="s">
        <v>2689</v>
      </c>
    </row>
    <row r="14" customFormat="false" ht="38.4" hidden="false" customHeight="true" outlineLevel="0" collapsed="false">
      <c r="A14" s="27" t="s">
        <v>962</v>
      </c>
      <c r="B14" s="28" t="s">
        <v>2690</v>
      </c>
      <c r="C14" s="27" t="s">
        <v>2691</v>
      </c>
      <c r="D14" s="27" t="s">
        <v>2691</v>
      </c>
      <c r="E14" s="28" t="s">
        <v>2692</v>
      </c>
      <c r="F14" s="28" t="s">
        <v>2685</v>
      </c>
      <c r="G14" s="27" t="s">
        <v>2693</v>
      </c>
      <c r="H14" s="28" t="s">
        <v>2687</v>
      </c>
      <c r="I14" s="28" t="s">
        <v>2688</v>
      </c>
      <c r="J14" s="27" t="s">
        <v>2694</v>
      </c>
    </row>
    <row r="15" customFormat="false" ht="27" hidden="false" customHeight="true" outlineLevel="0" collapsed="false">
      <c r="A15" s="27" t="s">
        <v>962</v>
      </c>
      <c r="B15" s="28" t="s">
        <v>2695</v>
      </c>
      <c r="C15" s="27" t="s">
        <v>2696</v>
      </c>
      <c r="D15" s="28" t="s">
        <v>117</v>
      </c>
      <c r="E15" s="28" t="s">
        <v>2692</v>
      </c>
      <c r="F15" s="28" t="s">
        <v>2685</v>
      </c>
      <c r="G15" s="27" t="s">
        <v>2693</v>
      </c>
      <c r="H15" s="28" t="s">
        <v>2687</v>
      </c>
      <c r="I15" s="28" t="s">
        <v>2688</v>
      </c>
      <c r="J15" s="27" t="s">
        <v>2697</v>
      </c>
    </row>
    <row r="16" customFormat="false" ht="27" hidden="false" customHeight="true" outlineLevel="0" collapsed="false">
      <c r="A16" s="27" t="s">
        <v>962</v>
      </c>
      <c r="B16" s="28" t="s">
        <v>2695</v>
      </c>
      <c r="C16" s="27" t="s">
        <v>2698</v>
      </c>
      <c r="D16" s="28" t="s">
        <v>117</v>
      </c>
      <c r="E16" s="28" t="s">
        <v>2692</v>
      </c>
      <c r="F16" s="28" t="s">
        <v>2685</v>
      </c>
      <c r="G16" s="27" t="s">
        <v>2693</v>
      </c>
      <c r="H16" s="28" t="s">
        <v>2687</v>
      </c>
      <c r="I16" s="28" t="s">
        <v>2688</v>
      </c>
      <c r="J16" s="27" t="s">
        <v>2699</v>
      </c>
    </row>
    <row r="17" customFormat="false" ht="27" hidden="false" customHeight="true" outlineLevel="0" collapsed="false">
      <c r="A17" s="27" t="s">
        <v>962</v>
      </c>
      <c r="B17" s="28" t="s">
        <v>2695</v>
      </c>
      <c r="C17" s="27" t="s">
        <v>2700</v>
      </c>
      <c r="D17" s="28" t="s">
        <v>117</v>
      </c>
      <c r="E17" s="28" t="s">
        <v>2692</v>
      </c>
      <c r="F17" s="28" t="s">
        <v>2685</v>
      </c>
      <c r="G17" s="27" t="s">
        <v>2693</v>
      </c>
      <c r="H17" s="28" t="s">
        <v>2687</v>
      </c>
      <c r="I17" s="28" t="s">
        <v>2688</v>
      </c>
      <c r="J17" s="27" t="s">
        <v>2701</v>
      </c>
    </row>
    <row r="18" customFormat="false" ht="38.4" hidden="false" customHeight="true" outlineLevel="0" collapsed="false">
      <c r="A18" s="27" t="s">
        <v>962</v>
      </c>
      <c r="B18" s="28" t="s">
        <v>2702</v>
      </c>
      <c r="C18" s="27" t="s">
        <v>2703</v>
      </c>
      <c r="D18" s="28" t="s">
        <v>117</v>
      </c>
      <c r="E18" s="28" t="s">
        <v>2692</v>
      </c>
      <c r="F18" s="28" t="s">
        <v>2685</v>
      </c>
      <c r="G18" s="27" t="s">
        <v>2693</v>
      </c>
      <c r="H18" s="28" t="s">
        <v>2687</v>
      </c>
      <c r="I18" s="28" t="s">
        <v>2688</v>
      </c>
      <c r="J18" s="27" t="s">
        <v>2704</v>
      </c>
    </row>
    <row r="19" customFormat="false" ht="38.4" hidden="false" customHeight="true" outlineLevel="0" collapsed="false">
      <c r="A19" s="27" t="s">
        <v>962</v>
      </c>
      <c r="B19" s="28" t="s">
        <v>2705</v>
      </c>
      <c r="C19" s="27" t="s">
        <v>2706</v>
      </c>
      <c r="D19" s="27" t="s">
        <v>2707</v>
      </c>
      <c r="E19" s="28" t="s">
        <v>2692</v>
      </c>
      <c r="F19" s="28" t="s">
        <v>2708</v>
      </c>
      <c r="G19" s="27" t="s">
        <v>2709</v>
      </c>
      <c r="H19" s="28" t="s">
        <v>2710</v>
      </c>
      <c r="I19" s="28" t="s">
        <v>2688</v>
      </c>
      <c r="J19" s="27" t="s">
        <v>2711</v>
      </c>
    </row>
    <row r="20" customFormat="false" ht="38.4" hidden="false" customHeight="true" outlineLevel="0" collapsed="false">
      <c r="A20" s="27" t="s">
        <v>962</v>
      </c>
      <c r="B20" s="28" t="s">
        <v>2712</v>
      </c>
      <c r="C20" s="27" t="s">
        <v>2713</v>
      </c>
      <c r="D20" s="28" t="s">
        <v>117</v>
      </c>
      <c r="E20" s="28" t="s">
        <v>2692</v>
      </c>
      <c r="F20" s="28" t="s">
        <v>2708</v>
      </c>
      <c r="G20" s="27" t="s">
        <v>2714</v>
      </c>
      <c r="H20" s="28" t="s">
        <v>2710</v>
      </c>
      <c r="I20" s="28" t="s">
        <v>2688</v>
      </c>
      <c r="J20" s="27" t="s">
        <v>2715</v>
      </c>
    </row>
    <row r="21" customFormat="false" ht="38.4" hidden="false" customHeight="true" outlineLevel="0" collapsed="false">
      <c r="A21" s="27" t="s">
        <v>902</v>
      </c>
      <c r="B21" s="28" t="s">
        <v>2684</v>
      </c>
      <c r="C21" s="27" t="s">
        <v>1407</v>
      </c>
      <c r="D21" s="27" t="s">
        <v>2664</v>
      </c>
      <c r="E21" s="27" t="n">
        <v>74</v>
      </c>
      <c r="F21" s="28" t="s">
        <v>2685</v>
      </c>
      <c r="G21" s="27" t="s">
        <v>2686</v>
      </c>
      <c r="H21" s="28" t="s">
        <v>2687</v>
      </c>
      <c r="I21" s="28" t="s">
        <v>2688</v>
      </c>
      <c r="J21" s="27" t="s">
        <v>2716</v>
      </c>
    </row>
    <row r="22" customFormat="false" ht="38.4" hidden="false" customHeight="true" outlineLevel="0" collapsed="false">
      <c r="A22" s="27" t="s">
        <v>902</v>
      </c>
      <c r="B22" s="28" t="s">
        <v>2690</v>
      </c>
      <c r="C22" s="27" t="s">
        <v>2717</v>
      </c>
      <c r="D22" s="27" t="s">
        <v>2717</v>
      </c>
      <c r="E22" s="28" t="s">
        <v>2692</v>
      </c>
      <c r="F22" s="28" t="s">
        <v>2685</v>
      </c>
      <c r="G22" s="27" t="s">
        <v>2693</v>
      </c>
      <c r="H22" s="28" t="s">
        <v>2687</v>
      </c>
      <c r="I22" s="28" t="s">
        <v>2688</v>
      </c>
      <c r="J22" s="27" t="s">
        <v>2718</v>
      </c>
    </row>
    <row r="23" customFormat="false" ht="27" hidden="false" customHeight="true" outlineLevel="0" collapsed="false">
      <c r="A23" s="27" t="s">
        <v>902</v>
      </c>
      <c r="B23" s="28" t="s">
        <v>2695</v>
      </c>
      <c r="C23" s="27" t="s">
        <v>2719</v>
      </c>
      <c r="D23" s="28" t="s">
        <v>117</v>
      </c>
      <c r="E23" s="28" t="s">
        <v>2692</v>
      </c>
      <c r="F23" s="28" t="s">
        <v>2685</v>
      </c>
      <c r="G23" s="27" t="s">
        <v>2693</v>
      </c>
      <c r="H23" s="28" t="s">
        <v>2687</v>
      </c>
      <c r="I23" s="28" t="s">
        <v>2688</v>
      </c>
      <c r="J23" s="27" t="s">
        <v>2720</v>
      </c>
    </row>
    <row r="24" customFormat="false" ht="38.4" hidden="false" customHeight="true" outlineLevel="0" collapsed="false">
      <c r="A24" s="27" t="s">
        <v>902</v>
      </c>
      <c r="B24" s="28" t="s">
        <v>2695</v>
      </c>
      <c r="C24" s="27" t="s">
        <v>2721</v>
      </c>
      <c r="D24" s="28" t="s">
        <v>117</v>
      </c>
      <c r="E24" s="28" t="s">
        <v>2692</v>
      </c>
      <c r="F24" s="28" t="s">
        <v>2685</v>
      </c>
      <c r="G24" s="27" t="s">
        <v>2693</v>
      </c>
      <c r="H24" s="28" t="s">
        <v>2687</v>
      </c>
      <c r="I24" s="28" t="s">
        <v>2688</v>
      </c>
      <c r="J24" s="27" t="s">
        <v>2722</v>
      </c>
    </row>
    <row r="25" customFormat="false" ht="38.4" hidden="false" customHeight="true" outlineLevel="0" collapsed="false">
      <c r="A25" s="27" t="s">
        <v>902</v>
      </c>
      <c r="B25" s="28" t="s">
        <v>2695</v>
      </c>
      <c r="C25" s="27" t="s">
        <v>2723</v>
      </c>
      <c r="D25" s="28" t="s">
        <v>117</v>
      </c>
      <c r="E25" s="28" t="s">
        <v>2692</v>
      </c>
      <c r="F25" s="28" t="s">
        <v>2685</v>
      </c>
      <c r="G25" s="27" t="s">
        <v>2693</v>
      </c>
      <c r="H25" s="28" t="s">
        <v>2687</v>
      </c>
      <c r="I25" s="28" t="s">
        <v>2688</v>
      </c>
      <c r="J25" s="27" t="s">
        <v>2724</v>
      </c>
    </row>
    <row r="26" customFormat="false" ht="27" hidden="false" customHeight="true" outlineLevel="0" collapsed="false">
      <c r="A26" s="27" t="s">
        <v>902</v>
      </c>
      <c r="B26" s="28" t="s">
        <v>2695</v>
      </c>
      <c r="C26" s="27" t="s">
        <v>2725</v>
      </c>
      <c r="D26" s="28" t="s">
        <v>117</v>
      </c>
      <c r="E26" s="28" t="s">
        <v>2692</v>
      </c>
      <c r="F26" s="28" t="s">
        <v>2685</v>
      </c>
      <c r="G26" s="27" t="s">
        <v>2693</v>
      </c>
      <c r="H26" s="28" t="s">
        <v>2687</v>
      </c>
      <c r="I26" s="28" t="s">
        <v>2688</v>
      </c>
      <c r="J26" s="27" t="s">
        <v>2726</v>
      </c>
    </row>
    <row r="27" customFormat="false" ht="38.4" hidden="false" customHeight="true" outlineLevel="0" collapsed="false">
      <c r="A27" s="27" t="s">
        <v>902</v>
      </c>
      <c r="B27" s="28" t="s">
        <v>2705</v>
      </c>
      <c r="C27" s="27" t="s">
        <v>2727</v>
      </c>
      <c r="D27" s="27" t="s">
        <v>2728</v>
      </c>
      <c r="E27" s="28" t="s">
        <v>2692</v>
      </c>
      <c r="F27" s="28" t="s">
        <v>2708</v>
      </c>
      <c r="G27" s="27" t="s">
        <v>2709</v>
      </c>
      <c r="H27" s="28" t="s">
        <v>2710</v>
      </c>
      <c r="I27" s="28" t="s">
        <v>2688</v>
      </c>
      <c r="J27" s="27" t="s">
        <v>2729</v>
      </c>
    </row>
    <row r="28" customFormat="false" ht="38.4" hidden="false" customHeight="true" outlineLevel="0" collapsed="false">
      <c r="A28" s="27" t="s">
        <v>902</v>
      </c>
      <c r="B28" s="28" t="s">
        <v>2712</v>
      </c>
      <c r="C28" s="27" t="s">
        <v>2730</v>
      </c>
      <c r="D28" s="28" t="s">
        <v>117</v>
      </c>
      <c r="E28" s="28" t="s">
        <v>2692</v>
      </c>
      <c r="F28" s="28" t="s">
        <v>2708</v>
      </c>
      <c r="G28" s="27" t="s">
        <v>2714</v>
      </c>
      <c r="H28" s="28" t="s">
        <v>2710</v>
      </c>
      <c r="I28" s="28" t="s">
        <v>2688</v>
      </c>
      <c r="J28" s="27" t="s">
        <v>2731</v>
      </c>
    </row>
    <row r="29" customFormat="false" ht="38.4" hidden="false" customHeight="true" outlineLevel="0" collapsed="false">
      <c r="A29" s="27" t="s">
        <v>880</v>
      </c>
      <c r="B29" s="28" t="s">
        <v>2684</v>
      </c>
      <c r="C29" s="27" t="s">
        <v>1394</v>
      </c>
      <c r="D29" s="27" t="s">
        <v>2668</v>
      </c>
      <c r="E29" s="27" t="n">
        <v>37</v>
      </c>
      <c r="F29" s="28" t="s">
        <v>2685</v>
      </c>
      <c r="G29" s="27" t="s">
        <v>2686</v>
      </c>
      <c r="H29" s="28" t="s">
        <v>2687</v>
      </c>
      <c r="I29" s="28" t="s">
        <v>2688</v>
      </c>
      <c r="J29" s="27" t="s">
        <v>2732</v>
      </c>
    </row>
    <row r="30" customFormat="false" ht="38.4" hidden="false" customHeight="true" outlineLevel="0" collapsed="false">
      <c r="A30" s="27" t="s">
        <v>880</v>
      </c>
      <c r="B30" s="28" t="s">
        <v>2690</v>
      </c>
      <c r="C30" s="27" t="s">
        <v>2733</v>
      </c>
      <c r="D30" s="27" t="s">
        <v>2733</v>
      </c>
      <c r="E30" s="28" t="s">
        <v>2692</v>
      </c>
      <c r="F30" s="28" t="s">
        <v>2685</v>
      </c>
      <c r="G30" s="27" t="s">
        <v>2693</v>
      </c>
      <c r="H30" s="28" t="s">
        <v>2687</v>
      </c>
      <c r="I30" s="28" t="s">
        <v>2688</v>
      </c>
      <c r="J30" s="27" t="s">
        <v>2734</v>
      </c>
    </row>
    <row r="31" customFormat="false" ht="27" hidden="false" customHeight="true" outlineLevel="0" collapsed="false">
      <c r="A31" s="27" t="s">
        <v>880</v>
      </c>
      <c r="B31" s="28" t="s">
        <v>2695</v>
      </c>
      <c r="C31" s="27" t="s">
        <v>2735</v>
      </c>
      <c r="D31" s="28" t="s">
        <v>117</v>
      </c>
      <c r="E31" s="28" t="s">
        <v>2692</v>
      </c>
      <c r="F31" s="28" t="s">
        <v>2685</v>
      </c>
      <c r="G31" s="27" t="s">
        <v>2693</v>
      </c>
      <c r="H31" s="28" t="s">
        <v>2687</v>
      </c>
      <c r="I31" s="28" t="s">
        <v>2688</v>
      </c>
      <c r="J31" s="27" t="s">
        <v>2736</v>
      </c>
    </row>
    <row r="32" customFormat="false" ht="27" hidden="false" customHeight="true" outlineLevel="0" collapsed="false">
      <c r="A32" s="27" t="s">
        <v>880</v>
      </c>
      <c r="B32" s="28" t="s">
        <v>2695</v>
      </c>
      <c r="C32" s="27" t="s">
        <v>2737</v>
      </c>
      <c r="D32" s="28" t="s">
        <v>117</v>
      </c>
      <c r="E32" s="28" t="s">
        <v>2692</v>
      </c>
      <c r="F32" s="28" t="s">
        <v>2685</v>
      </c>
      <c r="G32" s="27" t="s">
        <v>2693</v>
      </c>
      <c r="H32" s="28" t="s">
        <v>2687</v>
      </c>
      <c r="I32" s="28" t="s">
        <v>2688</v>
      </c>
      <c r="J32" s="27" t="s">
        <v>2738</v>
      </c>
    </row>
    <row r="33" customFormat="false" ht="27" hidden="false" customHeight="true" outlineLevel="0" collapsed="false">
      <c r="A33" s="27" t="s">
        <v>880</v>
      </c>
      <c r="B33" s="28" t="s">
        <v>2695</v>
      </c>
      <c r="C33" s="27" t="s">
        <v>2739</v>
      </c>
      <c r="D33" s="28" t="s">
        <v>117</v>
      </c>
      <c r="E33" s="28" t="s">
        <v>2692</v>
      </c>
      <c r="F33" s="28" t="s">
        <v>2685</v>
      </c>
      <c r="G33" s="27" t="s">
        <v>2693</v>
      </c>
      <c r="H33" s="28" t="s">
        <v>2687</v>
      </c>
      <c r="I33" s="28" t="s">
        <v>2688</v>
      </c>
      <c r="J33" s="27" t="s">
        <v>2740</v>
      </c>
    </row>
    <row r="34" customFormat="false" ht="38.4" hidden="false" customHeight="true" outlineLevel="0" collapsed="false">
      <c r="A34" s="27" t="s">
        <v>880</v>
      </c>
      <c r="B34" s="28" t="s">
        <v>2705</v>
      </c>
      <c r="C34" s="27" t="s">
        <v>2741</v>
      </c>
      <c r="D34" s="27" t="s">
        <v>2742</v>
      </c>
      <c r="E34" s="28" t="s">
        <v>2692</v>
      </c>
      <c r="F34" s="28" t="s">
        <v>2708</v>
      </c>
      <c r="G34" s="27" t="s">
        <v>2709</v>
      </c>
      <c r="H34" s="28" t="s">
        <v>2710</v>
      </c>
      <c r="I34" s="28" t="s">
        <v>2688</v>
      </c>
      <c r="J34" s="27" t="s">
        <v>2743</v>
      </c>
    </row>
    <row r="35" customFormat="false" ht="38.4" hidden="false" customHeight="true" outlineLevel="0" collapsed="false">
      <c r="A35" s="27" t="s">
        <v>880</v>
      </c>
      <c r="B35" s="28" t="s">
        <v>2712</v>
      </c>
      <c r="C35" s="27" t="s">
        <v>2744</v>
      </c>
      <c r="D35" s="28" t="s">
        <v>117</v>
      </c>
      <c r="E35" s="28" t="s">
        <v>2692</v>
      </c>
      <c r="F35" s="28" t="s">
        <v>2708</v>
      </c>
      <c r="G35" s="27" t="s">
        <v>2714</v>
      </c>
      <c r="H35" s="28" t="s">
        <v>2710</v>
      </c>
      <c r="I35" s="28" t="s">
        <v>2688</v>
      </c>
      <c r="J35" s="27" t="s">
        <v>2745</v>
      </c>
    </row>
    <row r="36" customFormat="false" ht="38.4" hidden="false" customHeight="true" outlineLevel="0" collapsed="false">
      <c r="A36" s="27" t="s">
        <v>906</v>
      </c>
      <c r="B36" s="28" t="s">
        <v>2684</v>
      </c>
      <c r="C36" s="27" t="s">
        <v>1409</v>
      </c>
      <c r="D36" s="27" t="s">
        <v>2672</v>
      </c>
      <c r="E36" s="27" t="n">
        <v>49</v>
      </c>
      <c r="F36" s="28" t="s">
        <v>2685</v>
      </c>
      <c r="G36" s="27" t="s">
        <v>2686</v>
      </c>
      <c r="H36" s="28" t="s">
        <v>2687</v>
      </c>
      <c r="I36" s="28" t="s">
        <v>2688</v>
      </c>
      <c r="J36" s="27" t="s">
        <v>2746</v>
      </c>
    </row>
    <row r="37" customFormat="false" ht="51.6" hidden="false" customHeight="true" outlineLevel="0" collapsed="false">
      <c r="A37" s="27" t="s">
        <v>906</v>
      </c>
      <c r="B37" s="28" t="s">
        <v>2690</v>
      </c>
      <c r="C37" s="27" t="s">
        <v>2747</v>
      </c>
      <c r="D37" s="27" t="s">
        <v>2747</v>
      </c>
      <c r="E37" s="28" t="s">
        <v>2692</v>
      </c>
      <c r="F37" s="28" t="s">
        <v>2685</v>
      </c>
      <c r="G37" s="27" t="s">
        <v>2693</v>
      </c>
      <c r="H37" s="28" t="s">
        <v>2687</v>
      </c>
      <c r="I37" s="28" t="s">
        <v>2688</v>
      </c>
      <c r="J37" s="27" t="s">
        <v>2748</v>
      </c>
    </row>
    <row r="38" customFormat="false" ht="27" hidden="false" customHeight="true" outlineLevel="0" collapsed="false">
      <c r="A38" s="27" t="s">
        <v>906</v>
      </c>
      <c r="B38" s="28" t="s">
        <v>2695</v>
      </c>
      <c r="C38" s="27" t="s">
        <v>2719</v>
      </c>
      <c r="D38" s="28" t="s">
        <v>117</v>
      </c>
      <c r="E38" s="28" t="s">
        <v>2692</v>
      </c>
      <c r="F38" s="28" t="s">
        <v>2685</v>
      </c>
      <c r="G38" s="27" t="s">
        <v>2693</v>
      </c>
      <c r="H38" s="28" t="s">
        <v>2687</v>
      </c>
      <c r="I38" s="28" t="s">
        <v>2688</v>
      </c>
      <c r="J38" s="27" t="s">
        <v>2749</v>
      </c>
    </row>
    <row r="39" customFormat="false" ht="38.4" hidden="false" customHeight="true" outlineLevel="0" collapsed="false">
      <c r="A39" s="27" t="s">
        <v>906</v>
      </c>
      <c r="B39" s="28" t="s">
        <v>2695</v>
      </c>
      <c r="C39" s="27" t="s">
        <v>2750</v>
      </c>
      <c r="D39" s="28" t="s">
        <v>117</v>
      </c>
      <c r="E39" s="28" t="s">
        <v>2692</v>
      </c>
      <c r="F39" s="28" t="s">
        <v>2685</v>
      </c>
      <c r="G39" s="27" t="s">
        <v>2693</v>
      </c>
      <c r="H39" s="28" t="s">
        <v>2687</v>
      </c>
      <c r="I39" s="28" t="s">
        <v>2688</v>
      </c>
      <c r="J39" s="27" t="s">
        <v>2751</v>
      </c>
    </row>
    <row r="40" customFormat="false" ht="51.6" hidden="false" customHeight="true" outlineLevel="0" collapsed="false">
      <c r="A40" s="27" t="s">
        <v>906</v>
      </c>
      <c r="B40" s="28" t="s">
        <v>2695</v>
      </c>
      <c r="C40" s="27" t="s">
        <v>2752</v>
      </c>
      <c r="D40" s="28" t="s">
        <v>117</v>
      </c>
      <c r="E40" s="28" t="s">
        <v>2692</v>
      </c>
      <c r="F40" s="28" t="s">
        <v>2685</v>
      </c>
      <c r="G40" s="27" t="s">
        <v>2693</v>
      </c>
      <c r="H40" s="28" t="s">
        <v>2687</v>
      </c>
      <c r="I40" s="28" t="s">
        <v>2688</v>
      </c>
      <c r="J40" s="27" t="s">
        <v>2753</v>
      </c>
    </row>
    <row r="41" customFormat="false" ht="38.4" hidden="false" customHeight="true" outlineLevel="0" collapsed="false">
      <c r="A41" s="27" t="s">
        <v>906</v>
      </c>
      <c r="B41" s="28" t="s">
        <v>2705</v>
      </c>
      <c r="C41" s="27" t="s">
        <v>2754</v>
      </c>
      <c r="D41" s="28" t="s">
        <v>117</v>
      </c>
      <c r="E41" s="28" t="s">
        <v>2692</v>
      </c>
      <c r="F41" s="28" t="s">
        <v>2708</v>
      </c>
      <c r="G41" s="27" t="s">
        <v>2709</v>
      </c>
      <c r="H41" s="28" t="s">
        <v>2710</v>
      </c>
      <c r="I41" s="28" t="s">
        <v>2688</v>
      </c>
      <c r="J41" s="27" t="s">
        <v>2755</v>
      </c>
    </row>
    <row r="42" customFormat="false" ht="38.4" hidden="false" customHeight="true" outlineLevel="0" collapsed="false">
      <c r="A42" s="27" t="s">
        <v>906</v>
      </c>
      <c r="B42" s="28" t="s">
        <v>2712</v>
      </c>
      <c r="C42" s="27" t="s">
        <v>2756</v>
      </c>
      <c r="D42" s="28" t="s">
        <v>117</v>
      </c>
      <c r="E42" s="28" t="s">
        <v>2692</v>
      </c>
      <c r="F42" s="28" t="s">
        <v>2708</v>
      </c>
      <c r="G42" s="27" t="s">
        <v>2714</v>
      </c>
      <c r="H42" s="28" t="s">
        <v>2710</v>
      </c>
      <c r="I42" s="28" t="s">
        <v>2688</v>
      </c>
      <c r="J42" s="27" t="s">
        <v>2757</v>
      </c>
    </row>
    <row r="43" customFormat="false" ht="38.4" hidden="false" customHeight="true" outlineLevel="0" collapsed="false">
      <c r="A43" s="27" t="s">
        <v>906</v>
      </c>
      <c r="B43" s="28" t="s">
        <v>2758</v>
      </c>
      <c r="C43" s="27" t="s">
        <v>2759</v>
      </c>
      <c r="D43" s="27" t="s">
        <v>2760</v>
      </c>
      <c r="E43" s="28" t="s">
        <v>2692</v>
      </c>
      <c r="F43" s="28" t="s">
        <v>2708</v>
      </c>
      <c r="G43" s="28" t="s">
        <v>2761</v>
      </c>
      <c r="H43" s="28" t="s">
        <v>2710</v>
      </c>
      <c r="I43" s="28" t="s">
        <v>2688</v>
      </c>
      <c r="J43" s="27" t="s">
        <v>2762</v>
      </c>
    </row>
    <row r="44" customFormat="false" ht="48" hidden="false" customHeight="true" outlineLevel="0" collapsed="false">
      <c r="A44" s="27"/>
      <c r="B44" s="27"/>
      <c r="C44" s="27"/>
      <c r="D44" s="27"/>
      <c r="E44" s="27"/>
      <c r="F44" s="27"/>
      <c r="G44" s="27"/>
      <c r="H44" s="27"/>
      <c r="I44" s="27"/>
      <c r="J44" s="27"/>
    </row>
    <row r="46" customFormat="false" ht="42" hidden="false" customHeight="true" outlineLevel="0" collapsed="false">
      <c r="A46" s="119" t="s">
        <v>2763</v>
      </c>
      <c r="B46" s="119"/>
      <c r="C46" s="119"/>
      <c r="D46" s="119"/>
      <c r="E46" s="119"/>
      <c r="F46" s="119"/>
      <c r="G46" s="119"/>
      <c r="H46" s="119"/>
      <c r="I46" s="119"/>
      <c r="J46" s="119"/>
    </row>
    <row r="48" customFormat="false" ht="36" hidden="false" customHeight="true" outlineLevel="0" collapsed="false">
      <c r="A48" s="32" t="s">
        <v>2764</v>
      </c>
      <c r="B48" s="32" t="s">
        <v>2765</v>
      </c>
      <c r="C48" s="32" t="s">
        <v>2766</v>
      </c>
      <c r="D48" s="32" t="s">
        <v>2767</v>
      </c>
      <c r="E48" s="32" t="s">
        <v>2768</v>
      </c>
      <c r="F48" s="32" t="s">
        <v>2769</v>
      </c>
      <c r="G48" s="32" t="s">
        <v>2770</v>
      </c>
      <c r="H48" s="32" t="s">
        <v>2771</v>
      </c>
      <c r="I48" s="32" t="s">
        <v>2772</v>
      </c>
      <c r="J48" s="32" t="s">
        <v>2683</v>
      </c>
    </row>
    <row r="49" customFormat="false" ht="84" hidden="false" customHeight="true" outlineLevel="0" collapsed="false">
      <c r="A49" s="33" t="s">
        <v>2773</v>
      </c>
      <c r="B49" s="33" t="s">
        <v>2774</v>
      </c>
      <c r="C49" s="33" t="s">
        <v>1026</v>
      </c>
      <c r="D49" s="34" t="s">
        <v>2775</v>
      </c>
      <c r="E49" s="33" t="s">
        <v>2776</v>
      </c>
      <c r="F49" s="34" t="s">
        <v>2777</v>
      </c>
      <c r="G49" s="34" t="s">
        <v>2778</v>
      </c>
      <c r="H49" s="34" t="s">
        <v>2779</v>
      </c>
      <c r="I49" s="34" t="s">
        <v>2780</v>
      </c>
      <c r="J49" s="33" t="s">
        <v>2781</v>
      </c>
    </row>
    <row r="50" customFormat="false" ht="84" hidden="false" customHeight="true" outlineLevel="0" collapsed="false">
      <c r="A50" s="33" t="s">
        <v>2782</v>
      </c>
      <c r="B50" s="33" t="s">
        <v>2783</v>
      </c>
      <c r="C50" s="33" t="s">
        <v>2784</v>
      </c>
      <c r="D50" s="34" t="s">
        <v>2785</v>
      </c>
      <c r="E50" s="33" t="s">
        <v>2786</v>
      </c>
      <c r="F50" s="34" t="s">
        <v>2787</v>
      </c>
      <c r="G50" s="34" t="s">
        <v>2778</v>
      </c>
      <c r="H50" s="34" t="s">
        <v>2779</v>
      </c>
      <c r="I50" s="34" t="s">
        <v>2780</v>
      </c>
      <c r="J50" s="33" t="s">
        <v>2788</v>
      </c>
    </row>
    <row r="51" customFormat="false" ht="84" hidden="false" customHeight="true" outlineLevel="0" collapsed="false">
      <c r="A51" s="33" t="s">
        <v>2789</v>
      </c>
      <c r="B51" s="33" t="s">
        <v>2790</v>
      </c>
      <c r="C51" s="33" t="s">
        <v>1030</v>
      </c>
      <c r="D51" s="33" t="s">
        <v>2791</v>
      </c>
      <c r="E51" s="33" t="s">
        <v>2792</v>
      </c>
      <c r="F51" s="34" t="s">
        <v>2787</v>
      </c>
      <c r="G51" s="34" t="s">
        <v>2778</v>
      </c>
      <c r="H51" s="34" t="s">
        <v>2779</v>
      </c>
      <c r="I51" s="34" t="s">
        <v>2780</v>
      </c>
      <c r="J51" s="33" t="s">
        <v>2793</v>
      </c>
    </row>
    <row r="52" customFormat="false" ht="84" hidden="false" customHeight="true" outlineLevel="0" collapsed="false">
      <c r="A52" s="33" t="s">
        <v>2794</v>
      </c>
      <c r="B52" s="33" t="s">
        <v>2795</v>
      </c>
      <c r="C52" s="33" t="s">
        <v>1182</v>
      </c>
      <c r="D52" s="34" t="s">
        <v>2796</v>
      </c>
      <c r="E52" s="33" t="s">
        <v>2797</v>
      </c>
      <c r="F52" s="34" t="s">
        <v>2787</v>
      </c>
      <c r="G52" s="34" t="s">
        <v>2778</v>
      </c>
      <c r="H52" s="34" t="s">
        <v>2779</v>
      </c>
      <c r="I52" s="34" t="s">
        <v>2780</v>
      </c>
      <c r="J52" s="33" t="s">
        <v>2798</v>
      </c>
    </row>
  </sheetData>
  <mergeCells count="4">
    <mergeCell ref="A1:J1"/>
    <mergeCell ref="A2:J2"/>
    <mergeCell ref="A10:J10"/>
    <mergeCell ref="A46:J4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 r:id="rId3"/>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9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3" min="2" style="0" width="8"/>
    <col collapsed="false" customWidth="true" hidden="false" outlineLevel="0" max="4" min="4" style="0" width="30"/>
    <col collapsed="false" customWidth="true" hidden="false" outlineLevel="0" max="5" min="5" style="0" width="48"/>
    <col collapsed="false" customWidth="true" hidden="false" outlineLevel="0" max="6" min="6" style="0" width="16"/>
    <col collapsed="false" customWidth="true" hidden="false" outlineLevel="0" max="7" min="7" style="0" width="40"/>
    <col collapsed="false" customWidth="true" hidden="false" outlineLevel="0" max="9" min="8" style="0" width="14"/>
    <col collapsed="false" customWidth="true" hidden="false" outlineLevel="0" max="10" min="10" style="0" width="35"/>
    <col collapsed="false" customWidth="true" hidden="false" outlineLevel="0" max="11" min="11" style="0" width="14"/>
    <col collapsed="false" customWidth="true" hidden="false" outlineLevel="0" max="12" min="12" style="0" width="35"/>
    <col collapsed="false" customWidth="true" hidden="false" outlineLevel="0" max="13" min="13" style="0" width="14"/>
    <col collapsed="false" customWidth="true" hidden="false" outlineLevel="0" max="14" min="14" style="0" width="12"/>
    <col collapsed="false" customWidth="true" hidden="false" outlineLevel="0" max="16" min="15" style="0" width="10"/>
    <col collapsed="false" customWidth="true" hidden="false" outlineLevel="0" max="19" min="17" style="0" width="12"/>
    <col collapsed="false" customWidth="true" hidden="false" outlineLevel="0" max="20" min="20" style="0" width="18"/>
    <col collapsed="false" customWidth="true" hidden="false" outlineLevel="0" max="21" min="21" style="0" width="37"/>
    <col collapsed="false" customWidth="true" hidden="false" outlineLevel="0" max="22" min="22" style="0" width="68"/>
    <col collapsed="false" customWidth="true" hidden="false" outlineLevel="0" max="23" min="23" style="0" width="90"/>
    <col collapsed="false" customWidth="true" hidden="false" outlineLevel="0" max="25" min="24" style="0" width="110"/>
    <col collapsed="false" customWidth="true" hidden="false" outlineLevel="0" max="26" min="26" style="0" width="90"/>
    <col collapsed="false" customWidth="true" hidden="false" outlineLevel="0" max="27" min="27" style="0" width="24"/>
    <col collapsed="false" customWidth="true" hidden="false" outlineLevel="0" max="28" min="28" style="0" width="50"/>
    <col collapsed="false" customWidth="true" hidden="false" outlineLevel="0" max="29" min="29" style="0" width="65"/>
    <col collapsed="false" customWidth="true" hidden="false" outlineLevel="0" max="32" min="30" style="0" width="23"/>
    <col collapsed="false" customWidth="true" hidden="false" outlineLevel="0" max="33" min="33" style="0" width="55"/>
    <col collapsed="false" customWidth="true" hidden="false" outlineLevel="0" max="35" min="34" style="0" width="18"/>
  </cols>
  <sheetData>
    <row r="1" customFormat="false" ht="45" hidden="false" customHeight="true" outlineLevel="0" collapsed="false">
      <c r="A1" s="120" t="s">
        <v>2799</v>
      </c>
      <c r="B1" s="120" t="s">
        <v>52</v>
      </c>
      <c r="C1" s="120" t="s">
        <v>797</v>
      </c>
      <c r="D1" s="120" t="s">
        <v>2800</v>
      </c>
      <c r="E1" s="120" t="s">
        <v>2801</v>
      </c>
      <c r="F1" s="120" t="s">
        <v>2802</v>
      </c>
      <c r="G1" s="120" t="s">
        <v>2803</v>
      </c>
      <c r="H1" s="120" t="s">
        <v>2804</v>
      </c>
      <c r="I1" s="120" t="s">
        <v>2805</v>
      </c>
      <c r="J1" s="120" t="s">
        <v>2806</v>
      </c>
      <c r="K1" s="120" t="s">
        <v>2807</v>
      </c>
      <c r="L1" s="120" t="s">
        <v>2808</v>
      </c>
      <c r="M1" s="120" t="s">
        <v>2809</v>
      </c>
      <c r="N1" s="120" t="s">
        <v>2810</v>
      </c>
      <c r="O1" s="120" t="s">
        <v>2811</v>
      </c>
      <c r="P1" s="120" t="s">
        <v>2812</v>
      </c>
      <c r="Q1" s="120" t="s">
        <v>2813</v>
      </c>
      <c r="R1" s="120" t="s">
        <v>2814</v>
      </c>
      <c r="S1" s="120" t="s">
        <v>2815</v>
      </c>
      <c r="T1" s="120" t="s">
        <v>2816</v>
      </c>
      <c r="U1" s="120" t="s">
        <v>2817</v>
      </c>
      <c r="V1" s="120" t="s">
        <v>2818</v>
      </c>
      <c r="W1" s="120" t="s">
        <v>2819</v>
      </c>
      <c r="X1" s="120" t="s">
        <v>2820</v>
      </c>
      <c r="Y1" s="120" t="s">
        <v>2821</v>
      </c>
      <c r="Z1" s="120" t="s">
        <v>2822</v>
      </c>
      <c r="AA1" s="120" t="s">
        <v>2823</v>
      </c>
      <c r="AB1" s="120" t="s">
        <v>2824</v>
      </c>
      <c r="AC1" s="120" t="s">
        <v>2825</v>
      </c>
      <c r="AD1" s="120" t="s">
        <v>2826</v>
      </c>
      <c r="AE1" s="120" t="s">
        <v>2827</v>
      </c>
      <c r="AF1" s="120" t="s">
        <v>2828</v>
      </c>
      <c r="AG1" s="120" t="s">
        <v>2829</v>
      </c>
      <c r="AH1" s="120" t="s">
        <v>2830</v>
      </c>
      <c r="AI1" s="120" t="s">
        <v>2831</v>
      </c>
    </row>
    <row r="2" customFormat="false" ht="110" hidden="false" customHeight="true" outlineLevel="0" collapsed="false">
      <c r="A2" s="121" t="s">
        <v>2832</v>
      </c>
      <c r="B2" s="121" t="s">
        <v>230</v>
      </c>
      <c r="C2" s="121" t="s">
        <v>1669</v>
      </c>
      <c r="D2" s="121" t="s">
        <v>883</v>
      </c>
      <c r="E2" s="121" t="s">
        <v>2833</v>
      </c>
      <c r="F2" s="121" t="s">
        <v>202</v>
      </c>
      <c r="G2" s="121" t="s">
        <v>2834</v>
      </c>
      <c r="H2" s="122" t="n">
        <v>35</v>
      </c>
      <c r="I2" s="122" t="n">
        <v>35</v>
      </c>
      <c r="J2" s="121" t="s">
        <v>2835</v>
      </c>
      <c r="K2" s="122" t="n">
        <v>4</v>
      </c>
      <c r="L2" s="121" t="s">
        <v>2835</v>
      </c>
      <c r="M2" s="122" t="n">
        <v>4</v>
      </c>
      <c r="N2" s="121" t="s">
        <v>2836</v>
      </c>
      <c r="O2" s="122" t="n">
        <v>0</v>
      </c>
      <c r="P2" s="122" t="n">
        <v>0</v>
      </c>
      <c r="Q2" s="122" t="n">
        <f aca="false">IF(F2="主角色提议",1,0)</f>
        <v>0</v>
      </c>
      <c r="R2" s="122" t="n">
        <f aca="false">IF(F2="非合同CIS",1,0)</f>
        <v>1</v>
      </c>
      <c r="S2" s="122" t="n">
        <f aca="false">IF(F2="映射保留",1,0)</f>
        <v>0</v>
      </c>
      <c r="T2" s="122" t="n">
        <v>0</v>
      </c>
      <c r="U2" s="121" t="s">
        <v>2837</v>
      </c>
      <c r="V2" s="121" t="s">
        <v>2838</v>
      </c>
      <c r="W2" s="121" t="s">
        <v>2839</v>
      </c>
      <c r="X2" s="121" t="s">
        <v>2840</v>
      </c>
      <c r="Y2" s="121" t="s">
        <v>2841</v>
      </c>
      <c r="Z2" s="121"/>
      <c r="AA2" s="121" t="str">
        <f aca="false">HYPERLINK("https://chatgpt.com/api/library/files/libfile_b303d0e820e08191b7ca12b5c5e78338/download","B15私有元数据包")</f>
        <v>B15私有元数据包</v>
      </c>
      <c r="AB2" s="121" t="s">
        <v>2842</v>
      </c>
      <c r="AC2" s="121" t="s">
        <v>2843</v>
      </c>
      <c r="AD2" s="123" t="n">
        <v>46321.2968102546</v>
      </c>
      <c r="AE2" s="123" t="n">
        <v>46321.3035855903</v>
      </c>
      <c r="AF2" s="123" t="n">
        <v>46321.3193288079</v>
      </c>
      <c r="AG2" s="121" t="s">
        <v>2844</v>
      </c>
      <c r="AH2" s="121" t="str">
        <f aca="false">IF(AND(AI2="匹配",LEN(V2)=64,J2&lt;&gt;"",L2&lt;&gt;"",K2&gt;0,M2&gt;0,AD2&gt;0,AE2&gt;0,AF2&gt;0,AG2&lt;&gt;"",N2="待全文",O2=0,P2=0,Q2+R2+S2=1),"角色已验收","需检查证据")</f>
        <v>角色已验收</v>
      </c>
      <c r="AI2" s="121" t="str">
        <f aca="false">IF(COUNTIF($A$2:$A$91,A2)=1,"匹配","缺范围或重复")</f>
        <v>匹配</v>
      </c>
    </row>
    <row r="3" customFormat="false" ht="126" hidden="false" customHeight="true" outlineLevel="0" collapsed="false">
      <c r="A3" s="121" t="s">
        <v>2845</v>
      </c>
      <c r="B3" s="121" t="s">
        <v>230</v>
      </c>
      <c r="C3" s="121" t="s">
        <v>1669</v>
      </c>
      <c r="D3" s="121" t="s">
        <v>883</v>
      </c>
      <c r="E3" s="121" t="s">
        <v>2846</v>
      </c>
      <c r="F3" s="121" t="s">
        <v>202</v>
      </c>
      <c r="G3" s="121" t="s">
        <v>2834</v>
      </c>
      <c r="H3" s="122" t="n">
        <v>21</v>
      </c>
      <c r="I3" s="122" t="n">
        <v>21</v>
      </c>
      <c r="J3" s="121" t="s">
        <v>2847</v>
      </c>
      <c r="K3" s="122" t="n">
        <v>4</v>
      </c>
      <c r="L3" s="121" t="s">
        <v>2847</v>
      </c>
      <c r="M3" s="122" t="n">
        <v>4</v>
      </c>
      <c r="N3" s="121" t="s">
        <v>2836</v>
      </c>
      <c r="O3" s="122" t="n">
        <v>0</v>
      </c>
      <c r="P3" s="122" t="n">
        <v>0</v>
      </c>
      <c r="Q3" s="122" t="n">
        <f aca="false">IF(F3="主角色提议",1,0)</f>
        <v>0</v>
      </c>
      <c r="R3" s="122" t="n">
        <f aca="false">IF(F3="非合同CIS",1,0)</f>
        <v>1</v>
      </c>
      <c r="S3" s="122" t="n">
        <f aca="false">IF(F3="映射保留",1,0)</f>
        <v>0</v>
      </c>
      <c r="T3" s="122" t="n">
        <v>0</v>
      </c>
      <c r="U3" s="121" t="s">
        <v>2848</v>
      </c>
      <c r="V3" s="121" t="s">
        <v>2849</v>
      </c>
      <c r="W3" s="121" t="s">
        <v>2850</v>
      </c>
      <c r="X3" s="121" t="s">
        <v>2851</v>
      </c>
      <c r="Y3" s="121" t="s">
        <v>2852</v>
      </c>
      <c r="Z3" s="121"/>
      <c r="AA3" s="121" t="str">
        <f aca="false">HYPERLINK("https://chatgpt.com/api/library/files/libfile_b303d0e820e08191b7ca12b5c5e78338/download","B15私有元数据包")</f>
        <v>B15私有元数据包</v>
      </c>
      <c r="AB3" s="121" t="s">
        <v>2842</v>
      </c>
      <c r="AC3" s="121" t="s">
        <v>2853</v>
      </c>
      <c r="AD3" s="123" t="n">
        <v>46321.2968102546</v>
      </c>
      <c r="AE3" s="123" t="n">
        <v>46321.3035855903</v>
      </c>
      <c r="AF3" s="123" t="n">
        <v>46321.3193288079</v>
      </c>
      <c r="AG3" s="121" t="s">
        <v>2854</v>
      </c>
      <c r="AH3" s="121" t="str">
        <f aca="false">IF(AND(AI3="匹配",LEN(V3)=64,J3&lt;&gt;"",L3&lt;&gt;"",K3&gt;0,M3&gt;0,AD3&gt;0,AE3&gt;0,AF3&gt;0,AG3&lt;&gt;"",N3="待全文",O3=0,P3=0,Q3+R3+S3=1),"角色已验收","需检查证据")</f>
        <v>角色已验收</v>
      </c>
      <c r="AI3" s="121" t="str">
        <f aca="false">IF(COUNTIF($A$2:$A$91,A3)=1,"匹配","缺范围或重复")</f>
        <v>匹配</v>
      </c>
    </row>
    <row r="4" customFormat="false" ht="190" hidden="false" customHeight="true" outlineLevel="0" collapsed="false">
      <c r="A4" s="121" t="s">
        <v>2855</v>
      </c>
      <c r="B4" s="121" t="s">
        <v>230</v>
      </c>
      <c r="C4" s="121" t="s">
        <v>1669</v>
      </c>
      <c r="D4" s="121" t="s">
        <v>883</v>
      </c>
      <c r="E4" s="121" t="s">
        <v>2856</v>
      </c>
      <c r="F4" s="121" t="s">
        <v>2857</v>
      </c>
      <c r="G4" s="121" t="s">
        <v>2858</v>
      </c>
      <c r="H4" s="122" t="n">
        <v>50</v>
      </c>
      <c r="I4" s="122" t="n">
        <v>50</v>
      </c>
      <c r="J4" s="121" t="s">
        <v>2859</v>
      </c>
      <c r="K4" s="122" t="n">
        <v>14</v>
      </c>
      <c r="L4" s="121" t="s">
        <v>2859</v>
      </c>
      <c r="M4" s="122" t="n">
        <v>14</v>
      </c>
      <c r="N4" s="121" t="s">
        <v>2836</v>
      </c>
      <c r="O4" s="122" t="n">
        <v>0</v>
      </c>
      <c r="P4" s="122" t="n">
        <v>0</v>
      </c>
      <c r="Q4" s="122" t="n">
        <f aca="false">IF(F4="主角色提议",1,0)</f>
        <v>1</v>
      </c>
      <c r="R4" s="122" t="n">
        <f aca="false">IF(F4="非合同CIS",1,0)</f>
        <v>0</v>
      </c>
      <c r="S4" s="122" t="n">
        <f aca="false">IF(F4="映射保留",1,0)</f>
        <v>0</v>
      </c>
      <c r="T4" s="122" t="n">
        <v>1</v>
      </c>
      <c r="U4" s="121" t="s">
        <v>2860</v>
      </c>
      <c r="V4" s="121" t="s">
        <v>2861</v>
      </c>
      <c r="W4" s="121" t="s">
        <v>2862</v>
      </c>
      <c r="X4" s="121" t="s">
        <v>2863</v>
      </c>
      <c r="Y4" s="121" t="s">
        <v>2864</v>
      </c>
      <c r="Z4" s="121"/>
      <c r="AA4" s="121" t="str">
        <f aca="false">HYPERLINK("https://chatgpt.com/api/library/files/libfile_b303d0e820e08191b7ca12b5c5e78338/download","B15私有元数据包")</f>
        <v>B15私有元数据包</v>
      </c>
      <c r="AB4" s="121" t="s">
        <v>2842</v>
      </c>
      <c r="AC4" s="121" t="s">
        <v>2865</v>
      </c>
      <c r="AD4" s="123" t="n">
        <v>46321.2968102546</v>
      </c>
      <c r="AE4" s="123" t="n">
        <v>46321.3035855903</v>
      </c>
      <c r="AF4" s="123" t="n">
        <v>46321.3193288079</v>
      </c>
      <c r="AG4" s="121" t="s">
        <v>2866</v>
      </c>
      <c r="AH4" s="121" t="str">
        <f aca="false">IF(AND(AI4="匹配",LEN(V4)=64,J4&lt;&gt;"",L4&lt;&gt;"",K4&gt;0,M4&gt;0,AD4&gt;0,AE4&gt;0,AF4&gt;0,AG4&lt;&gt;"",N4="待全文",O4=0,P4=0,Q4+R4+S4=1),"角色已验收","需检查证据")</f>
        <v>角色已验收</v>
      </c>
      <c r="AI4" s="121" t="str">
        <f aca="false">IF(COUNTIF($A$2:$A$91,A4)=1,"匹配","缺范围或重复")</f>
        <v>匹配</v>
      </c>
    </row>
    <row r="5" customFormat="false" ht="110" hidden="false" customHeight="true" outlineLevel="0" collapsed="false">
      <c r="A5" s="121" t="s">
        <v>2867</v>
      </c>
      <c r="B5" s="121" t="s">
        <v>230</v>
      </c>
      <c r="C5" s="121" t="s">
        <v>1669</v>
      </c>
      <c r="D5" s="121" t="s">
        <v>876</v>
      </c>
      <c r="E5" s="121" t="s">
        <v>2868</v>
      </c>
      <c r="F5" s="121" t="s">
        <v>202</v>
      </c>
      <c r="G5" s="121" t="s">
        <v>2834</v>
      </c>
      <c r="H5" s="122" t="n">
        <v>21</v>
      </c>
      <c r="I5" s="122" t="n">
        <v>21</v>
      </c>
      <c r="J5" s="121" t="s">
        <v>2847</v>
      </c>
      <c r="K5" s="122" t="n">
        <v>4</v>
      </c>
      <c r="L5" s="121" t="s">
        <v>2847</v>
      </c>
      <c r="M5" s="122" t="n">
        <v>4</v>
      </c>
      <c r="N5" s="121" t="s">
        <v>2836</v>
      </c>
      <c r="O5" s="122" t="n">
        <v>0</v>
      </c>
      <c r="P5" s="122" t="n">
        <v>0</v>
      </c>
      <c r="Q5" s="122" t="n">
        <f aca="false">IF(F5="主角色提议",1,0)</f>
        <v>0</v>
      </c>
      <c r="R5" s="122" t="n">
        <f aca="false">IF(F5="非合同CIS",1,0)</f>
        <v>1</v>
      </c>
      <c r="S5" s="122" t="n">
        <f aca="false">IF(F5="映射保留",1,0)</f>
        <v>0</v>
      </c>
      <c r="T5" s="122" t="n">
        <v>0</v>
      </c>
      <c r="U5" s="121" t="s">
        <v>2869</v>
      </c>
      <c r="V5" s="121" t="s">
        <v>2870</v>
      </c>
      <c r="W5" s="121" t="s">
        <v>2871</v>
      </c>
      <c r="X5" s="121" t="s">
        <v>2872</v>
      </c>
      <c r="Y5" s="121" t="s">
        <v>2841</v>
      </c>
      <c r="Z5" s="121"/>
      <c r="AA5" s="121" t="str">
        <f aca="false">HYPERLINK("https://chatgpt.com/api/library/files/libfile_b303d0e820e08191b7ca12b5c5e78338/download","B15私有元数据包")</f>
        <v>B15私有元数据包</v>
      </c>
      <c r="AB5" s="121" t="s">
        <v>2842</v>
      </c>
      <c r="AC5" s="121" t="s">
        <v>2873</v>
      </c>
      <c r="AD5" s="123" t="n">
        <v>46321.2968102546</v>
      </c>
      <c r="AE5" s="123" t="n">
        <v>46321.3035855903</v>
      </c>
      <c r="AF5" s="123" t="n">
        <v>46321.3193288079</v>
      </c>
      <c r="AG5" s="121" t="s">
        <v>2874</v>
      </c>
      <c r="AH5" s="121" t="str">
        <f aca="false">IF(AND(AI5="匹配",LEN(V5)=64,J5&lt;&gt;"",L5&lt;&gt;"",K5&gt;0,M5&gt;0,AD5&gt;0,AE5&gt;0,AF5&gt;0,AG5&lt;&gt;"",N5="待全文",O5=0,P5=0,Q5+R5+S5=1),"角色已验收","需检查证据")</f>
        <v>角色已验收</v>
      </c>
      <c r="AI5" s="121" t="str">
        <f aca="false">IF(COUNTIF($A$2:$A$91,A5)=1,"匹配","缺范围或重复")</f>
        <v>匹配</v>
      </c>
    </row>
    <row r="6" customFormat="false" ht="190" hidden="false" customHeight="true" outlineLevel="0" collapsed="false">
      <c r="A6" s="121" t="s">
        <v>2875</v>
      </c>
      <c r="B6" s="121" t="s">
        <v>230</v>
      </c>
      <c r="C6" s="121" t="s">
        <v>1669</v>
      </c>
      <c r="D6" s="121" t="s">
        <v>883</v>
      </c>
      <c r="E6" s="121" t="s">
        <v>2876</v>
      </c>
      <c r="F6" s="121" t="s">
        <v>2857</v>
      </c>
      <c r="G6" s="121" t="s">
        <v>2858</v>
      </c>
      <c r="H6" s="122" t="n">
        <v>50</v>
      </c>
      <c r="I6" s="122" t="n">
        <v>50</v>
      </c>
      <c r="J6" s="121" t="s">
        <v>2859</v>
      </c>
      <c r="K6" s="122" t="n">
        <v>14</v>
      </c>
      <c r="L6" s="121" t="s">
        <v>2859</v>
      </c>
      <c r="M6" s="122" t="n">
        <v>14</v>
      </c>
      <c r="N6" s="121" t="s">
        <v>2836</v>
      </c>
      <c r="O6" s="122" t="n">
        <v>0</v>
      </c>
      <c r="P6" s="122" t="n">
        <v>0</v>
      </c>
      <c r="Q6" s="122" t="n">
        <f aca="false">IF(F6="主角色提议",1,0)</f>
        <v>1</v>
      </c>
      <c r="R6" s="122" t="n">
        <f aca="false">IF(F6="非合同CIS",1,0)</f>
        <v>0</v>
      </c>
      <c r="S6" s="122" t="n">
        <f aca="false">IF(F6="映射保留",1,0)</f>
        <v>0</v>
      </c>
      <c r="T6" s="122" t="n">
        <v>1</v>
      </c>
      <c r="U6" s="121" t="s">
        <v>2877</v>
      </c>
      <c r="V6" s="121" t="s">
        <v>2878</v>
      </c>
      <c r="W6" s="121" t="s">
        <v>2862</v>
      </c>
      <c r="X6" s="121" t="s">
        <v>2863</v>
      </c>
      <c r="Y6" s="121" t="s">
        <v>2864</v>
      </c>
      <c r="Z6" s="121"/>
      <c r="AA6" s="121" t="str">
        <f aca="false">HYPERLINK("https://chatgpt.com/api/library/files/libfile_b303d0e820e08191b7ca12b5c5e78338/download","B15私有元数据包")</f>
        <v>B15私有元数据包</v>
      </c>
      <c r="AB6" s="121" t="s">
        <v>2842</v>
      </c>
      <c r="AC6" s="121" t="s">
        <v>2879</v>
      </c>
      <c r="AD6" s="123" t="n">
        <v>46321.2968102546</v>
      </c>
      <c r="AE6" s="123" t="n">
        <v>46321.3035855903</v>
      </c>
      <c r="AF6" s="123" t="n">
        <v>46321.3193288079</v>
      </c>
      <c r="AG6" s="121" t="s">
        <v>2880</v>
      </c>
      <c r="AH6" s="121" t="str">
        <f aca="false">IF(AND(AI6="匹配",LEN(V6)=64,J6&lt;&gt;"",L6&lt;&gt;"",K6&gt;0,M6&gt;0,AD6&gt;0,AE6&gt;0,AF6&gt;0,AG6&lt;&gt;"",N6="待全文",O6=0,P6=0,Q6+R6+S6=1),"角色已验收","需检查证据")</f>
        <v>角色已验收</v>
      </c>
      <c r="AI6" s="121" t="str">
        <f aca="false">IF(COUNTIF($A$2:$A$91,A6)=1,"匹配","缺范围或重复")</f>
        <v>匹配</v>
      </c>
    </row>
    <row r="7" customFormat="false" ht="110" hidden="false" customHeight="true" outlineLevel="0" collapsed="false">
      <c r="A7" s="121" t="s">
        <v>2881</v>
      </c>
      <c r="B7" s="121" t="s">
        <v>230</v>
      </c>
      <c r="C7" s="121" t="s">
        <v>1669</v>
      </c>
      <c r="D7" s="121" t="s">
        <v>883</v>
      </c>
      <c r="E7" s="121" t="s">
        <v>2882</v>
      </c>
      <c r="F7" s="121" t="s">
        <v>202</v>
      </c>
      <c r="G7" s="121" t="s">
        <v>2834</v>
      </c>
      <c r="H7" s="122" t="n">
        <v>35</v>
      </c>
      <c r="I7" s="122" t="n">
        <v>35</v>
      </c>
      <c r="J7" s="121" t="s">
        <v>2835</v>
      </c>
      <c r="K7" s="122" t="n">
        <v>4</v>
      </c>
      <c r="L7" s="121" t="s">
        <v>2835</v>
      </c>
      <c r="M7" s="122" t="n">
        <v>4</v>
      </c>
      <c r="N7" s="121" t="s">
        <v>2836</v>
      </c>
      <c r="O7" s="122" t="n">
        <v>0</v>
      </c>
      <c r="P7" s="122" t="n">
        <v>0</v>
      </c>
      <c r="Q7" s="122" t="n">
        <f aca="false">IF(F7="主角色提议",1,0)</f>
        <v>0</v>
      </c>
      <c r="R7" s="122" t="n">
        <f aca="false">IF(F7="非合同CIS",1,0)</f>
        <v>1</v>
      </c>
      <c r="S7" s="122" t="n">
        <f aca="false">IF(F7="映射保留",1,0)</f>
        <v>0</v>
      </c>
      <c r="T7" s="122" t="n">
        <v>0</v>
      </c>
      <c r="U7" s="121" t="s">
        <v>2883</v>
      </c>
      <c r="V7" s="121" t="s">
        <v>2884</v>
      </c>
      <c r="W7" s="121" t="s">
        <v>2885</v>
      </c>
      <c r="X7" s="121" t="s">
        <v>2840</v>
      </c>
      <c r="Y7" s="121" t="s">
        <v>2841</v>
      </c>
      <c r="Z7" s="121"/>
      <c r="AA7" s="121" t="str">
        <f aca="false">HYPERLINK("https://chatgpt.com/api/library/files/libfile_b303d0e820e08191b7ca12b5c5e78338/download","B15私有元数据包")</f>
        <v>B15私有元数据包</v>
      </c>
      <c r="AB7" s="121" t="s">
        <v>2842</v>
      </c>
      <c r="AC7" s="121" t="s">
        <v>2886</v>
      </c>
      <c r="AD7" s="123" t="n">
        <v>46321.2968102546</v>
      </c>
      <c r="AE7" s="123" t="n">
        <v>46321.3035855903</v>
      </c>
      <c r="AF7" s="123" t="n">
        <v>46321.3193288079</v>
      </c>
      <c r="AG7" s="121" t="s">
        <v>2887</v>
      </c>
      <c r="AH7" s="121" t="str">
        <f aca="false">IF(AND(AI7="匹配",LEN(V7)=64,J7&lt;&gt;"",L7&lt;&gt;"",K7&gt;0,M7&gt;0,AD7&gt;0,AE7&gt;0,AF7&gt;0,AG7&lt;&gt;"",N7="待全文",O7=0,P7=0,Q7+R7+S7=1),"角色已验收","需检查证据")</f>
        <v>角色已验收</v>
      </c>
      <c r="AI7" s="121" t="str">
        <f aca="false">IF(COUNTIF($A$2:$A$91,A7)=1,"匹配","缺范围或重复")</f>
        <v>匹配</v>
      </c>
    </row>
    <row r="8" customFormat="false" ht="190" hidden="false" customHeight="true" outlineLevel="0" collapsed="false">
      <c r="A8" s="121" t="s">
        <v>2888</v>
      </c>
      <c r="B8" s="121" t="s">
        <v>230</v>
      </c>
      <c r="C8" s="121" t="s">
        <v>1669</v>
      </c>
      <c r="D8" s="121" t="s">
        <v>883</v>
      </c>
      <c r="E8" s="121" t="s">
        <v>2889</v>
      </c>
      <c r="F8" s="121" t="s">
        <v>2857</v>
      </c>
      <c r="G8" s="121" t="s">
        <v>2890</v>
      </c>
      <c r="H8" s="122" t="n">
        <v>55</v>
      </c>
      <c r="I8" s="122" t="n">
        <v>55</v>
      </c>
      <c r="J8" s="121" t="s">
        <v>2891</v>
      </c>
      <c r="K8" s="122" t="n">
        <v>13</v>
      </c>
      <c r="L8" s="121" t="s">
        <v>2891</v>
      </c>
      <c r="M8" s="122" t="n">
        <v>13</v>
      </c>
      <c r="N8" s="121" t="s">
        <v>2836</v>
      </c>
      <c r="O8" s="122" t="n">
        <v>0</v>
      </c>
      <c r="P8" s="122" t="n">
        <v>0</v>
      </c>
      <c r="Q8" s="122" t="n">
        <f aca="false">IF(F8="主角色提议",1,0)</f>
        <v>1</v>
      </c>
      <c r="R8" s="122" t="n">
        <f aca="false">IF(F8="非合同CIS",1,0)</f>
        <v>0</v>
      </c>
      <c r="S8" s="122" t="n">
        <f aca="false">IF(F8="映射保留",1,0)</f>
        <v>0</v>
      </c>
      <c r="T8" s="122" t="n">
        <v>1</v>
      </c>
      <c r="U8" s="121" t="s">
        <v>2892</v>
      </c>
      <c r="V8" s="121" t="s">
        <v>2893</v>
      </c>
      <c r="W8" s="121" t="s">
        <v>2894</v>
      </c>
      <c r="X8" s="121" t="s">
        <v>2895</v>
      </c>
      <c r="Y8" s="121" t="s">
        <v>2896</v>
      </c>
      <c r="Z8" s="121"/>
      <c r="AA8" s="121" t="str">
        <f aca="false">HYPERLINK("https://chatgpt.com/api/library/files/libfile_b303d0e820e08191b7ca12b5c5e78338/download","B15私有元数据包")</f>
        <v>B15私有元数据包</v>
      </c>
      <c r="AB8" s="121" t="s">
        <v>2842</v>
      </c>
      <c r="AC8" s="121" t="s">
        <v>2897</v>
      </c>
      <c r="AD8" s="123" t="n">
        <v>46321.2968102546</v>
      </c>
      <c r="AE8" s="123" t="n">
        <v>46321.3035855903</v>
      </c>
      <c r="AF8" s="123" t="n">
        <v>46321.3193288079</v>
      </c>
      <c r="AG8" s="121" t="s">
        <v>2898</v>
      </c>
      <c r="AH8" s="121" t="str">
        <f aca="false">IF(AND(AI8="匹配",LEN(V8)=64,J8&lt;&gt;"",L8&lt;&gt;"",K8&gt;0,M8&gt;0,AD8&gt;0,AE8&gt;0,AF8&gt;0,AG8&lt;&gt;"",N8="待全文",O8=0,P8=0,Q8+R8+S8=1),"角色已验收","需检查证据")</f>
        <v>角色已验收</v>
      </c>
      <c r="AI8" s="121" t="str">
        <f aca="false">IF(COUNTIF($A$2:$A$91,A8)=1,"匹配","缺范围或重复")</f>
        <v>匹配</v>
      </c>
    </row>
    <row r="9" customFormat="false" ht="126" hidden="false" customHeight="true" outlineLevel="0" collapsed="false">
      <c r="A9" s="121" t="s">
        <v>2899</v>
      </c>
      <c r="B9" s="121" t="s">
        <v>230</v>
      </c>
      <c r="C9" s="121" t="s">
        <v>1669</v>
      </c>
      <c r="D9" s="121" t="s">
        <v>883</v>
      </c>
      <c r="E9" s="121" t="s">
        <v>2900</v>
      </c>
      <c r="F9" s="121" t="s">
        <v>202</v>
      </c>
      <c r="G9" s="121" t="s">
        <v>2834</v>
      </c>
      <c r="H9" s="122" t="n">
        <v>21</v>
      </c>
      <c r="I9" s="122" t="n">
        <v>21</v>
      </c>
      <c r="J9" s="121" t="s">
        <v>2847</v>
      </c>
      <c r="K9" s="122" t="n">
        <v>4</v>
      </c>
      <c r="L9" s="121" t="s">
        <v>2847</v>
      </c>
      <c r="M9" s="122" t="n">
        <v>4</v>
      </c>
      <c r="N9" s="121" t="s">
        <v>2836</v>
      </c>
      <c r="O9" s="122" t="n">
        <v>0</v>
      </c>
      <c r="P9" s="122" t="n">
        <v>0</v>
      </c>
      <c r="Q9" s="122" t="n">
        <f aca="false">IF(F9="主角色提议",1,0)</f>
        <v>0</v>
      </c>
      <c r="R9" s="122" t="n">
        <f aca="false">IF(F9="非合同CIS",1,0)</f>
        <v>1</v>
      </c>
      <c r="S9" s="122" t="n">
        <f aca="false">IF(F9="映射保留",1,0)</f>
        <v>0</v>
      </c>
      <c r="T9" s="122" t="n">
        <v>0</v>
      </c>
      <c r="U9" s="121" t="s">
        <v>2901</v>
      </c>
      <c r="V9" s="121" t="s">
        <v>2902</v>
      </c>
      <c r="W9" s="121" t="s">
        <v>2903</v>
      </c>
      <c r="X9" s="121" t="s">
        <v>2851</v>
      </c>
      <c r="Y9" s="121" t="s">
        <v>2852</v>
      </c>
      <c r="Z9" s="121"/>
      <c r="AA9" s="121" t="str">
        <f aca="false">HYPERLINK("https://chatgpt.com/api/library/files/libfile_b303d0e820e08191b7ca12b5c5e78338/download","B15私有元数据包")</f>
        <v>B15私有元数据包</v>
      </c>
      <c r="AB9" s="121" t="s">
        <v>2842</v>
      </c>
      <c r="AC9" s="121" t="s">
        <v>2904</v>
      </c>
      <c r="AD9" s="123" t="n">
        <v>46321.2968102546</v>
      </c>
      <c r="AE9" s="123" t="n">
        <v>46321.3035855903</v>
      </c>
      <c r="AF9" s="123" t="n">
        <v>46321.3193288079</v>
      </c>
      <c r="AG9" s="121" t="s">
        <v>2905</v>
      </c>
      <c r="AH9" s="121" t="str">
        <f aca="false">IF(AND(AI9="匹配",LEN(V9)=64,J9&lt;&gt;"",L9&lt;&gt;"",K9&gt;0,M9&gt;0,AD9&gt;0,AE9&gt;0,AF9&gt;0,AG9&lt;&gt;"",N9="待全文",O9=0,P9=0,Q9+R9+S9=1),"角色已验收","需检查证据")</f>
        <v>角色已验收</v>
      </c>
      <c r="AI9" s="121" t="str">
        <f aca="false">IF(COUNTIF($A$2:$A$91,A9)=1,"匹配","缺范围或重复")</f>
        <v>匹配</v>
      </c>
    </row>
    <row r="10" customFormat="false" ht="110" hidden="false" customHeight="true" outlineLevel="0" collapsed="false">
      <c r="A10" s="121" t="s">
        <v>2906</v>
      </c>
      <c r="B10" s="121" t="s">
        <v>230</v>
      </c>
      <c r="C10" s="121" t="s">
        <v>1669</v>
      </c>
      <c r="D10" s="121" t="s">
        <v>883</v>
      </c>
      <c r="E10" s="121" t="s">
        <v>2907</v>
      </c>
      <c r="F10" s="121" t="s">
        <v>202</v>
      </c>
      <c r="G10" s="121" t="s">
        <v>2834</v>
      </c>
      <c r="H10" s="122" t="n">
        <v>21</v>
      </c>
      <c r="I10" s="122" t="n">
        <v>21</v>
      </c>
      <c r="J10" s="121" t="s">
        <v>2847</v>
      </c>
      <c r="K10" s="122" t="n">
        <v>4</v>
      </c>
      <c r="L10" s="121" t="s">
        <v>2847</v>
      </c>
      <c r="M10" s="122" t="n">
        <v>4</v>
      </c>
      <c r="N10" s="121" t="s">
        <v>2836</v>
      </c>
      <c r="O10" s="122" t="n">
        <v>0</v>
      </c>
      <c r="P10" s="122" t="n">
        <v>0</v>
      </c>
      <c r="Q10" s="122" t="n">
        <f aca="false">IF(F10="主角色提议",1,0)</f>
        <v>0</v>
      </c>
      <c r="R10" s="122" t="n">
        <f aca="false">IF(F10="非合同CIS",1,0)</f>
        <v>1</v>
      </c>
      <c r="S10" s="122" t="n">
        <f aca="false">IF(F10="映射保留",1,0)</f>
        <v>0</v>
      </c>
      <c r="T10" s="122" t="n">
        <v>0</v>
      </c>
      <c r="U10" s="121" t="s">
        <v>2908</v>
      </c>
      <c r="V10" s="121" t="s">
        <v>2909</v>
      </c>
      <c r="W10" s="121" t="s">
        <v>2910</v>
      </c>
      <c r="X10" s="121" t="s">
        <v>2911</v>
      </c>
      <c r="Y10" s="121" t="s">
        <v>2841</v>
      </c>
      <c r="Z10" s="121"/>
      <c r="AA10" s="121" t="str">
        <f aca="false">HYPERLINK("https://chatgpt.com/api/library/files/libfile_b303d0e820e08191b7ca12b5c5e78338/download","B15私有元数据包")</f>
        <v>B15私有元数据包</v>
      </c>
      <c r="AB10" s="121" t="s">
        <v>2842</v>
      </c>
      <c r="AC10" s="121" t="s">
        <v>2912</v>
      </c>
      <c r="AD10" s="123" t="n">
        <v>46321.2968102546</v>
      </c>
      <c r="AE10" s="123" t="n">
        <v>46321.3035855903</v>
      </c>
      <c r="AF10" s="123" t="n">
        <v>46321.3193288079</v>
      </c>
      <c r="AG10" s="121" t="s">
        <v>2913</v>
      </c>
      <c r="AH10" s="121" t="str">
        <f aca="false">IF(AND(AI10="匹配",LEN(V10)=64,J10&lt;&gt;"",L10&lt;&gt;"",K10&gt;0,M10&gt;0,AD10&gt;0,AE10&gt;0,AF10&gt;0,AG10&lt;&gt;"",N10="待全文",O10=0,P10=0,Q10+R10+S10=1),"角色已验收","需检查证据")</f>
        <v>角色已验收</v>
      </c>
      <c r="AI10" s="121" t="str">
        <f aca="false">IF(COUNTIF($A$2:$A$91,A10)=1,"匹配","缺范围或重复")</f>
        <v>匹配</v>
      </c>
    </row>
    <row r="11" customFormat="false" ht="110" hidden="false" customHeight="true" outlineLevel="0" collapsed="false">
      <c r="A11" s="121" t="s">
        <v>2914</v>
      </c>
      <c r="B11" s="121" t="s">
        <v>230</v>
      </c>
      <c r="C11" s="121" t="s">
        <v>1669</v>
      </c>
      <c r="D11" s="121" t="s">
        <v>883</v>
      </c>
      <c r="E11" s="121" t="s">
        <v>2915</v>
      </c>
      <c r="F11" s="121" t="s">
        <v>202</v>
      </c>
      <c r="G11" s="121" t="s">
        <v>2834</v>
      </c>
      <c r="H11" s="122" t="n">
        <v>21</v>
      </c>
      <c r="I11" s="122" t="n">
        <v>21</v>
      </c>
      <c r="J11" s="121" t="s">
        <v>2847</v>
      </c>
      <c r="K11" s="122" t="n">
        <v>4</v>
      </c>
      <c r="L11" s="121" t="s">
        <v>2847</v>
      </c>
      <c r="M11" s="122" t="n">
        <v>4</v>
      </c>
      <c r="N11" s="121" t="s">
        <v>2836</v>
      </c>
      <c r="O11" s="122" t="n">
        <v>0</v>
      </c>
      <c r="P11" s="122" t="n">
        <v>0</v>
      </c>
      <c r="Q11" s="122" t="n">
        <f aca="false">IF(F11="主角色提议",1,0)</f>
        <v>0</v>
      </c>
      <c r="R11" s="122" t="n">
        <f aca="false">IF(F11="非合同CIS",1,0)</f>
        <v>1</v>
      </c>
      <c r="S11" s="122" t="n">
        <f aca="false">IF(F11="映射保留",1,0)</f>
        <v>0</v>
      </c>
      <c r="T11" s="122" t="n">
        <v>0</v>
      </c>
      <c r="U11" s="121" t="s">
        <v>2916</v>
      </c>
      <c r="V11" s="121" t="s">
        <v>2917</v>
      </c>
      <c r="W11" s="121" t="s">
        <v>2918</v>
      </c>
      <c r="X11" s="121" t="s">
        <v>2919</v>
      </c>
      <c r="Y11" s="121" t="s">
        <v>2841</v>
      </c>
      <c r="Z11" s="121"/>
      <c r="AA11" s="121" t="str">
        <f aca="false">HYPERLINK("https://chatgpt.com/api/library/files/libfile_b303d0e820e08191b7ca12b5c5e78338/download","B15私有元数据包")</f>
        <v>B15私有元数据包</v>
      </c>
      <c r="AB11" s="121" t="s">
        <v>2842</v>
      </c>
      <c r="AC11" s="121" t="s">
        <v>2920</v>
      </c>
      <c r="AD11" s="123" t="n">
        <v>46321.2968102546</v>
      </c>
      <c r="AE11" s="123" t="n">
        <v>46321.3035855903</v>
      </c>
      <c r="AF11" s="123" t="n">
        <v>46321.3193288079</v>
      </c>
      <c r="AG11" s="121" t="s">
        <v>2921</v>
      </c>
      <c r="AH11" s="121" t="str">
        <f aca="false">IF(AND(AI11="匹配",LEN(V11)=64,J11&lt;&gt;"",L11&lt;&gt;"",K11&gt;0,M11&gt;0,AD11&gt;0,AE11&gt;0,AF11&gt;0,AG11&lt;&gt;"",N11="待全文",O11=0,P11=0,Q11+R11+S11=1),"角色已验收","需检查证据")</f>
        <v>角色已验收</v>
      </c>
      <c r="AI11" s="121" t="str">
        <f aca="false">IF(COUNTIF($A$2:$A$91,A11)=1,"匹配","缺范围或重复")</f>
        <v>匹配</v>
      </c>
    </row>
    <row r="12" customFormat="false" ht="126" hidden="false" customHeight="true" outlineLevel="0" collapsed="false">
      <c r="A12" s="121" t="s">
        <v>2922</v>
      </c>
      <c r="B12" s="121" t="s">
        <v>232</v>
      </c>
      <c r="C12" s="121" t="s">
        <v>1669</v>
      </c>
      <c r="D12" s="121" t="s">
        <v>876</v>
      </c>
      <c r="E12" s="121" t="s">
        <v>2923</v>
      </c>
      <c r="F12" s="121" t="s">
        <v>2857</v>
      </c>
      <c r="G12" s="121" t="s">
        <v>2924</v>
      </c>
      <c r="H12" s="122" t="n">
        <v>40</v>
      </c>
      <c r="I12" s="122" t="n">
        <v>40</v>
      </c>
      <c r="J12" s="121" t="s">
        <v>2925</v>
      </c>
      <c r="K12" s="122" t="n">
        <v>10</v>
      </c>
      <c r="L12" s="121" t="s">
        <v>2926</v>
      </c>
      <c r="M12" s="122" t="n">
        <v>6</v>
      </c>
      <c r="N12" s="121" t="s">
        <v>2836</v>
      </c>
      <c r="O12" s="122" t="n">
        <v>0</v>
      </c>
      <c r="P12" s="122" t="n">
        <v>0</v>
      </c>
      <c r="Q12" s="122" t="n">
        <f aca="false">IF(F12="主角色提议",1,0)</f>
        <v>1</v>
      </c>
      <c r="R12" s="122" t="n">
        <f aca="false">IF(F12="非合同CIS",1,0)</f>
        <v>0</v>
      </c>
      <c r="S12" s="122" t="n">
        <f aca="false">IF(F12="映射保留",1,0)</f>
        <v>0</v>
      </c>
      <c r="T12" s="122" t="n">
        <v>1</v>
      </c>
      <c r="U12" s="121" t="s">
        <v>2927</v>
      </c>
      <c r="V12" s="121" t="s">
        <v>2928</v>
      </c>
      <c r="W12" s="121" t="s">
        <v>2929</v>
      </c>
      <c r="X12" s="121" t="s">
        <v>2930</v>
      </c>
      <c r="Y12" s="121" t="s">
        <v>2931</v>
      </c>
      <c r="Z12" s="121"/>
      <c r="AA12" s="121" t="str">
        <f aca="false">HYPERLINK("https://chatgpt.com/api/library/files/libfile_f096861615788191b2089dd752505c74/download","B16私有元数据包")</f>
        <v>B16私有元数据包</v>
      </c>
      <c r="AB12" s="121" t="s">
        <v>2842</v>
      </c>
      <c r="AC12" s="121" t="s">
        <v>2932</v>
      </c>
      <c r="AD12" s="123" t="n">
        <v>46321.332644919</v>
      </c>
      <c r="AE12" s="123" t="n">
        <v>46321.3461545833</v>
      </c>
      <c r="AF12" s="123" t="n">
        <v>46321.3670567477</v>
      </c>
      <c r="AG12" s="121" t="s">
        <v>2933</v>
      </c>
      <c r="AH12" s="121" t="str">
        <f aca="false">IF(AND(AI12="匹配",LEN(V12)=64,J12&lt;&gt;"",L12&lt;&gt;"",K12&gt;0,M12&gt;0,AD12&gt;0,AE12&gt;0,AF12&gt;0,AG12&lt;&gt;"",N12="待全文",O12=0,P12=0,Q12+R12+S12=1),"角色已验收","需检查证据")</f>
        <v>角色已验收</v>
      </c>
      <c r="AI12" s="121" t="str">
        <f aca="false">IF(COUNTIF($A$2:$A$91,A12)=1,"匹配","缺范围或重复")</f>
        <v>匹配</v>
      </c>
    </row>
    <row r="13" customFormat="false" ht="126" hidden="false" customHeight="true" outlineLevel="0" collapsed="false">
      <c r="A13" s="121" t="s">
        <v>2934</v>
      </c>
      <c r="B13" s="121" t="s">
        <v>232</v>
      </c>
      <c r="C13" s="121" t="s">
        <v>1669</v>
      </c>
      <c r="D13" s="121" t="s">
        <v>876</v>
      </c>
      <c r="E13" s="121" t="s">
        <v>2935</v>
      </c>
      <c r="F13" s="121" t="s">
        <v>2857</v>
      </c>
      <c r="G13" s="121" t="s">
        <v>2924</v>
      </c>
      <c r="H13" s="122" t="n">
        <v>42</v>
      </c>
      <c r="I13" s="122" t="n">
        <v>42</v>
      </c>
      <c r="J13" s="121" t="s">
        <v>2936</v>
      </c>
      <c r="K13" s="122" t="n">
        <v>10</v>
      </c>
      <c r="L13" s="121" t="s">
        <v>2937</v>
      </c>
      <c r="M13" s="122" t="n">
        <v>6</v>
      </c>
      <c r="N13" s="121" t="s">
        <v>2836</v>
      </c>
      <c r="O13" s="122" t="n">
        <v>0</v>
      </c>
      <c r="P13" s="122" t="n">
        <v>0</v>
      </c>
      <c r="Q13" s="122" t="n">
        <f aca="false">IF(F13="主角色提议",1,0)</f>
        <v>1</v>
      </c>
      <c r="R13" s="122" t="n">
        <f aca="false">IF(F13="非合同CIS",1,0)</f>
        <v>0</v>
      </c>
      <c r="S13" s="122" t="n">
        <f aca="false">IF(F13="映射保留",1,0)</f>
        <v>0</v>
      </c>
      <c r="T13" s="122" t="n">
        <v>1</v>
      </c>
      <c r="U13" s="121" t="s">
        <v>2938</v>
      </c>
      <c r="V13" s="121" t="s">
        <v>2939</v>
      </c>
      <c r="W13" s="121" t="s">
        <v>2940</v>
      </c>
      <c r="X13" s="121" t="s">
        <v>2930</v>
      </c>
      <c r="Y13" s="121" t="s">
        <v>2941</v>
      </c>
      <c r="Z13" s="121"/>
      <c r="AA13" s="121" t="str">
        <f aca="false">HYPERLINK("https://chatgpt.com/api/library/files/libfile_f096861615788191b2089dd752505c74/download","B16私有元数据包")</f>
        <v>B16私有元数据包</v>
      </c>
      <c r="AB13" s="121" t="s">
        <v>2842</v>
      </c>
      <c r="AC13" s="121" t="s">
        <v>2942</v>
      </c>
      <c r="AD13" s="123" t="n">
        <v>46321.332644919</v>
      </c>
      <c r="AE13" s="123" t="n">
        <v>46321.3461545833</v>
      </c>
      <c r="AF13" s="123" t="n">
        <v>46321.3670567477</v>
      </c>
      <c r="AG13" s="121" t="s">
        <v>2943</v>
      </c>
      <c r="AH13" s="121" t="str">
        <f aca="false">IF(AND(AI13="匹配",LEN(V13)=64,J13&lt;&gt;"",L13&lt;&gt;"",K13&gt;0,M13&gt;0,AD13&gt;0,AE13&gt;0,AF13&gt;0,AG13&lt;&gt;"",N13="待全文",O13=0,P13=0,Q13+R13+S13=1),"角色已验收","需检查证据")</f>
        <v>角色已验收</v>
      </c>
      <c r="AI13" s="121" t="str">
        <f aca="false">IF(COUNTIF($A$2:$A$91,A13)=1,"匹配","缺范围或重复")</f>
        <v>匹配</v>
      </c>
    </row>
    <row r="14" customFormat="false" ht="110" hidden="false" customHeight="true" outlineLevel="0" collapsed="false">
      <c r="A14" s="121" t="s">
        <v>2944</v>
      </c>
      <c r="B14" s="121" t="s">
        <v>232</v>
      </c>
      <c r="C14" s="121" t="s">
        <v>1669</v>
      </c>
      <c r="D14" s="121" t="s">
        <v>876</v>
      </c>
      <c r="E14" s="121" t="s">
        <v>2945</v>
      </c>
      <c r="F14" s="121" t="s">
        <v>2857</v>
      </c>
      <c r="G14" s="121" t="s">
        <v>2946</v>
      </c>
      <c r="H14" s="122" t="n">
        <v>44</v>
      </c>
      <c r="I14" s="122" t="n">
        <v>44</v>
      </c>
      <c r="J14" s="121" t="s">
        <v>2947</v>
      </c>
      <c r="K14" s="122" t="n">
        <v>11</v>
      </c>
      <c r="L14" s="121" t="s">
        <v>2948</v>
      </c>
      <c r="M14" s="122" t="n">
        <v>6</v>
      </c>
      <c r="N14" s="121" t="s">
        <v>2836</v>
      </c>
      <c r="O14" s="122" t="n">
        <v>0</v>
      </c>
      <c r="P14" s="122" t="n">
        <v>0</v>
      </c>
      <c r="Q14" s="122" t="n">
        <f aca="false">IF(F14="主角色提议",1,0)</f>
        <v>1</v>
      </c>
      <c r="R14" s="122" t="n">
        <f aca="false">IF(F14="非合同CIS",1,0)</f>
        <v>0</v>
      </c>
      <c r="S14" s="122" t="n">
        <f aca="false">IF(F14="映射保留",1,0)</f>
        <v>0</v>
      </c>
      <c r="T14" s="122" t="n">
        <v>1</v>
      </c>
      <c r="U14" s="121" t="s">
        <v>2949</v>
      </c>
      <c r="V14" s="121" t="s">
        <v>2950</v>
      </c>
      <c r="W14" s="121" t="s">
        <v>2951</v>
      </c>
      <c r="X14" s="121" t="s">
        <v>2952</v>
      </c>
      <c r="Y14" s="121" t="s">
        <v>2953</v>
      </c>
      <c r="Z14" s="121"/>
      <c r="AA14" s="121" t="str">
        <f aca="false">HYPERLINK("https://chatgpt.com/api/library/files/libfile_f096861615788191b2089dd752505c74/download","B16私有元数据包")</f>
        <v>B16私有元数据包</v>
      </c>
      <c r="AB14" s="121" t="s">
        <v>2842</v>
      </c>
      <c r="AC14" s="121" t="s">
        <v>2954</v>
      </c>
      <c r="AD14" s="123" t="n">
        <v>46321.332644919</v>
      </c>
      <c r="AE14" s="123" t="n">
        <v>46321.3461545833</v>
      </c>
      <c r="AF14" s="123" t="n">
        <v>46321.3670567477</v>
      </c>
      <c r="AG14" s="121" t="s">
        <v>2955</v>
      </c>
      <c r="AH14" s="121" t="str">
        <f aca="false">IF(AND(AI14="匹配",LEN(V14)=64,J14&lt;&gt;"",L14&lt;&gt;"",K14&gt;0,M14&gt;0,AD14&gt;0,AE14&gt;0,AF14&gt;0,AG14&lt;&gt;"",N14="待全文",O14=0,P14=0,Q14+R14+S14=1),"角色已验收","需检查证据")</f>
        <v>角色已验收</v>
      </c>
      <c r="AI14" s="121" t="str">
        <f aca="false">IF(COUNTIF($A$2:$A$91,A14)=1,"匹配","缺范围或重复")</f>
        <v>匹配</v>
      </c>
    </row>
    <row r="15" customFormat="false" ht="158" hidden="false" customHeight="true" outlineLevel="0" collapsed="false">
      <c r="A15" s="121" t="s">
        <v>2956</v>
      </c>
      <c r="B15" s="121" t="s">
        <v>232</v>
      </c>
      <c r="C15" s="121" t="s">
        <v>1669</v>
      </c>
      <c r="D15" s="121" t="s">
        <v>876</v>
      </c>
      <c r="E15" s="121" t="s">
        <v>2957</v>
      </c>
      <c r="F15" s="121" t="s">
        <v>2958</v>
      </c>
      <c r="G15" s="121" t="s">
        <v>2959</v>
      </c>
      <c r="H15" s="122" t="n">
        <v>46</v>
      </c>
      <c r="I15" s="122" t="n">
        <v>46</v>
      </c>
      <c r="J15" s="121" t="s">
        <v>2960</v>
      </c>
      <c r="K15" s="122" t="n">
        <v>11</v>
      </c>
      <c r="L15" s="121" t="s">
        <v>2961</v>
      </c>
      <c r="M15" s="122" t="n">
        <v>7</v>
      </c>
      <c r="N15" s="121" t="s">
        <v>2836</v>
      </c>
      <c r="O15" s="122" t="n">
        <v>0</v>
      </c>
      <c r="P15" s="122" t="n">
        <v>0</v>
      </c>
      <c r="Q15" s="122" t="n">
        <f aca="false">IF(F15="主角色提议",1,0)</f>
        <v>0</v>
      </c>
      <c r="R15" s="122" t="n">
        <f aca="false">IF(F15="非合同CIS",1,0)</f>
        <v>0</v>
      </c>
      <c r="S15" s="122" t="n">
        <f aca="false">IF(F15="映射保留",1,0)</f>
        <v>1</v>
      </c>
      <c r="T15" s="122" t="n">
        <v>0</v>
      </c>
      <c r="U15" s="121" t="s">
        <v>2962</v>
      </c>
      <c r="V15" s="121" t="s">
        <v>2963</v>
      </c>
      <c r="W15" s="121" t="s">
        <v>2964</v>
      </c>
      <c r="X15" s="121" t="s">
        <v>2965</v>
      </c>
      <c r="Y15" s="121" t="s">
        <v>2966</v>
      </c>
      <c r="Z15" s="121" t="s">
        <v>2965</v>
      </c>
      <c r="AA15" s="121" t="str">
        <f aca="false">HYPERLINK("https://chatgpt.com/api/library/files/libfile_f096861615788191b2089dd752505c74/download","B16私有元数据包")</f>
        <v>B16私有元数据包</v>
      </c>
      <c r="AB15" s="121" t="s">
        <v>2842</v>
      </c>
      <c r="AC15" s="121" t="s">
        <v>2967</v>
      </c>
      <c r="AD15" s="123" t="n">
        <v>46321.332644919</v>
      </c>
      <c r="AE15" s="123" t="n">
        <v>46321.3461545833</v>
      </c>
      <c r="AF15" s="123" t="n">
        <v>46321.3670567477</v>
      </c>
      <c r="AG15" s="121" t="s">
        <v>2968</v>
      </c>
      <c r="AH15" s="121" t="str">
        <f aca="false">IF(AND(AI15="匹配",LEN(V15)=64,J15&lt;&gt;"",L15&lt;&gt;"",K15&gt;0,M15&gt;0,AD15&gt;0,AE15&gt;0,AF15&gt;0,AG15&lt;&gt;"",N15="待全文",O15=0,P15=0,Q15+R15+S15=1),"角色已验收","需检查证据")</f>
        <v>角色已验收</v>
      </c>
      <c r="AI15" s="121" t="str">
        <f aca="false">IF(COUNTIF($A$2:$A$91,A15)=1,"匹配","缺范围或重复")</f>
        <v>匹配</v>
      </c>
    </row>
    <row r="16" customFormat="false" ht="126" hidden="false" customHeight="true" outlineLevel="0" collapsed="false">
      <c r="A16" s="121" t="s">
        <v>2969</v>
      </c>
      <c r="B16" s="121" t="s">
        <v>232</v>
      </c>
      <c r="C16" s="121" t="s">
        <v>1669</v>
      </c>
      <c r="D16" s="121" t="s">
        <v>876</v>
      </c>
      <c r="E16" s="121" t="s">
        <v>2970</v>
      </c>
      <c r="F16" s="121" t="s">
        <v>2857</v>
      </c>
      <c r="G16" s="121" t="s">
        <v>2946</v>
      </c>
      <c r="H16" s="122" t="n">
        <v>38</v>
      </c>
      <c r="I16" s="122" t="n">
        <v>38</v>
      </c>
      <c r="J16" s="121" t="s">
        <v>2971</v>
      </c>
      <c r="K16" s="122" t="n">
        <v>9</v>
      </c>
      <c r="L16" s="121" t="s">
        <v>2972</v>
      </c>
      <c r="M16" s="122" t="n">
        <v>7</v>
      </c>
      <c r="N16" s="121" t="s">
        <v>2836</v>
      </c>
      <c r="O16" s="122" t="n">
        <v>0</v>
      </c>
      <c r="P16" s="122" t="n">
        <v>0</v>
      </c>
      <c r="Q16" s="122" t="n">
        <f aca="false">IF(F16="主角色提议",1,0)</f>
        <v>1</v>
      </c>
      <c r="R16" s="122" t="n">
        <f aca="false">IF(F16="非合同CIS",1,0)</f>
        <v>0</v>
      </c>
      <c r="S16" s="122" t="n">
        <f aca="false">IF(F16="映射保留",1,0)</f>
        <v>0</v>
      </c>
      <c r="T16" s="122" t="n">
        <v>1</v>
      </c>
      <c r="U16" s="121" t="s">
        <v>2973</v>
      </c>
      <c r="V16" s="121" t="s">
        <v>2974</v>
      </c>
      <c r="W16" s="121" t="s">
        <v>2975</v>
      </c>
      <c r="X16" s="121" t="s">
        <v>2976</v>
      </c>
      <c r="Y16" s="121" t="s">
        <v>2977</v>
      </c>
      <c r="Z16" s="121"/>
      <c r="AA16" s="121" t="str">
        <f aca="false">HYPERLINK("https://chatgpt.com/api/library/files/libfile_f096861615788191b2089dd752505c74/download","B16私有元数据包")</f>
        <v>B16私有元数据包</v>
      </c>
      <c r="AB16" s="121" t="s">
        <v>2842</v>
      </c>
      <c r="AC16" s="121" t="s">
        <v>2978</v>
      </c>
      <c r="AD16" s="123" t="n">
        <v>46321.332644919</v>
      </c>
      <c r="AE16" s="123" t="n">
        <v>46321.3461545833</v>
      </c>
      <c r="AF16" s="123" t="n">
        <v>46321.3670567477</v>
      </c>
      <c r="AG16" s="121" t="s">
        <v>2979</v>
      </c>
      <c r="AH16" s="121" t="str">
        <f aca="false">IF(AND(AI16="匹配",LEN(V16)=64,J16&lt;&gt;"",L16&lt;&gt;"",K16&gt;0,M16&gt;0,AD16&gt;0,AE16&gt;0,AF16&gt;0,AG16&lt;&gt;"",N16="待全文",O16=0,P16=0,Q16+R16+S16=1),"角色已验收","需检查证据")</f>
        <v>角色已验收</v>
      </c>
      <c r="AI16" s="121" t="str">
        <f aca="false">IF(COUNTIF($A$2:$A$91,A16)=1,"匹配","缺范围或重复")</f>
        <v>匹配</v>
      </c>
    </row>
    <row r="17" customFormat="false" ht="126" hidden="false" customHeight="true" outlineLevel="0" collapsed="false">
      <c r="A17" s="121" t="s">
        <v>2980</v>
      </c>
      <c r="B17" s="121" t="s">
        <v>232</v>
      </c>
      <c r="C17" s="121" t="s">
        <v>1669</v>
      </c>
      <c r="D17" s="121" t="s">
        <v>876</v>
      </c>
      <c r="E17" s="121" t="s">
        <v>2981</v>
      </c>
      <c r="F17" s="121" t="s">
        <v>2857</v>
      </c>
      <c r="G17" s="121" t="s">
        <v>2946</v>
      </c>
      <c r="H17" s="122" t="n">
        <v>42</v>
      </c>
      <c r="I17" s="122" t="n">
        <v>42</v>
      </c>
      <c r="J17" s="121" t="s">
        <v>2982</v>
      </c>
      <c r="K17" s="122" t="n">
        <v>12</v>
      </c>
      <c r="L17" s="121" t="s">
        <v>2983</v>
      </c>
      <c r="M17" s="122" t="n">
        <v>7</v>
      </c>
      <c r="N17" s="121" t="s">
        <v>2836</v>
      </c>
      <c r="O17" s="122" t="n">
        <v>0</v>
      </c>
      <c r="P17" s="122" t="n">
        <v>0</v>
      </c>
      <c r="Q17" s="122" t="n">
        <f aca="false">IF(F17="主角色提议",1,0)</f>
        <v>1</v>
      </c>
      <c r="R17" s="122" t="n">
        <f aca="false">IF(F17="非合同CIS",1,0)</f>
        <v>0</v>
      </c>
      <c r="S17" s="122" t="n">
        <f aca="false">IF(F17="映射保留",1,0)</f>
        <v>0</v>
      </c>
      <c r="T17" s="122" t="n">
        <v>1</v>
      </c>
      <c r="U17" s="121" t="s">
        <v>2984</v>
      </c>
      <c r="V17" s="121" t="s">
        <v>2985</v>
      </c>
      <c r="W17" s="121" t="s">
        <v>2986</v>
      </c>
      <c r="X17" s="121" t="s">
        <v>2976</v>
      </c>
      <c r="Y17" s="121" t="s">
        <v>2987</v>
      </c>
      <c r="Z17" s="121"/>
      <c r="AA17" s="121" t="str">
        <f aca="false">HYPERLINK("https://chatgpt.com/api/library/files/libfile_f096861615788191b2089dd752505c74/download","B16私有元数据包")</f>
        <v>B16私有元数据包</v>
      </c>
      <c r="AB17" s="121" t="s">
        <v>2842</v>
      </c>
      <c r="AC17" s="121" t="s">
        <v>2988</v>
      </c>
      <c r="AD17" s="123" t="n">
        <v>46321.332644919</v>
      </c>
      <c r="AE17" s="123" t="n">
        <v>46321.3461545833</v>
      </c>
      <c r="AF17" s="123" t="n">
        <v>46321.3670567477</v>
      </c>
      <c r="AG17" s="121" t="s">
        <v>2989</v>
      </c>
      <c r="AH17" s="121" t="str">
        <f aca="false">IF(AND(AI17="匹配",LEN(V17)=64,J17&lt;&gt;"",L17&lt;&gt;"",K17&gt;0,M17&gt;0,AD17&gt;0,AE17&gt;0,AF17&gt;0,AG17&lt;&gt;"",N17="待全文",O17=0,P17=0,Q17+R17+S17=1),"角色已验收","需检查证据")</f>
        <v>角色已验收</v>
      </c>
      <c r="AI17" s="121" t="str">
        <f aca="false">IF(COUNTIF($A$2:$A$91,A17)=1,"匹配","缺范围或重复")</f>
        <v>匹配</v>
      </c>
    </row>
    <row r="18" customFormat="false" ht="142" hidden="false" customHeight="true" outlineLevel="0" collapsed="false">
      <c r="A18" s="121" t="s">
        <v>2990</v>
      </c>
      <c r="B18" s="121" t="s">
        <v>232</v>
      </c>
      <c r="C18" s="121" t="s">
        <v>1669</v>
      </c>
      <c r="D18" s="121" t="s">
        <v>876</v>
      </c>
      <c r="E18" s="121" t="s">
        <v>2991</v>
      </c>
      <c r="F18" s="121" t="s">
        <v>2857</v>
      </c>
      <c r="G18" s="121" t="s">
        <v>2924</v>
      </c>
      <c r="H18" s="122" t="n">
        <v>58</v>
      </c>
      <c r="I18" s="122" t="n">
        <v>58</v>
      </c>
      <c r="J18" s="121" t="s">
        <v>2992</v>
      </c>
      <c r="K18" s="122" t="n">
        <v>19</v>
      </c>
      <c r="L18" s="121" t="s">
        <v>2993</v>
      </c>
      <c r="M18" s="122" t="n">
        <v>9</v>
      </c>
      <c r="N18" s="121" t="s">
        <v>2836</v>
      </c>
      <c r="O18" s="122" t="n">
        <v>0</v>
      </c>
      <c r="P18" s="122" t="n">
        <v>0</v>
      </c>
      <c r="Q18" s="122" t="n">
        <f aca="false">IF(F18="主角色提议",1,0)</f>
        <v>1</v>
      </c>
      <c r="R18" s="122" t="n">
        <f aca="false">IF(F18="非合同CIS",1,0)</f>
        <v>0</v>
      </c>
      <c r="S18" s="122" t="n">
        <f aca="false">IF(F18="映射保留",1,0)</f>
        <v>0</v>
      </c>
      <c r="T18" s="122" t="n">
        <v>1</v>
      </c>
      <c r="U18" s="121" t="s">
        <v>2994</v>
      </c>
      <c r="V18" s="121" t="s">
        <v>2995</v>
      </c>
      <c r="W18" s="121" t="s">
        <v>2996</v>
      </c>
      <c r="X18" s="121" t="s">
        <v>2997</v>
      </c>
      <c r="Y18" s="121" t="s">
        <v>2998</v>
      </c>
      <c r="Z18" s="121"/>
      <c r="AA18" s="121" t="str">
        <f aca="false">HYPERLINK("https://chatgpt.com/api/library/files/libfile_f096861615788191b2089dd752505c74/download","B16私有元数据包")</f>
        <v>B16私有元数据包</v>
      </c>
      <c r="AB18" s="121" t="s">
        <v>2842</v>
      </c>
      <c r="AC18" s="121" t="s">
        <v>2999</v>
      </c>
      <c r="AD18" s="123" t="n">
        <v>46321.332644919</v>
      </c>
      <c r="AE18" s="123" t="n">
        <v>46321.3461545833</v>
      </c>
      <c r="AF18" s="123" t="n">
        <v>46321.3670567477</v>
      </c>
      <c r="AG18" s="121" t="s">
        <v>3000</v>
      </c>
      <c r="AH18" s="121" t="str">
        <f aca="false">IF(AND(AI18="匹配",LEN(V18)=64,J18&lt;&gt;"",L18&lt;&gt;"",K18&gt;0,M18&gt;0,AD18&gt;0,AE18&gt;0,AF18&gt;0,AG18&lt;&gt;"",N18="待全文",O18=0,P18=0,Q18+R18+S18=1),"角色已验收","需检查证据")</f>
        <v>角色已验收</v>
      </c>
      <c r="AI18" s="121" t="str">
        <f aca="false">IF(COUNTIF($A$2:$A$91,A18)=1,"匹配","缺范围或重复")</f>
        <v>匹配</v>
      </c>
    </row>
    <row r="19" customFormat="false" ht="158" hidden="false" customHeight="true" outlineLevel="0" collapsed="false">
      <c r="A19" s="121" t="s">
        <v>3001</v>
      </c>
      <c r="B19" s="121" t="s">
        <v>232</v>
      </c>
      <c r="C19" s="121" t="s">
        <v>1669</v>
      </c>
      <c r="D19" s="121" t="s">
        <v>876</v>
      </c>
      <c r="E19" s="121" t="s">
        <v>3002</v>
      </c>
      <c r="F19" s="121" t="s">
        <v>2857</v>
      </c>
      <c r="G19" s="121" t="s">
        <v>3003</v>
      </c>
      <c r="H19" s="122" t="n">
        <v>32</v>
      </c>
      <c r="I19" s="122" t="n">
        <v>32</v>
      </c>
      <c r="J19" s="121" t="s">
        <v>3004</v>
      </c>
      <c r="K19" s="122" t="n">
        <v>9</v>
      </c>
      <c r="L19" s="121" t="s">
        <v>3005</v>
      </c>
      <c r="M19" s="122" t="n">
        <v>7</v>
      </c>
      <c r="N19" s="121" t="s">
        <v>2836</v>
      </c>
      <c r="O19" s="122" t="n">
        <v>0</v>
      </c>
      <c r="P19" s="122" t="n">
        <v>0</v>
      </c>
      <c r="Q19" s="122" t="n">
        <f aca="false">IF(F19="主角色提议",1,0)</f>
        <v>1</v>
      </c>
      <c r="R19" s="122" t="n">
        <f aca="false">IF(F19="非合同CIS",1,0)</f>
        <v>0</v>
      </c>
      <c r="S19" s="122" t="n">
        <f aca="false">IF(F19="映射保留",1,0)</f>
        <v>0</v>
      </c>
      <c r="T19" s="122" t="n">
        <v>1</v>
      </c>
      <c r="U19" s="121" t="s">
        <v>3006</v>
      </c>
      <c r="V19" s="121" t="s">
        <v>3007</v>
      </c>
      <c r="W19" s="121" t="s">
        <v>3008</v>
      </c>
      <c r="X19" s="121" t="s">
        <v>3009</v>
      </c>
      <c r="Y19" s="121" t="s">
        <v>3010</v>
      </c>
      <c r="Z19" s="121"/>
      <c r="AA19" s="121" t="str">
        <f aca="false">HYPERLINK("https://chatgpt.com/api/library/files/libfile_f096861615788191b2089dd752505c74/download","B16私有元数据包")</f>
        <v>B16私有元数据包</v>
      </c>
      <c r="AB19" s="121" t="s">
        <v>2842</v>
      </c>
      <c r="AC19" s="121" t="s">
        <v>3011</v>
      </c>
      <c r="AD19" s="123" t="n">
        <v>46321.332644919</v>
      </c>
      <c r="AE19" s="123" t="n">
        <v>46321.3461545833</v>
      </c>
      <c r="AF19" s="123" t="n">
        <v>46321.3670567477</v>
      </c>
      <c r="AG19" s="121" t="s">
        <v>3012</v>
      </c>
      <c r="AH19" s="121" t="str">
        <f aca="false">IF(AND(AI19="匹配",LEN(V19)=64,J19&lt;&gt;"",L19&lt;&gt;"",K19&gt;0,M19&gt;0,AD19&gt;0,AE19&gt;0,AF19&gt;0,AG19&lt;&gt;"",N19="待全文",O19=0,P19=0,Q19+R19+S19=1),"角色已验收","需检查证据")</f>
        <v>角色已验收</v>
      </c>
      <c r="AI19" s="121" t="str">
        <f aca="false">IF(COUNTIF($A$2:$A$91,A19)=1,"匹配","缺范围或重复")</f>
        <v>匹配</v>
      </c>
    </row>
    <row r="20" customFormat="false" ht="174" hidden="false" customHeight="true" outlineLevel="0" collapsed="false">
      <c r="A20" s="121" t="s">
        <v>3013</v>
      </c>
      <c r="B20" s="121" t="s">
        <v>232</v>
      </c>
      <c r="C20" s="121" t="s">
        <v>1669</v>
      </c>
      <c r="D20" s="121" t="s">
        <v>876</v>
      </c>
      <c r="E20" s="121" t="s">
        <v>3014</v>
      </c>
      <c r="F20" s="121" t="s">
        <v>2857</v>
      </c>
      <c r="G20" s="121" t="s">
        <v>3003</v>
      </c>
      <c r="H20" s="122" t="n">
        <v>22</v>
      </c>
      <c r="I20" s="122" t="n">
        <v>22</v>
      </c>
      <c r="J20" s="121" t="s">
        <v>3015</v>
      </c>
      <c r="K20" s="122" t="n">
        <v>11</v>
      </c>
      <c r="L20" s="121" t="s">
        <v>3016</v>
      </c>
      <c r="M20" s="122" t="n">
        <v>9</v>
      </c>
      <c r="N20" s="121" t="s">
        <v>2836</v>
      </c>
      <c r="O20" s="122" t="n">
        <v>0</v>
      </c>
      <c r="P20" s="122" t="n">
        <v>0</v>
      </c>
      <c r="Q20" s="122" t="n">
        <f aca="false">IF(F20="主角色提议",1,0)</f>
        <v>1</v>
      </c>
      <c r="R20" s="122" t="n">
        <f aca="false">IF(F20="非合同CIS",1,0)</f>
        <v>0</v>
      </c>
      <c r="S20" s="122" t="n">
        <f aca="false">IF(F20="映射保留",1,0)</f>
        <v>0</v>
      </c>
      <c r="T20" s="122" t="n">
        <v>1</v>
      </c>
      <c r="U20" s="121" t="s">
        <v>3017</v>
      </c>
      <c r="V20" s="121" t="s">
        <v>3018</v>
      </c>
      <c r="W20" s="121" t="s">
        <v>3019</v>
      </c>
      <c r="X20" s="121" t="s">
        <v>3020</v>
      </c>
      <c r="Y20" s="121" t="s">
        <v>3021</v>
      </c>
      <c r="Z20" s="121"/>
      <c r="AA20" s="121" t="str">
        <f aca="false">HYPERLINK("https://chatgpt.com/api/library/files/libfile_f096861615788191b2089dd752505c74/download","B16私有元数据包")</f>
        <v>B16私有元数据包</v>
      </c>
      <c r="AB20" s="121" t="s">
        <v>2842</v>
      </c>
      <c r="AC20" s="121" t="s">
        <v>3022</v>
      </c>
      <c r="AD20" s="123" t="n">
        <v>46321.332644919</v>
      </c>
      <c r="AE20" s="123" t="n">
        <v>46321.3461545833</v>
      </c>
      <c r="AF20" s="123" t="n">
        <v>46321.3670567477</v>
      </c>
      <c r="AG20" s="121" t="s">
        <v>3023</v>
      </c>
      <c r="AH20" s="121" t="str">
        <f aca="false">IF(AND(AI20="匹配",LEN(V20)=64,J20&lt;&gt;"",L20&lt;&gt;"",K20&gt;0,M20&gt;0,AD20&gt;0,AE20&gt;0,AF20&gt;0,AG20&lt;&gt;"",N20="待全文",O20=0,P20=0,Q20+R20+S20=1),"角色已验收","需检查证据")</f>
        <v>角色已验收</v>
      </c>
      <c r="AI20" s="121" t="str">
        <f aca="false">IF(COUNTIF($A$2:$A$91,A20)=1,"匹配","缺范围或重复")</f>
        <v>匹配</v>
      </c>
    </row>
    <row r="21" customFormat="false" ht="110" hidden="false" customHeight="true" outlineLevel="0" collapsed="false">
      <c r="A21" s="121" t="s">
        <v>3024</v>
      </c>
      <c r="B21" s="121" t="s">
        <v>232</v>
      </c>
      <c r="C21" s="121" t="s">
        <v>1669</v>
      </c>
      <c r="D21" s="121" t="s">
        <v>876</v>
      </c>
      <c r="E21" s="121" t="s">
        <v>3025</v>
      </c>
      <c r="F21" s="121" t="s">
        <v>2857</v>
      </c>
      <c r="G21" s="121" t="s">
        <v>2946</v>
      </c>
      <c r="H21" s="122" t="n">
        <v>32</v>
      </c>
      <c r="I21" s="122" t="n">
        <v>32</v>
      </c>
      <c r="J21" s="121" t="s">
        <v>3004</v>
      </c>
      <c r="K21" s="122" t="n">
        <v>9</v>
      </c>
      <c r="L21" s="121" t="s">
        <v>3026</v>
      </c>
      <c r="M21" s="122" t="n">
        <v>7</v>
      </c>
      <c r="N21" s="121" t="s">
        <v>2836</v>
      </c>
      <c r="O21" s="122" t="n">
        <v>0</v>
      </c>
      <c r="P21" s="122" t="n">
        <v>0</v>
      </c>
      <c r="Q21" s="122" t="n">
        <f aca="false">IF(F21="主角色提议",1,0)</f>
        <v>1</v>
      </c>
      <c r="R21" s="122" t="n">
        <f aca="false">IF(F21="非合同CIS",1,0)</f>
        <v>0</v>
      </c>
      <c r="S21" s="122" t="n">
        <f aca="false">IF(F21="映射保留",1,0)</f>
        <v>0</v>
      </c>
      <c r="T21" s="122" t="n">
        <v>1</v>
      </c>
      <c r="U21" s="121" t="s">
        <v>3027</v>
      </c>
      <c r="V21" s="121" t="s">
        <v>3028</v>
      </c>
      <c r="W21" s="121" t="s">
        <v>3029</v>
      </c>
      <c r="X21" s="121" t="s">
        <v>3030</v>
      </c>
      <c r="Y21" s="121" t="s">
        <v>3031</v>
      </c>
      <c r="Z21" s="121"/>
      <c r="AA21" s="121" t="str">
        <f aca="false">HYPERLINK("https://chatgpt.com/api/library/files/libfile_f096861615788191b2089dd752505c74/download","B16私有元数据包")</f>
        <v>B16私有元数据包</v>
      </c>
      <c r="AB21" s="121" t="s">
        <v>2842</v>
      </c>
      <c r="AC21" s="121" t="s">
        <v>3032</v>
      </c>
      <c r="AD21" s="123" t="n">
        <v>46321.332644919</v>
      </c>
      <c r="AE21" s="123" t="n">
        <v>46321.3461545833</v>
      </c>
      <c r="AF21" s="123" t="n">
        <v>46321.3670567477</v>
      </c>
      <c r="AG21" s="121" t="s">
        <v>3033</v>
      </c>
      <c r="AH21" s="121" t="str">
        <f aca="false">IF(AND(AI21="匹配",LEN(V21)=64,J21&lt;&gt;"",L21&lt;&gt;"",K21&gt;0,M21&gt;0,AD21&gt;0,AE21&gt;0,AF21&gt;0,AG21&lt;&gt;"",N21="待全文",O21=0,P21=0,Q21+R21+S21=1),"角色已验收","需检查证据")</f>
        <v>角色已验收</v>
      </c>
      <c r="AI21" s="121" t="str">
        <f aca="false">IF(COUNTIF($A$2:$A$91,A21)=1,"匹配","缺范围或重复")</f>
        <v>匹配</v>
      </c>
    </row>
    <row r="22" customFormat="false" ht="142" hidden="false" customHeight="true" outlineLevel="0" collapsed="false">
      <c r="A22" s="121" t="s">
        <v>3034</v>
      </c>
      <c r="B22" s="121" t="s">
        <v>232</v>
      </c>
      <c r="C22" s="121" t="s">
        <v>1669</v>
      </c>
      <c r="D22" s="121" t="s">
        <v>876</v>
      </c>
      <c r="E22" s="121" t="s">
        <v>3035</v>
      </c>
      <c r="F22" s="121" t="s">
        <v>2857</v>
      </c>
      <c r="G22" s="121" t="s">
        <v>3003</v>
      </c>
      <c r="H22" s="122" t="n">
        <v>89</v>
      </c>
      <c r="I22" s="122" t="n">
        <v>89</v>
      </c>
      <c r="J22" s="121" t="s">
        <v>3036</v>
      </c>
      <c r="K22" s="122" t="n">
        <v>16</v>
      </c>
      <c r="L22" s="121" t="s">
        <v>3037</v>
      </c>
      <c r="M22" s="122" t="n">
        <v>7</v>
      </c>
      <c r="N22" s="121" t="s">
        <v>2836</v>
      </c>
      <c r="O22" s="122" t="n">
        <v>0</v>
      </c>
      <c r="P22" s="122" t="n">
        <v>0</v>
      </c>
      <c r="Q22" s="122" t="n">
        <f aca="false">IF(F22="主角色提议",1,0)</f>
        <v>1</v>
      </c>
      <c r="R22" s="122" t="n">
        <f aca="false">IF(F22="非合同CIS",1,0)</f>
        <v>0</v>
      </c>
      <c r="S22" s="122" t="n">
        <f aca="false">IF(F22="映射保留",1,0)</f>
        <v>0</v>
      </c>
      <c r="T22" s="122" t="n">
        <v>1</v>
      </c>
      <c r="U22" s="121" t="s">
        <v>3038</v>
      </c>
      <c r="V22" s="121" t="s">
        <v>3039</v>
      </c>
      <c r="W22" s="121" t="s">
        <v>3040</v>
      </c>
      <c r="X22" s="121" t="s">
        <v>3041</v>
      </c>
      <c r="Y22" s="121" t="s">
        <v>3042</v>
      </c>
      <c r="Z22" s="121"/>
      <c r="AA22" s="121" t="str">
        <f aca="false">HYPERLINK("https://chatgpt.com/api/library/files/libfile_f096861615788191b2089dd752505c74/download","B16私有元数据包")</f>
        <v>B16私有元数据包</v>
      </c>
      <c r="AB22" s="121" t="s">
        <v>2842</v>
      </c>
      <c r="AC22" s="121" t="s">
        <v>3043</v>
      </c>
      <c r="AD22" s="123" t="n">
        <v>46321.332644919</v>
      </c>
      <c r="AE22" s="123" t="n">
        <v>46321.3461545833</v>
      </c>
      <c r="AF22" s="123" t="n">
        <v>46321.3670567477</v>
      </c>
      <c r="AG22" s="121" t="s">
        <v>3044</v>
      </c>
      <c r="AH22" s="121" t="str">
        <f aca="false">IF(AND(AI22="匹配",LEN(V22)=64,J22&lt;&gt;"",L22&lt;&gt;"",K22&gt;0,M22&gt;0,AD22&gt;0,AE22&gt;0,AF22&gt;0,AG22&lt;&gt;"",N22="待全文",O22=0,P22=0,Q22+R22+S22=1),"角色已验收","需检查证据")</f>
        <v>角色已验收</v>
      </c>
      <c r="AI22" s="121" t="str">
        <f aca="false">IF(COUNTIF($A$2:$A$91,A22)=1,"匹配","缺范围或重复")</f>
        <v>匹配</v>
      </c>
    </row>
    <row r="23" customFormat="false" ht="110" hidden="false" customHeight="true" outlineLevel="0" collapsed="false">
      <c r="A23" s="121" t="s">
        <v>3045</v>
      </c>
      <c r="B23" s="121" t="s">
        <v>232</v>
      </c>
      <c r="C23" s="121" t="s">
        <v>1669</v>
      </c>
      <c r="D23" s="121" t="s">
        <v>876</v>
      </c>
      <c r="E23" s="121" t="s">
        <v>3046</v>
      </c>
      <c r="F23" s="121" t="s">
        <v>2857</v>
      </c>
      <c r="G23" s="121" t="s">
        <v>2946</v>
      </c>
      <c r="H23" s="122" t="n">
        <v>158</v>
      </c>
      <c r="I23" s="122" t="n">
        <v>158</v>
      </c>
      <c r="J23" s="121" t="s">
        <v>3047</v>
      </c>
      <c r="K23" s="122" t="n">
        <v>15</v>
      </c>
      <c r="L23" s="121" t="s">
        <v>3048</v>
      </c>
      <c r="M23" s="122" t="n">
        <v>6</v>
      </c>
      <c r="N23" s="121" t="s">
        <v>2836</v>
      </c>
      <c r="O23" s="122" t="n">
        <v>0</v>
      </c>
      <c r="P23" s="122" t="n">
        <v>0</v>
      </c>
      <c r="Q23" s="122" t="n">
        <f aca="false">IF(F23="主角色提议",1,0)</f>
        <v>1</v>
      </c>
      <c r="R23" s="122" t="n">
        <f aca="false">IF(F23="非合同CIS",1,0)</f>
        <v>0</v>
      </c>
      <c r="S23" s="122" t="n">
        <f aca="false">IF(F23="映射保留",1,0)</f>
        <v>0</v>
      </c>
      <c r="T23" s="122" t="n">
        <v>1</v>
      </c>
      <c r="U23" s="121" t="s">
        <v>3049</v>
      </c>
      <c r="V23" s="121" t="s">
        <v>3050</v>
      </c>
      <c r="W23" s="121" t="s">
        <v>3051</v>
      </c>
      <c r="X23" s="121" t="s">
        <v>3052</v>
      </c>
      <c r="Y23" s="121" t="s">
        <v>3042</v>
      </c>
      <c r="Z23" s="121"/>
      <c r="AA23" s="121" t="str">
        <f aca="false">HYPERLINK("https://chatgpt.com/api/library/files/libfile_f096861615788191b2089dd752505c74/download","B16私有元数据包")</f>
        <v>B16私有元数据包</v>
      </c>
      <c r="AB23" s="121" t="s">
        <v>2842</v>
      </c>
      <c r="AC23" s="121" t="s">
        <v>3053</v>
      </c>
      <c r="AD23" s="123" t="n">
        <v>46321.332644919</v>
      </c>
      <c r="AE23" s="123" t="n">
        <v>46321.3461545833</v>
      </c>
      <c r="AF23" s="123" t="n">
        <v>46321.3670567477</v>
      </c>
      <c r="AG23" s="121" t="s">
        <v>3054</v>
      </c>
      <c r="AH23" s="121" t="str">
        <f aca="false">IF(AND(AI23="匹配",LEN(V23)=64,J23&lt;&gt;"",L23&lt;&gt;"",K23&gt;0,M23&gt;0,AD23&gt;0,AE23&gt;0,AF23&gt;0,AG23&lt;&gt;"",N23="待全文",O23=0,P23=0,Q23+R23+S23=1),"角色已验收","需检查证据")</f>
        <v>角色已验收</v>
      </c>
      <c r="AI23" s="121" t="str">
        <f aca="false">IF(COUNTIF($A$2:$A$91,A23)=1,"匹配","缺范围或重复")</f>
        <v>匹配</v>
      </c>
    </row>
    <row r="24" customFormat="false" ht="110" hidden="false" customHeight="true" outlineLevel="0" collapsed="false">
      <c r="A24" s="121" t="s">
        <v>3055</v>
      </c>
      <c r="B24" s="121" t="s">
        <v>232</v>
      </c>
      <c r="C24" s="121" t="s">
        <v>1669</v>
      </c>
      <c r="D24" s="121" t="s">
        <v>876</v>
      </c>
      <c r="E24" s="121" t="s">
        <v>3056</v>
      </c>
      <c r="F24" s="121" t="s">
        <v>2857</v>
      </c>
      <c r="G24" s="121" t="s">
        <v>2946</v>
      </c>
      <c r="H24" s="122" t="n">
        <v>82</v>
      </c>
      <c r="I24" s="122" t="n">
        <v>82</v>
      </c>
      <c r="J24" s="121" t="s">
        <v>3057</v>
      </c>
      <c r="K24" s="122" t="n">
        <v>10</v>
      </c>
      <c r="L24" s="121" t="s">
        <v>3058</v>
      </c>
      <c r="M24" s="122" t="n">
        <v>4</v>
      </c>
      <c r="N24" s="121" t="s">
        <v>2836</v>
      </c>
      <c r="O24" s="122" t="n">
        <v>0</v>
      </c>
      <c r="P24" s="122" t="n">
        <v>0</v>
      </c>
      <c r="Q24" s="122" t="n">
        <f aca="false">IF(F24="主角色提议",1,0)</f>
        <v>1</v>
      </c>
      <c r="R24" s="122" t="n">
        <f aca="false">IF(F24="非合同CIS",1,0)</f>
        <v>0</v>
      </c>
      <c r="S24" s="122" t="n">
        <f aca="false">IF(F24="映射保留",1,0)</f>
        <v>0</v>
      </c>
      <c r="T24" s="122" t="n">
        <v>1</v>
      </c>
      <c r="U24" s="121" t="s">
        <v>3059</v>
      </c>
      <c r="V24" s="121" t="s">
        <v>3060</v>
      </c>
      <c r="W24" s="121" t="s">
        <v>3061</v>
      </c>
      <c r="X24" s="121" t="s">
        <v>3062</v>
      </c>
      <c r="Y24" s="121" t="s">
        <v>3042</v>
      </c>
      <c r="Z24" s="121"/>
      <c r="AA24" s="121" t="str">
        <f aca="false">HYPERLINK("https://chatgpt.com/api/library/files/libfile_f096861615788191b2089dd752505c74/download","B16私有元数据包")</f>
        <v>B16私有元数据包</v>
      </c>
      <c r="AB24" s="121" t="s">
        <v>2842</v>
      </c>
      <c r="AC24" s="121" t="s">
        <v>3063</v>
      </c>
      <c r="AD24" s="123" t="n">
        <v>46321.332644919</v>
      </c>
      <c r="AE24" s="123" t="n">
        <v>46321.3461545833</v>
      </c>
      <c r="AF24" s="123" t="n">
        <v>46321.3670567477</v>
      </c>
      <c r="AG24" s="121" t="s">
        <v>3064</v>
      </c>
      <c r="AH24" s="121" t="str">
        <f aca="false">IF(AND(AI24="匹配",LEN(V24)=64,J24&lt;&gt;"",L24&lt;&gt;"",K24&gt;0,M24&gt;0,AD24&gt;0,AE24&gt;0,AF24&gt;0,AG24&lt;&gt;"",N24="待全文",O24=0,P24=0,Q24+R24+S24=1),"角色已验收","需检查证据")</f>
        <v>角色已验收</v>
      </c>
      <c r="AI24" s="121" t="str">
        <f aca="false">IF(COUNTIF($A$2:$A$91,A24)=1,"匹配","缺范围或重复")</f>
        <v>匹配</v>
      </c>
    </row>
    <row r="25" customFormat="false" ht="110" hidden="false" customHeight="true" outlineLevel="0" collapsed="false">
      <c r="A25" s="121" t="s">
        <v>3065</v>
      </c>
      <c r="B25" s="121" t="s">
        <v>232</v>
      </c>
      <c r="C25" s="121" t="s">
        <v>1669</v>
      </c>
      <c r="D25" s="121" t="s">
        <v>876</v>
      </c>
      <c r="E25" s="121" t="s">
        <v>3066</v>
      </c>
      <c r="F25" s="121" t="s">
        <v>2857</v>
      </c>
      <c r="G25" s="121" t="s">
        <v>2946</v>
      </c>
      <c r="H25" s="122" t="n">
        <v>67</v>
      </c>
      <c r="I25" s="122" t="n">
        <v>67</v>
      </c>
      <c r="J25" s="121" t="s">
        <v>3067</v>
      </c>
      <c r="K25" s="122" t="n">
        <v>11</v>
      </c>
      <c r="L25" s="121" t="s">
        <v>3068</v>
      </c>
      <c r="M25" s="122" t="n">
        <v>6</v>
      </c>
      <c r="N25" s="121" t="s">
        <v>2836</v>
      </c>
      <c r="O25" s="122" t="n">
        <v>0</v>
      </c>
      <c r="P25" s="122" t="n">
        <v>0</v>
      </c>
      <c r="Q25" s="122" t="n">
        <f aca="false">IF(F25="主角色提议",1,0)</f>
        <v>1</v>
      </c>
      <c r="R25" s="122" t="n">
        <f aca="false">IF(F25="非合同CIS",1,0)</f>
        <v>0</v>
      </c>
      <c r="S25" s="122" t="n">
        <f aca="false">IF(F25="映射保留",1,0)</f>
        <v>0</v>
      </c>
      <c r="T25" s="122" t="n">
        <v>1</v>
      </c>
      <c r="U25" s="121" t="s">
        <v>3069</v>
      </c>
      <c r="V25" s="121" t="s">
        <v>3070</v>
      </c>
      <c r="W25" s="121" t="s">
        <v>3071</v>
      </c>
      <c r="X25" s="121" t="s">
        <v>3072</v>
      </c>
      <c r="Y25" s="121" t="s">
        <v>3042</v>
      </c>
      <c r="Z25" s="121"/>
      <c r="AA25" s="121" t="str">
        <f aca="false">HYPERLINK("https://chatgpt.com/api/library/files/libfile_f096861615788191b2089dd752505c74/download","B16私有元数据包")</f>
        <v>B16私有元数据包</v>
      </c>
      <c r="AB25" s="121" t="s">
        <v>2842</v>
      </c>
      <c r="AC25" s="121" t="s">
        <v>3073</v>
      </c>
      <c r="AD25" s="123" t="n">
        <v>46321.332644919</v>
      </c>
      <c r="AE25" s="123" t="n">
        <v>46321.3461545833</v>
      </c>
      <c r="AF25" s="123" t="n">
        <v>46321.3670567477</v>
      </c>
      <c r="AG25" s="121" t="s">
        <v>3074</v>
      </c>
      <c r="AH25" s="121" t="str">
        <f aca="false">IF(AND(AI25="匹配",LEN(V25)=64,J25&lt;&gt;"",L25&lt;&gt;"",K25&gt;0,M25&gt;0,AD25&gt;0,AE25&gt;0,AF25&gt;0,AG25&lt;&gt;"",N25="待全文",O25=0,P25=0,Q25+R25+S25=1),"角色已验收","需检查证据")</f>
        <v>角色已验收</v>
      </c>
      <c r="AI25" s="121" t="str">
        <f aca="false">IF(COUNTIF($A$2:$A$91,A25)=1,"匹配","缺范围或重复")</f>
        <v>匹配</v>
      </c>
    </row>
    <row r="26" customFormat="false" ht="110" hidden="false" customHeight="true" outlineLevel="0" collapsed="false">
      <c r="A26" s="121" t="s">
        <v>3075</v>
      </c>
      <c r="B26" s="121" t="s">
        <v>232</v>
      </c>
      <c r="C26" s="121" t="s">
        <v>1669</v>
      </c>
      <c r="D26" s="121" t="s">
        <v>876</v>
      </c>
      <c r="E26" s="121" t="s">
        <v>3076</v>
      </c>
      <c r="F26" s="121" t="s">
        <v>2857</v>
      </c>
      <c r="G26" s="121" t="s">
        <v>2946</v>
      </c>
      <c r="H26" s="122" t="n">
        <v>20</v>
      </c>
      <c r="I26" s="122" t="n">
        <v>20</v>
      </c>
      <c r="J26" s="121" t="s">
        <v>3077</v>
      </c>
      <c r="K26" s="122" t="n">
        <v>7</v>
      </c>
      <c r="L26" s="121" t="s">
        <v>3078</v>
      </c>
      <c r="M26" s="122" t="n">
        <v>6</v>
      </c>
      <c r="N26" s="121" t="s">
        <v>2836</v>
      </c>
      <c r="O26" s="122" t="n">
        <v>0</v>
      </c>
      <c r="P26" s="122" t="n">
        <v>0</v>
      </c>
      <c r="Q26" s="122" t="n">
        <f aca="false">IF(F26="主角色提议",1,0)</f>
        <v>1</v>
      </c>
      <c r="R26" s="122" t="n">
        <f aca="false">IF(F26="非合同CIS",1,0)</f>
        <v>0</v>
      </c>
      <c r="S26" s="122" t="n">
        <f aca="false">IF(F26="映射保留",1,0)</f>
        <v>0</v>
      </c>
      <c r="T26" s="122" t="n">
        <v>1</v>
      </c>
      <c r="U26" s="121" t="s">
        <v>3079</v>
      </c>
      <c r="V26" s="121" t="s">
        <v>3080</v>
      </c>
      <c r="W26" s="121" t="s">
        <v>3081</v>
      </c>
      <c r="X26" s="121" t="s">
        <v>3082</v>
      </c>
      <c r="Y26" s="121" t="s">
        <v>3042</v>
      </c>
      <c r="Z26" s="121"/>
      <c r="AA26" s="121" t="str">
        <f aca="false">HYPERLINK("https://chatgpt.com/api/library/files/libfile_f096861615788191b2089dd752505c74/download","B16私有元数据包")</f>
        <v>B16私有元数据包</v>
      </c>
      <c r="AB26" s="121" t="s">
        <v>2842</v>
      </c>
      <c r="AC26" s="121" t="s">
        <v>3083</v>
      </c>
      <c r="AD26" s="123" t="n">
        <v>46321.332644919</v>
      </c>
      <c r="AE26" s="123" t="n">
        <v>46321.3461545833</v>
      </c>
      <c r="AF26" s="123" t="n">
        <v>46321.3670567477</v>
      </c>
      <c r="AG26" s="121" t="s">
        <v>3084</v>
      </c>
      <c r="AH26" s="121" t="str">
        <f aca="false">IF(AND(AI26="匹配",LEN(V26)=64,J26&lt;&gt;"",L26&lt;&gt;"",K26&gt;0,M26&gt;0,AD26&gt;0,AE26&gt;0,AF26&gt;0,AG26&lt;&gt;"",N26="待全文",O26=0,P26=0,Q26+R26+S26=1),"角色已验收","需检查证据")</f>
        <v>角色已验收</v>
      </c>
      <c r="AI26" s="121" t="str">
        <f aca="false">IF(COUNTIF($A$2:$A$91,A26)=1,"匹配","缺范围或重复")</f>
        <v>匹配</v>
      </c>
    </row>
    <row r="27" customFormat="false" ht="100" hidden="false" customHeight="true" outlineLevel="0" collapsed="false">
      <c r="A27" s="121" t="s">
        <v>3085</v>
      </c>
      <c r="B27" s="121" t="s">
        <v>232</v>
      </c>
      <c r="C27" s="121" t="s">
        <v>1669</v>
      </c>
      <c r="D27" s="121" t="s">
        <v>883</v>
      </c>
      <c r="E27" s="121" t="s">
        <v>3086</v>
      </c>
      <c r="F27" s="121" t="s">
        <v>2857</v>
      </c>
      <c r="G27" s="121" t="s">
        <v>3087</v>
      </c>
      <c r="H27" s="122" t="n">
        <v>53</v>
      </c>
      <c r="I27" s="122" t="n">
        <v>53</v>
      </c>
      <c r="J27" s="121" t="s">
        <v>3088</v>
      </c>
      <c r="K27" s="122" t="n">
        <v>7</v>
      </c>
      <c r="L27" s="121" t="s">
        <v>3089</v>
      </c>
      <c r="M27" s="122" t="n">
        <v>5</v>
      </c>
      <c r="N27" s="121" t="s">
        <v>2836</v>
      </c>
      <c r="O27" s="122" t="n">
        <v>0</v>
      </c>
      <c r="P27" s="122" t="n">
        <v>0</v>
      </c>
      <c r="Q27" s="122" t="n">
        <f aca="false">IF(F27="主角色提议",1,0)</f>
        <v>1</v>
      </c>
      <c r="R27" s="122" t="n">
        <f aca="false">IF(F27="非合同CIS",1,0)</f>
        <v>0</v>
      </c>
      <c r="S27" s="122" t="n">
        <f aca="false">IF(F27="映射保留",1,0)</f>
        <v>0</v>
      </c>
      <c r="T27" s="122" t="n">
        <v>1</v>
      </c>
      <c r="U27" s="121" t="s">
        <v>3090</v>
      </c>
      <c r="V27" s="121" t="s">
        <v>3091</v>
      </c>
      <c r="W27" s="121" t="s">
        <v>3092</v>
      </c>
      <c r="X27" s="121" t="s">
        <v>3093</v>
      </c>
      <c r="Y27" s="121" t="s">
        <v>3042</v>
      </c>
      <c r="Z27" s="121"/>
      <c r="AA27" s="121" t="str">
        <f aca="false">HYPERLINK("https://chatgpt.com/api/library/files/libfile_f096861615788191b2089dd752505c74/download","B16私有元数据包")</f>
        <v>B16私有元数据包</v>
      </c>
      <c r="AB27" s="121" t="s">
        <v>2842</v>
      </c>
      <c r="AC27" s="121" t="s">
        <v>3094</v>
      </c>
      <c r="AD27" s="123" t="n">
        <v>46321.332644919</v>
      </c>
      <c r="AE27" s="123" t="n">
        <v>46321.3461545833</v>
      </c>
      <c r="AF27" s="123" t="n">
        <v>46321.3670567477</v>
      </c>
      <c r="AG27" s="121" t="s">
        <v>3095</v>
      </c>
      <c r="AH27" s="121" t="str">
        <f aca="false">IF(AND(AI27="匹配",LEN(V27)=64,J27&lt;&gt;"",L27&lt;&gt;"",K27&gt;0,M27&gt;0,AD27&gt;0,AE27&gt;0,AF27&gt;0,AG27&lt;&gt;"",N27="待全文",O27=0,P27=0,Q27+R27+S27=1),"角色已验收","需检查证据")</f>
        <v>角色已验收</v>
      </c>
      <c r="AI27" s="121" t="str">
        <f aca="false">IF(COUNTIF($A$2:$A$91,A27)=1,"匹配","缺范围或重复")</f>
        <v>匹配</v>
      </c>
    </row>
    <row r="28" customFormat="false" ht="100" hidden="false" customHeight="true" outlineLevel="0" collapsed="false">
      <c r="A28" s="121" t="s">
        <v>3096</v>
      </c>
      <c r="B28" s="121" t="s">
        <v>232</v>
      </c>
      <c r="C28" s="121" t="s">
        <v>1669</v>
      </c>
      <c r="D28" s="121" t="s">
        <v>883</v>
      </c>
      <c r="E28" s="121" t="s">
        <v>3097</v>
      </c>
      <c r="F28" s="121" t="s">
        <v>2857</v>
      </c>
      <c r="G28" s="121" t="s">
        <v>3087</v>
      </c>
      <c r="H28" s="122" t="n">
        <v>35</v>
      </c>
      <c r="I28" s="122" t="n">
        <v>35</v>
      </c>
      <c r="J28" s="121" t="s">
        <v>3098</v>
      </c>
      <c r="K28" s="122" t="n">
        <v>9</v>
      </c>
      <c r="L28" s="121" t="s">
        <v>3099</v>
      </c>
      <c r="M28" s="122" t="n">
        <v>5</v>
      </c>
      <c r="N28" s="121" t="s">
        <v>2836</v>
      </c>
      <c r="O28" s="122" t="n">
        <v>0</v>
      </c>
      <c r="P28" s="122" t="n">
        <v>0</v>
      </c>
      <c r="Q28" s="122" t="n">
        <f aca="false">IF(F28="主角色提议",1,0)</f>
        <v>1</v>
      </c>
      <c r="R28" s="122" t="n">
        <f aca="false">IF(F28="非合同CIS",1,0)</f>
        <v>0</v>
      </c>
      <c r="S28" s="122" t="n">
        <f aca="false">IF(F28="映射保留",1,0)</f>
        <v>0</v>
      </c>
      <c r="T28" s="122" t="n">
        <v>1</v>
      </c>
      <c r="U28" s="121" t="s">
        <v>3100</v>
      </c>
      <c r="V28" s="121" t="s">
        <v>3101</v>
      </c>
      <c r="W28" s="121" t="s">
        <v>3102</v>
      </c>
      <c r="X28" s="121" t="s">
        <v>3103</v>
      </c>
      <c r="Y28" s="121" t="s">
        <v>3042</v>
      </c>
      <c r="Z28" s="121"/>
      <c r="AA28" s="121" t="str">
        <f aca="false">HYPERLINK("https://chatgpt.com/api/library/files/libfile_f096861615788191b2089dd752505c74/download","B16私有元数据包")</f>
        <v>B16私有元数据包</v>
      </c>
      <c r="AB28" s="121" t="s">
        <v>2842</v>
      </c>
      <c r="AC28" s="121" t="s">
        <v>3104</v>
      </c>
      <c r="AD28" s="123" t="n">
        <v>46321.332644919</v>
      </c>
      <c r="AE28" s="123" t="n">
        <v>46321.3461545833</v>
      </c>
      <c r="AF28" s="123" t="n">
        <v>46321.3670567477</v>
      </c>
      <c r="AG28" s="121" t="s">
        <v>3105</v>
      </c>
      <c r="AH28" s="121" t="str">
        <f aca="false">IF(AND(AI28="匹配",LEN(V28)=64,J28&lt;&gt;"",L28&lt;&gt;"",K28&gt;0,M28&gt;0,AD28&gt;0,AE28&gt;0,AF28&gt;0,AG28&lt;&gt;"",N28="待全文",O28=0,P28=0,Q28+R28+S28=1),"角色已验收","需检查证据")</f>
        <v>角色已验收</v>
      </c>
      <c r="AI28" s="121" t="str">
        <f aca="false">IF(COUNTIF($A$2:$A$91,A28)=1,"匹配","缺范围或重复")</f>
        <v>匹配</v>
      </c>
    </row>
    <row r="29" customFormat="false" ht="126" hidden="false" customHeight="true" outlineLevel="0" collapsed="false">
      <c r="A29" s="121" t="s">
        <v>3106</v>
      </c>
      <c r="B29" s="121" t="s">
        <v>232</v>
      </c>
      <c r="C29" s="121" t="s">
        <v>1669</v>
      </c>
      <c r="D29" s="121" t="s">
        <v>883</v>
      </c>
      <c r="E29" s="121" t="s">
        <v>3107</v>
      </c>
      <c r="F29" s="121" t="s">
        <v>2857</v>
      </c>
      <c r="G29" s="121" t="s">
        <v>3087</v>
      </c>
      <c r="H29" s="122" t="n">
        <v>26</v>
      </c>
      <c r="I29" s="122" t="n">
        <v>26</v>
      </c>
      <c r="J29" s="121" t="s">
        <v>3108</v>
      </c>
      <c r="K29" s="122" t="n">
        <v>8</v>
      </c>
      <c r="L29" s="121" t="s">
        <v>3109</v>
      </c>
      <c r="M29" s="122" t="n">
        <v>6</v>
      </c>
      <c r="N29" s="121" t="s">
        <v>2836</v>
      </c>
      <c r="O29" s="122" t="n">
        <v>0</v>
      </c>
      <c r="P29" s="122" t="n">
        <v>0</v>
      </c>
      <c r="Q29" s="122" t="n">
        <f aca="false">IF(F29="主角色提议",1,0)</f>
        <v>1</v>
      </c>
      <c r="R29" s="122" t="n">
        <f aca="false">IF(F29="非合同CIS",1,0)</f>
        <v>0</v>
      </c>
      <c r="S29" s="122" t="n">
        <f aca="false">IF(F29="映射保留",1,0)</f>
        <v>0</v>
      </c>
      <c r="T29" s="122" t="n">
        <v>1</v>
      </c>
      <c r="U29" s="121" t="s">
        <v>3110</v>
      </c>
      <c r="V29" s="121" t="s">
        <v>3111</v>
      </c>
      <c r="W29" s="121" t="s">
        <v>3112</v>
      </c>
      <c r="X29" s="121" t="s">
        <v>3113</v>
      </c>
      <c r="Y29" s="121" t="s">
        <v>3042</v>
      </c>
      <c r="Z29" s="121"/>
      <c r="AA29" s="121" t="str">
        <f aca="false">HYPERLINK("https://chatgpt.com/api/library/files/libfile_f096861615788191b2089dd752505c74/download","B16私有元数据包")</f>
        <v>B16私有元数据包</v>
      </c>
      <c r="AB29" s="121" t="s">
        <v>2842</v>
      </c>
      <c r="AC29" s="121" t="s">
        <v>3114</v>
      </c>
      <c r="AD29" s="123" t="n">
        <v>46321.332644919</v>
      </c>
      <c r="AE29" s="123" t="n">
        <v>46321.3461545833</v>
      </c>
      <c r="AF29" s="123" t="n">
        <v>46321.3670567477</v>
      </c>
      <c r="AG29" s="121" t="s">
        <v>3115</v>
      </c>
      <c r="AH29" s="121" t="str">
        <f aca="false">IF(AND(AI29="匹配",LEN(V29)=64,J29&lt;&gt;"",L29&lt;&gt;"",K29&gt;0,M29&gt;0,AD29&gt;0,AE29&gt;0,AF29&gt;0,AG29&lt;&gt;"",N29="待全文",O29=0,P29=0,Q29+R29+S29=1),"角色已验收","需检查证据")</f>
        <v>角色已验收</v>
      </c>
      <c r="AI29" s="121" t="str">
        <f aca="false">IF(COUNTIF($A$2:$A$91,A29)=1,"匹配","缺范围或重复")</f>
        <v>匹配</v>
      </c>
    </row>
    <row r="30" customFormat="false" ht="142" hidden="false" customHeight="true" outlineLevel="0" collapsed="false">
      <c r="A30" s="121" t="s">
        <v>3116</v>
      </c>
      <c r="B30" s="121" t="s">
        <v>232</v>
      </c>
      <c r="C30" s="121" t="s">
        <v>1669</v>
      </c>
      <c r="D30" s="121" t="s">
        <v>883</v>
      </c>
      <c r="E30" s="121" t="s">
        <v>3117</v>
      </c>
      <c r="F30" s="121" t="s">
        <v>2857</v>
      </c>
      <c r="G30" s="121" t="s">
        <v>2858</v>
      </c>
      <c r="H30" s="122" t="n">
        <v>34</v>
      </c>
      <c r="I30" s="122" t="n">
        <v>34</v>
      </c>
      <c r="J30" s="121" t="s">
        <v>3118</v>
      </c>
      <c r="K30" s="122" t="n">
        <v>11</v>
      </c>
      <c r="L30" s="121" t="s">
        <v>3119</v>
      </c>
      <c r="M30" s="122" t="n">
        <v>7</v>
      </c>
      <c r="N30" s="121" t="s">
        <v>2836</v>
      </c>
      <c r="O30" s="122" t="n">
        <v>0</v>
      </c>
      <c r="P30" s="122" t="n">
        <v>0</v>
      </c>
      <c r="Q30" s="122" t="n">
        <f aca="false">IF(F30="主角色提议",1,0)</f>
        <v>1</v>
      </c>
      <c r="R30" s="122" t="n">
        <f aca="false">IF(F30="非合同CIS",1,0)</f>
        <v>0</v>
      </c>
      <c r="S30" s="122" t="n">
        <f aca="false">IF(F30="映射保留",1,0)</f>
        <v>0</v>
      </c>
      <c r="T30" s="122" t="n">
        <v>1</v>
      </c>
      <c r="U30" s="121" t="s">
        <v>3120</v>
      </c>
      <c r="V30" s="121" t="s">
        <v>3121</v>
      </c>
      <c r="W30" s="121" t="s">
        <v>3122</v>
      </c>
      <c r="X30" s="121" t="s">
        <v>3123</v>
      </c>
      <c r="Y30" s="121" t="s">
        <v>3042</v>
      </c>
      <c r="Z30" s="121"/>
      <c r="AA30" s="121" t="str">
        <f aca="false">HYPERLINK("https://chatgpt.com/api/library/files/libfile_f096861615788191b2089dd752505c74/download","B16私有元数据包")</f>
        <v>B16私有元数据包</v>
      </c>
      <c r="AB30" s="121" t="s">
        <v>2842</v>
      </c>
      <c r="AC30" s="121" t="s">
        <v>3124</v>
      </c>
      <c r="AD30" s="123" t="n">
        <v>46321.332644919</v>
      </c>
      <c r="AE30" s="123" t="n">
        <v>46321.3461545833</v>
      </c>
      <c r="AF30" s="123" t="n">
        <v>46321.3670567477</v>
      </c>
      <c r="AG30" s="121" t="s">
        <v>3125</v>
      </c>
      <c r="AH30" s="121" t="str">
        <f aca="false">IF(AND(AI30="匹配",LEN(V30)=64,J30&lt;&gt;"",L30&lt;&gt;"",K30&gt;0,M30&gt;0,AD30&gt;0,AE30&gt;0,AF30&gt;0,AG30&lt;&gt;"",N30="待全文",O30=0,P30=0,Q30+R30+S30=1),"角色已验收","需检查证据")</f>
        <v>角色已验收</v>
      </c>
      <c r="AI30" s="121" t="str">
        <f aca="false">IF(COUNTIF($A$2:$A$91,A30)=1,"匹配","缺范围或重复")</f>
        <v>匹配</v>
      </c>
    </row>
    <row r="31" customFormat="false" ht="126" hidden="false" customHeight="true" outlineLevel="0" collapsed="false">
      <c r="A31" s="121" t="s">
        <v>3126</v>
      </c>
      <c r="B31" s="121" t="s">
        <v>232</v>
      </c>
      <c r="C31" s="121" t="s">
        <v>1669</v>
      </c>
      <c r="D31" s="121" t="s">
        <v>883</v>
      </c>
      <c r="E31" s="121" t="s">
        <v>3127</v>
      </c>
      <c r="F31" s="121" t="s">
        <v>2857</v>
      </c>
      <c r="G31" s="121" t="s">
        <v>3128</v>
      </c>
      <c r="H31" s="122" t="n">
        <v>32</v>
      </c>
      <c r="I31" s="122" t="n">
        <v>32</v>
      </c>
      <c r="J31" s="121" t="s">
        <v>3129</v>
      </c>
      <c r="K31" s="122" t="n">
        <v>9</v>
      </c>
      <c r="L31" s="121" t="s">
        <v>3130</v>
      </c>
      <c r="M31" s="122" t="n">
        <v>6</v>
      </c>
      <c r="N31" s="121" t="s">
        <v>2836</v>
      </c>
      <c r="O31" s="122" t="n">
        <v>0</v>
      </c>
      <c r="P31" s="122" t="n">
        <v>0</v>
      </c>
      <c r="Q31" s="122" t="n">
        <f aca="false">IF(F31="主角色提议",1,0)</f>
        <v>1</v>
      </c>
      <c r="R31" s="122" t="n">
        <f aca="false">IF(F31="非合同CIS",1,0)</f>
        <v>0</v>
      </c>
      <c r="S31" s="122" t="n">
        <f aca="false">IF(F31="映射保留",1,0)</f>
        <v>0</v>
      </c>
      <c r="T31" s="122" t="n">
        <v>1</v>
      </c>
      <c r="U31" s="121" t="s">
        <v>3131</v>
      </c>
      <c r="V31" s="121" t="s">
        <v>3132</v>
      </c>
      <c r="W31" s="121" t="s">
        <v>3133</v>
      </c>
      <c r="X31" s="121" t="s">
        <v>3134</v>
      </c>
      <c r="Y31" s="121" t="s">
        <v>3042</v>
      </c>
      <c r="Z31" s="121"/>
      <c r="AA31" s="121" t="str">
        <f aca="false">HYPERLINK("https://chatgpt.com/api/library/files/libfile_f096861615788191b2089dd752505c74/download","B16私有元数据包")</f>
        <v>B16私有元数据包</v>
      </c>
      <c r="AB31" s="121" t="s">
        <v>2842</v>
      </c>
      <c r="AC31" s="121" t="s">
        <v>3135</v>
      </c>
      <c r="AD31" s="123" t="n">
        <v>46321.332644919</v>
      </c>
      <c r="AE31" s="123" t="n">
        <v>46321.3461545833</v>
      </c>
      <c r="AF31" s="123" t="n">
        <v>46321.3670567477</v>
      </c>
      <c r="AG31" s="121" t="s">
        <v>3136</v>
      </c>
      <c r="AH31" s="121" t="str">
        <f aca="false">IF(AND(AI31="匹配",LEN(V31)=64,J31&lt;&gt;"",L31&lt;&gt;"",K31&gt;0,M31&gt;0,AD31&gt;0,AE31&gt;0,AF31&gt;0,AG31&lt;&gt;"",N31="待全文",O31=0,P31=0,Q31+R31+S31=1),"角色已验收","需检查证据")</f>
        <v>角色已验收</v>
      </c>
      <c r="AI31" s="121" t="str">
        <f aca="false">IF(COUNTIF($A$2:$A$91,A31)=1,"匹配","缺范围或重复")</f>
        <v>匹配</v>
      </c>
    </row>
    <row r="32" customFormat="false" ht="126" hidden="false" customHeight="true" outlineLevel="0" collapsed="false">
      <c r="A32" s="121" t="s">
        <v>3137</v>
      </c>
      <c r="B32" s="121" t="s">
        <v>232</v>
      </c>
      <c r="C32" s="121" t="s">
        <v>1669</v>
      </c>
      <c r="D32" s="121" t="s">
        <v>883</v>
      </c>
      <c r="E32" s="121" t="s">
        <v>3138</v>
      </c>
      <c r="F32" s="121" t="s">
        <v>2857</v>
      </c>
      <c r="G32" s="121" t="s">
        <v>3139</v>
      </c>
      <c r="H32" s="122" t="n">
        <v>46</v>
      </c>
      <c r="I32" s="122" t="n">
        <v>46</v>
      </c>
      <c r="J32" s="121" t="s">
        <v>3140</v>
      </c>
      <c r="K32" s="122" t="n">
        <v>9</v>
      </c>
      <c r="L32" s="121" t="s">
        <v>3141</v>
      </c>
      <c r="M32" s="122" t="n">
        <v>6</v>
      </c>
      <c r="N32" s="121" t="s">
        <v>2836</v>
      </c>
      <c r="O32" s="122" t="n">
        <v>0</v>
      </c>
      <c r="P32" s="122" t="n">
        <v>0</v>
      </c>
      <c r="Q32" s="122" t="n">
        <f aca="false">IF(F32="主角色提议",1,0)</f>
        <v>1</v>
      </c>
      <c r="R32" s="122" t="n">
        <f aca="false">IF(F32="非合同CIS",1,0)</f>
        <v>0</v>
      </c>
      <c r="S32" s="122" t="n">
        <f aca="false">IF(F32="映射保留",1,0)</f>
        <v>0</v>
      </c>
      <c r="T32" s="122" t="n">
        <v>1</v>
      </c>
      <c r="U32" s="121" t="s">
        <v>3142</v>
      </c>
      <c r="V32" s="121" t="s">
        <v>3143</v>
      </c>
      <c r="W32" s="121" t="s">
        <v>3144</v>
      </c>
      <c r="X32" s="121" t="s">
        <v>3145</v>
      </c>
      <c r="Y32" s="121"/>
      <c r="Z32" s="121"/>
      <c r="AA32" s="121" t="str">
        <f aca="false">HYPERLINK("https://chatgpt.com/api/library/files/libfile_f096861615788191b2089dd752505c74/download","B16私有元数据包")</f>
        <v>B16私有元数据包</v>
      </c>
      <c r="AB32" s="121" t="s">
        <v>2842</v>
      </c>
      <c r="AC32" s="121" t="s">
        <v>3146</v>
      </c>
      <c r="AD32" s="123" t="n">
        <v>46321.332644919</v>
      </c>
      <c r="AE32" s="123" t="n">
        <v>46321.3461545833</v>
      </c>
      <c r="AF32" s="123" t="n">
        <v>46321.3670567477</v>
      </c>
      <c r="AG32" s="121" t="s">
        <v>3147</v>
      </c>
      <c r="AH32" s="121" t="str">
        <f aca="false">IF(AND(AI32="匹配",LEN(V32)=64,J32&lt;&gt;"",L32&lt;&gt;"",K32&gt;0,M32&gt;0,AD32&gt;0,AE32&gt;0,AF32&gt;0,AG32&lt;&gt;"",N32="待全文",O32=0,P32=0,Q32+R32+S32=1),"角色已验收","需检查证据")</f>
        <v>角色已验收</v>
      </c>
      <c r="AI32" s="121" t="str">
        <f aca="false">IF(COUNTIF($A$2:$A$91,A32)=1,"匹配","缺范围或重复")</f>
        <v>匹配</v>
      </c>
    </row>
    <row r="33" customFormat="false" ht="174" hidden="false" customHeight="true" outlineLevel="0" collapsed="false">
      <c r="A33" s="121" t="s">
        <v>3148</v>
      </c>
      <c r="B33" s="121" t="s">
        <v>232</v>
      </c>
      <c r="C33" s="121" t="s">
        <v>1669</v>
      </c>
      <c r="D33" s="121" t="s">
        <v>883</v>
      </c>
      <c r="E33" s="121" t="s">
        <v>3149</v>
      </c>
      <c r="F33" s="121" t="s">
        <v>2958</v>
      </c>
      <c r="G33" s="121" t="s">
        <v>3150</v>
      </c>
      <c r="H33" s="122" t="n">
        <v>100</v>
      </c>
      <c r="I33" s="122" t="n">
        <v>100</v>
      </c>
      <c r="J33" s="121" t="s">
        <v>3151</v>
      </c>
      <c r="K33" s="122" t="n">
        <v>12</v>
      </c>
      <c r="L33" s="121" t="s">
        <v>3152</v>
      </c>
      <c r="M33" s="122" t="n">
        <v>8</v>
      </c>
      <c r="N33" s="121" t="s">
        <v>2836</v>
      </c>
      <c r="O33" s="122" t="n">
        <v>0</v>
      </c>
      <c r="P33" s="122" t="n">
        <v>0</v>
      </c>
      <c r="Q33" s="122" t="n">
        <f aca="false">IF(F33="主角色提议",1,0)</f>
        <v>0</v>
      </c>
      <c r="R33" s="122" t="n">
        <f aca="false">IF(F33="非合同CIS",1,0)</f>
        <v>0</v>
      </c>
      <c r="S33" s="122" t="n">
        <f aca="false">IF(F33="映射保留",1,0)</f>
        <v>1</v>
      </c>
      <c r="T33" s="122" t="n">
        <v>0</v>
      </c>
      <c r="U33" s="121" t="s">
        <v>3153</v>
      </c>
      <c r="V33" s="121" t="s">
        <v>3154</v>
      </c>
      <c r="W33" s="121" t="s">
        <v>3155</v>
      </c>
      <c r="X33" s="121" t="s">
        <v>3156</v>
      </c>
      <c r="Y33" s="121"/>
      <c r="Z33" s="121" t="s">
        <v>3156</v>
      </c>
      <c r="AA33" s="121" t="str">
        <f aca="false">HYPERLINK("https://chatgpt.com/api/library/files/libfile_f096861615788191b2089dd752505c74/download","B16私有元数据包")</f>
        <v>B16私有元数据包</v>
      </c>
      <c r="AB33" s="121" t="s">
        <v>2842</v>
      </c>
      <c r="AC33" s="121" t="s">
        <v>3157</v>
      </c>
      <c r="AD33" s="123" t="n">
        <v>46321.332644919</v>
      </c>
      <c r="AE33" s="123" t="n">
        <v>46321.3461545833</v>
      </c>
      <c r="AF33" s="123" t="n">
        <v>46321.3670567477</v>
      </c>
      <c r="AG33" s="121" t="s">
        <v>3158</v>
      </c>
      <c r="AH33" s="121" t="str">
        <f aca="false">IF(AND(AI33="匹配",LEN(V33)=64,J33&lt;&gt;"",L33&lt;&gt;"",K33&gt;0,M33&gt;0,AD33&gt;0,AE33&gt;0,AF33&gt;0,AG33&lt;&gt;"",N33="待全文",O33=0,P33=0,Q33+R33+S33=1),"角色已验收","需检查证据")</f>
        <v>角色已验收</v>
      </c>
      <c r="AI33" s="121" t="str">
        <f aca="false">IF(COUNTIF($A$2:$A$91,A33)=1,"匹配","缺范围或重复")</f>
        <v>匹配</v>
      </c>
    </row>
    <row r="34" customFormat="false" ht="126" hidden="false" customHeight="true" outlineLevel="0" collapsed="false">
      <c r="A34" s="121" t="s">
        <v>3159</v>
      </c>
      <c r="B34" s="121" t="s">
        <v>232</v>
      </c>
      <c r="C34" s="121" t="s">
        <v>1669</v>
      </c>
      <c r="D34" s="121" t="s">
        <v>883</v>
      </c>
      <c r="E34" s="121" t="s">
        <v>3160</v>
      </c>
      <c r="F34" s="121" t="s">
        <v>2857</v>
      </c>
      <c r="G34" s="121" t="s">
        <v>3139</v>
      </c>
      <c r="H34" s="122" t="n">
        <v>57</v>
      </c>
      <c r="I34" s="122" t="n">
        <v>57</v>
      </c>
      <c r="J34" s="121" t="s">
        <v>3161</v>
      </c>
      <c r="K34" s="122" t="n">
        <v>13</v>
      </c>
      <c r="L34" s="121" t="s">
        <v>3162</v>
      </c>
      <c r="M34" s="122" t="n">
        <v>8</v>
      </c>
      <c r="N34" s="121" t="s">
        <v>2836</v>
      </c>
      <c r="O34" s="122" t="n">
        <v>0</v>
      </c>
      <c r="P34" s="122" t="n">
        <v>0</v>
      </c>
      <c r="Q34" s="122" t="n">
        <f aca="false">IF(F34="主角色提议",1,0)</f>
        <v>1</v>
      </c>
      <c r="R34" s="122" t="n">
        <f aca="false">IF(F34="非合同CIS",1,0)</f>
        <v>0</v>
      </c>
      <c r="S34" s="122" t="n">
        <f aca="false">IF(F34="映射保留",1,0)</f>
        <v>0</v>
      </c>
      <c r="T34" s="122" t="n">
        <v>1</v>
      </c>
      <c r="U34" s="121" t="s">
        <v>3163</v>
      </c>
      <c r="V34" s="121" t="s">
        <v>3164</v>
      </c>
      <c r="W34" s="121" t="s">
        <v>3165</v>
      </c>
      <c r="X34" s="121" t="s">
        <v>3166</v>
      </c>
      <c r="Y34" s="121"/>
      <c r="Z34" s="121"/>
      <c r="AA34" s="121" t="str">
        <f aca="false">HYPERLINK("https://chatgpt.com/api/library/files/libfile_f096861615788191b2089dd752505c74/download","B16私有元数据包")</f>
        <v>B16私有元数据包</v>
      </c>
      <c r="AB34" s="121" t="s">
        <v>2842</v>
      </c>
      <c r="AC34" s="121" t="s">
        <v>3167</v>
      </c>
      <c r="AD34" s="123" t="n">
        <v>46321.332644919</v>
      </c>
      <c r="AE34" s="123" t="n">
        <v>46321.3461545833</v>
      </c>
      <c r="AF34" s="123" t="n">
        <v>46321.3670567477</v>
      </c>
      <c r="AG34" s="121" t="s">
        <v>3168</v>
      </c>
      <c r="AH34" s="121" t="str">
        <f aca="false">IF(AND(AI34="匹配",LEN(V34)=64,J34&lt;&gt;"",L34&lt;&gt;"",K34&gt;0,M34&gt;0,AD34&gt;0,AE34&gt;0,AF34&gt;0,AG34&lt;&gt;"",N34="待全文",O34=0,P34=0,Q34+R34+S34=1),"角色已验收","需检查证据")</f>
        <v>角色已验收</v>
      </c>
      <c r="AI34" s="121" t="str">
        <f aca="false">IF(COUNTIF($A$2:$A$91,A34)=1,"匹配","缺范围或重复")</f>
        <v>匹配</v>
      </c>
    </row>
    <row r="35" customFormat="false" ht="126" hidden="false" customHeight="true" outlineLevel="0" collapsed="false">
      <c r="A35" s="121" t="s">
        <v>3169</v>
      </c>
      <c r="B35" s="121" t="s">
        <v>232</v>
      </c>
      <c r="C35" s="121" t="s">
        <v>1669</v>
      </c>
      <c r="D35" s="121" t="s">
        <v>883</v>
      </c>
      <c r="E35" s="121" t="s">
        <v>3170</v>
      </c>
      <c r="F35" s="121" t="s">
        <v>2857</v>
      </c>
      <c r="G35" s="121" t="s">
        <v>3139</v>
      </c>
      <c r="H35" s="122" t="n">
        <v>69</v>
      </c>
      <c r="I35" s="122" t="n">
        <v>69</v>
      </c>
      <c r="J35" s="121" t="s">
        <v>3171</v>
      </c>
      <c r="K35" s="122" t="n">
        <v>11</v>
      </c>
      <c r="L35" s="121" t="s">
        <v>3172</v>
      </c>
      <c r="M35" s="122" t="n">
        <v>7</v>
      </c>
      <c r="N35" s="121" t="s">
        <v>2836</v>
      </c>
      <c r="O35" s="122" t="n">
        <v>0</v>
      </c>
      <c r="P35" s="122" t="n">
        <v>0</v>
      </c>
      <c r="Q35" s="122" t="n">
        <f aca="false">IF(F35="主角色提议",1,0)</f>
        <v>1</v>
      </c>
      <c r="R35" s="122" t="n">
        <f aca="false">IF(F35="非合同CIS",1,0)</f>
        <v>0</v>
      </c>
      <c r="S35" s="122" t="n">
        <f aca="false">IF(F35="映射保留",1,0)</f>
        <v>0</v>
      </c>
      <c r="T35" s="122" t="n">
        <v>1</v>
      </c>
      <c r="U35" s="121" t="s">
        <v>3173</v>
      </c>
      <c r="V35" s="121" t="s">
        <v>3174</v>
      </c>
      <c r="W35" s="121" t="s">
        <v>3175</v>
      </c>
      <c r="X35" s="121" t="s">
        <v>3176</v>
      </c>
      <c r="Y35" s="121"/>
      <c r="Z35" s="121"/>
      <c r="AA35" s="121" t="str">
        <f aca="false">HYPERLINK("https://chatgpt.com/api/library/files/libfile_f096861615788191b2089dd752505c74/download","B16私有元数据包")</f>
        <v>B16私有元数据包</v>
      </c>
      <c r="AB35" s="121" t="s">
        <v>2842</v>
      </c>
      <c r="AC35" s="121" t="s">
        <v>3177</v>
      </c>
      <c r="AD35" s="123" t="n">
        <v>46321.332644919</v>
      </c>
      <c r="AE35" s="123" t="n">
        <v>46321.3461545833</v>
      </c>
      <c r="AF35" s="123" t="n">
        <v>46321.3670567477</v>
      </c>
      <c r="AG35" s="121" t="s">
        <v>3178</v>
      </c>
      <c r="AH35" s="121" t="str">
        <f aca="false">IF(AND(AI35="匹配",LEN(V35)=64,J35&lt;&gt;"",L35&lt;&gt;"",K35&gt;0,M35&gt;0,AD35&gt;0,AE35&gt;0,AF35&gt;0,AG35&lt;&gt;"",N35="待全文",O35=0,P35=0,Q35+R35+S35=1),"角色已验收","需检查证据")</f>
        <v>角色已验收</v>
      </c>
      <c r="AI35" s="121" t="str">
        <f aca="false">IF(COUNTIF($A$2:$A$91,A35)=1,"匹配","缺范围或重复")</f>
        <v>匹配</v>
      </c>
    </row>
    <row r="36" customFormat="false" ht="142" hidden="false" customHeight="true" outlineLevel="0" collapsed="false">
      <c r="A36" s="121" t="s">
        <v>3179</v>
      </c>
      <c r="B36" s="121" t="s">
        <v>232</v>
      </c>
      <c r="C36" s="121" t="s">
        <v>1669</v>
      </c>
      <c r="D36" s="121" t="s">
        <v>883</v>
      </c>
      <c r="E36" s="121" t="s">
        <v>3180</v>
      </c>
      <c r="F36" s="121" t="s">
        <v>2857</v>
      </c>
      <c r="G36" s="121" t="s">
        <v>3139</v>
      </c>
      <c r="H36" s="122" t="n">
        <v>67</v>
      </c>
      <c r="I36" s="122" t="n">
        <v>67</v>
      </c>
      <c r="J36" s="121" t="s">
        <v>3181</v>
      </c>
      <c r="K36" s="122" t="n">
        <v>11</v>
      </c>
      <c r="L36" s="121" t="s">
        <v>3182</v>
      </c>
      <c r="M36" s="122" t="n">
        <v>8</v>
      </c>
      <c r="N36" s="121" t="s">
        <v>2836</v>
      </c>
      <c r="O36" s="122" t="n">
        <v>0</v>
      </c>
      <c r="P36" s="122" t="n">
        <v>0</v>
      </c>
      <c r="Q36" s="122" t="n">
        <f aca="false">IF(F36="主角色提议",1,0)</f>
        <v>1</v>
      </c>
      <c r="R36" s="122" t="n">
        <f aca="false">IF(F36="非合同CIS",1,0)</f>
        <v>0</v>
      </c>
      <c r="S36" s="122" t="n">
        <f aca="false">IF(F36="映射保留",1,0)</f>
        <v>0</v>
      </c>
      <c r="T36" s="122" t="n">
        <v>1</v>
      </c>
      <c r="U36" s="121" t="s">
        <v>3183</v>
      </c>
      <c r="V36" s="121" t="s">
        <v>3184</v>
      </c>
      <c r="W36" s="121" t="s">
        <v>3185</v>
      </c>
      <c r="X36" s="121" t="s">
        <v>3186</v>
      </c>
      <c r="Y36" s="121"/>
      <c r="Z36" s="121"/>
      <c r="AA36" s="121" t="str">
        <f aca="false">HYPERLINK("https://chatgpt.com/api/library/files/libfile_f096861615788191b2089dd752505c74/download","B16私有元数据包")</f>
        <v>B16私有元数据包</v>
      </c>
      <c r="AB36" s="121" t="s">
        <v>2842</v>
      </c>
      <c r="AC36" s="121" t="s">
        <v>3187</v>
      </c>
      <c r="AD36" s="123" t="n">
        <v>46321.332644919</v>
      </c>
      <c r="AE36" s="123" t="n">
        <v>46321.3461545833</v>
      </c>
      <c r="AF36" s="123" t="n">
        <v>46321.3670567477</v>
      </c>
      <c r="AG36" s="121" t="s">
        <v>3188</v>
      </c>
      <c r="AH36" s="121" t="str">
        <f aca="false">IF(AND(AI36="匹配",LEN(V36)=64,J36&lt;&gt;"",L36&lt;&gt;"",K36&gt;0,M36&gt;0,AD36&gt;0,AE36&gt;0,AF36&gt;0,AG36&lt;&gt;"",N36="待全文",O36=0,P36=0,Q36+R36+S36=1),"角色已验收","需检查证据")</f>
        <v>角色已验收</v>
      </c>
      <c r="AI36" s="121" t="str">
        <f aca="false">IF(COUNTIF($A$2:$A$91,A36)=1,"匹配","缺范围或重复")</f>
        <v>匹配</v>
      </c>
    </row>
    <row r="37" customFormat="false" ht="126" hidden="false" customHeight="true" outlineLevel="0" collapsed="false">
      <c r="A37" s="121" t="s">
        <v>3189</v>
      </c>
      <c r="B37" s="121" t="s">
        <v>232</v>
      </c>
      <c r="C37" s="121" t="s">
        <v>1669</v>
      </c>
      <c r="D37" s="121" t="s">
        <v>883</v>
      </c>
      <c r="E37" s="121" t="s">
        <v>3190</v>
      </c>
      <c r="F37" s="121" t="s">
        <v>2857</v>
      </c>
      <c r="G37" s="121" t="s">
        <v>3139</v>
      </c>
      <c r="H37" s="122" t="n">
        <v>48</v>
      </c>
      <c r="I37" s="122" t="n">
        <v>48</v>
      </c>
      <c r="J37" s="121" t="s">
        <v>3191</v>
      </c>
      <c r="K37" s="122" t="n">
        <v>11</v>
      </c>
      <c r="L37" s="121" t="s">
        <v>3192</v>
      </c>
      <c r="M37" s="122" t="n">
        <v>6</v>
      </c>
      <c r="N37" s="121" t="s">
        <v>2836</v>
      </c>
      <c r="O37" s="122" t="n">
        <v>0</v>
      </c>
      <c r="P37" s="122" t="n">
        <v>0</v>
      </c>
      <c r="Q37" s="122" t="n">
        <f aca="false">IF(F37="主角色提议",1,0)</f>
        <v>1</v>
      </c>
      <c r="R37" s="122" t="n">
        <f aca="false">IF(F37="非合同CIS",1,0)</f>
        <v>0</v>
      </c>
      <c r="S37" s="122" t="n">
        <f aca="false">IF(F37="映射保留",1,0)</f>
        <v>0</v>
      </c>
      <c r="T37" s="122" t="n">
        <v>1</v>
      </c>
      <c r="U37" s="121" t="s">
        <v>3193</v>
      </c>
      <c r="V37" s="121" t="s">
        <v>3194</v>
      </c>
      <c r="W37" s="121" t="s">
        <v>3195</v>
      </c>
      <c r="X37" s="121" t="s">
        <v>3196</v>
      </c>
      <c r="Y37" s="121"/>
      <c r="Z37" s="121"/>
      <c r="AA37" s="121" t="str">
        <f aca="false">HYPERLINK("https://chatgpt.com/api/library/files/libfile_f096861615788191b2089dd752505c74/download","B16私有元数据包")</f>
        <v>B16私有元数据包</v>
      </c>
      <c r="AB37" s="121" t="s">
        <v>2842</v>
      </c>
      <c r="AC37" s="121" t="s">
        <v>3197</v>
      </c>
      <c r="AD37" s="123" t="n">
        <v>46321.332644919</v>
      </c>
      <c r="AE37" s="123" t="n">
        <v>46321.3461545833</v>
      </c>
      <c r="AF37" s="123" t="n">
        <v>46321.3670567477</v>
      </c>
      <c r="AG37" s="121" t="s">
        <v>3198</v>
      </c>
      <c r="AH37" s="121" t="str">
        <f aca="false">IF(AND(AI37="匹配",LEN(V37)=64,J37&lt;&gt;"",L37&lt;&gt;"",K37&gt;0,M37&gt;0,AD37&gt;0,AE37&gt;0,AF37&gt;0,AG37&lt;&gt;"",N37="待全文",O37=0,P37=0,Q37+R37+S37=1),"角色已验收","需检查证据")</f>
        <v>角色已验收</v>
      </c>
      <c r="AI37" s="121" t="str">
        <f aca="false">IF(COUNTIF($A$2:$A$91,A37)=1,"匹配","缺范围或重复")</f>
        <v>匹配</v>
      </c>
    </row>
    <row r="38" customFormat="false" ht="174" hidden="false" customHeight="true" outlineLevel="0" collapsed="false">
      <c r="A38" s="121" t="s">
        <v>3199</v>
      </c>
      <c r="B38" s="121" t="s">
        <v>232</v>
      </c>
      <c r="C38" s="121" t="s">
        <v>1669</v>
      </c>
      <c r="D38" s="121" t="s">
        <v>883</v>
      </c>
      <c r="E38" s="121" t="s">
        <v>3200</v>
      </c>
      <c r="F38" s="121" t="s">
        <v>2958</v>
      </c>
      <c r="G38" s="121" t="s">
        <v>3201</v>
      </c>
      <c r="H38" s="122" t="n">
        <v>50</v>
      </c>
      <c r="I38" s="122" t="n">
        <v>50</v>
      </c>
      <c r="J38" s="121" t="s">
        <v>3202</v>
      </c>
      <c r="K38" s="122" t="n">
        <v>12</v>
      </c>
      <c r="L38" s="121" t="s">
        <v>3203</v>
      </c>
      <c r="M38" s="122" t="n">
        <v>7</v>
      </c>
      <c r="N38" s="121" t="s">
        <v>2836</v>
      </c>
      <c r="O38" s="122" t="n">
        <v>0</v>
      </c>
      <c r="P38" s="122" t="n">
        <v>0</v>
      </c>
      <c r="Q38" s="122" t="n">
        <f aca="false">IF(F38="主角色提议",1,0)</f>
        <v>0</v>
      </c>
      <c r="R38" s="122" t="n">
        <f aca="false">IF(F38="非合同CIS",1,0)</f>
        <v>0</v>
      </c>
      <c r="S38" s="122" t="n">
        <f aca="false">IF(F38="映射保留",1,0)</f>
        <v>1</v>
      </c>
      <c r="T38" s="122" t="n">
        <v>0</v>
      </c>
      <c r="U38" s="121" t="s">
        <v>3204</v>
      </c>
      <c r="V38" s="121" t="s">
        <v>3205</v>
      </c>
      <c r="W38" s="121" t="s">
        <v>3206</v>
      </c>
      <c r="X38" s="121" t="s">
        <v>3207</v>
      </c>
      <c r="Y38" s="121"/>
      <c r="Z38" s="121" t="s">
        <v>3207</v>
      </c>
      <c r="AA38" s="121" t="str">
        <f aca="false">HYPERLINK("https://chatgpt.com/api/library/files/libfile_f096861615788191b2089dd752505c74/download","B16私有元数据包")</f>
        <v>B16私有元数据包</v>
      </c>
      <c r="AB38" s="121" t="s">
        <v>2842</v>
      </c>
      <c r="AC38" s="121" t="s">
        <v>3208</v>
      </c>
      <c r="AD38" s="123" t="n">
        <v>46321.332644919</v>
      </c>
      <c r="AE38" s="123" t="n">
        <v>46321.3461545833</v>
      </c>
      <c r="AF38" s="123" t="n">
        <v>46321.3670567477</v>
      </c>
      <c r="AG38" s="121" t="s">
        <v>3209</v>
      </c>
      <c r="AH38" s="121" t="str">
        <f aca="false">IF(AND(AI38="匹配",LEN(V38)=64,J38&lt;&gt;"",L38&lt;&gt;"",K38&gt;0,M38&gt;0,AD38&gt;0,AE38&gt;0,AF38&gt;0,AG38&lt;&gt;"",N38="待全文",O38=0,P38=0,Q38+R38+S38=1),"角色已验收","需检查证据")</f>
        <v>角色已验收</v>
      </c>
      <c r="AI38" s="121" t="str">
        <f aca="false">IF(COUNTIF($A$2:$A$91,A38)=1,"匹配","缺范围或重复")</f>
        <v>匹配</v>
      </c>
    </row>
    <row r="39" customFormat="false" ht="142" hidden="false" customHeight="true" outlineLevel="0" collapsed="false">
      <c r="A39" s="121" t="s">
        <v>3210</v>
      </c>
      <c r="B39" s="121" t="s">
        <v>232</v>
      </c>
      <c r="C39" s="121" t="s">
        <v>1669</v>
      </c>
      <c r="D39" s="121" t="s">
        <v>883</v>
      </c>
      <c r="E39" s="121" t="s">
        <v>3211</v>
      </c>
      <c r="F39" s="121" t="s">
        <v>2857</v>
      </c>
      <c r="G39" s="121" t="s">
        <v>3139</v>
      </c>
      <c r="H39" s="122" t="n">
        <v>48</v>
      </c>
      <c r="I39" s="122" t="n">
        <v>48</v>
      </c>
      <c r="J39" s="121" t="s">
        <v>3212</v>
      </c>
      <c r="K39" s="122" t="n">
        <v>12</v>
      </c>
      <c r="L39" s="121" t="s">
        <v>3213</v>
      </c>
      <c r="M39" s="122" t="n">
        <v>7</v>
      </c>
      <c r="N39" s="121" t="s">
        <v>2836</v>
      </c>
      <c r="O39" s="122" t="n">
        <v>0</v>
      </c>
      <c r="P39" s="122" t="n">
        <v>0</v>
      </c>
      <c r="Q39" s="122" t="n">
        <f aca="false">IF(F39="主角色提议",1,0)</f>
        <v>1</v>
      </c>
      <c r="R39" s="122" t="n">
        <f aca="false">IF(F39="非合同CIS",1,0)</f>
        <v>0</v>
      </c>
      <c r="S39" s="122" t="n">
        <f aca="false">IF(F39="映射保留",1,0)</f>
        <v>0</v>
      </c>
      <c r="T39" s="122" t="n">
        <v>1</v>
      </c>
      <c r="U39" s="121" t="s">
        <v>3214</v>
      </c>
      <c r="V39" s="121" t="s">
        <v>3215</v>
      </c>
      <c r="W39" s="121" t="s">
        <v>3216</v>
      </c>
      <c r="X39" s="121" t="s">
        <v>3217</v>
      </c>
      <c r="Y39" s="121"/>
      <c r="Z39" s="121"/>
      <c r="AA39" s="121" t="str">
        <f aca="false">HYPERLINK("https://chatgpt.com/api/library/files/libfile_f096861615788191b2089dd752505c74/download","B16私有元数据包")</f>
        <v>B16私有元数据包</v>
      </c>
      <c r="AB39" s="121" t="s">
        <v>2842</v>
      </c>
      <c r="AC39" s="121" t="s">
        <v>3218</v>
      </c>
      <c r="AD39" s="123" t="n">
        <v>46321.332644919</v>
      </c>
      <c r="AE39" s="123" t="n">
        <v>46321.3461545833</v>
      </c>
      <c r="AF39" s="123" t="n">
        <v>46321.3670567477</v>
      </c>
      <c r="AG39" s="121" t="s">
        <v>3219</v>
      </c>
      <c r="AH39" s="121" t="str">
        <f aca="false">IF(AND(AI39="匹配",LEN(V39)=64,J39&lt;&gt;"",L39&lt;&gt;"",K39&gt;0,M39&gt;0,AD39&gt;0,AE39&gt;0,AF39&gt;0,AG39&lt;&gt;"",N39="待全文",O39=0,P39=0,Q39+R39+S39=1),"角色已验收","需检查证据")</f>
        <v>角色已验收</v>
      </c>
      <c r="AI39" s="121" t="str">
        <f aca="false">IF(COUNTIF($A$2:$A$91,A39)=1,"匹配","缺范围或重复")</f>
        <v>匹配</v>
      </c>
    </row>
    <row r="40" customFormat="false" ht="174" hidden="false" customHeight="true" outlineLevel="0" collapsed="false">
      <c r="A40" s="121" t="s">
        <v>3220</v>
      </c>
      <c r="B40" s="121" t="s">
        <v>232</v>
      </c>
      <c r="C40" s="121" t="s">
        <v>1669</v>
      </c>
      <c r="D40" s="121" t="s">
        <v>883</v>
      </c>
      <c r="E40" s="121" t="s">
        <v>3221</v>
      </c>
      <c r="F40" s="121" t="s">
        <v>2857</v>
      </c>
      <c r="G40" s="121" t="s">
        <v>2858</v>
      </c>
      <c r="H40" s="122" t="n">
        <v>58</v>
      </c>
      <c r="I40" s="122" t="n">
        <v>58</v>
      </c>
      <c r="J40" s="121" t="s">
        <v>3222</v>
      </c>
      <c r="K40" s="122" t="n">
        <v>12</v>
      </c>
      <c r="L40" s="121" t="s">
        <v>3223</v>
      </c>
      <c r="M40" s="122" t="n">
        <v>8</v>
      </c>
      <c r="N40" s="121" t="s">
        <v>2836</v>
      </c>
      <c r="O40" s="122" t="n">
        <v>0</v>
      </c>
      <c r="P40" s="122" t="n">
        <v>0</v>
      </c>
      <c r="Q40" s="122" t="n">
        <f aca="false">IF(F40="主角色提议",1,0)</f>
        <v>1</v>
      </c>
      <c r="R40" s="122" t="n">
        <f aca="false">IF(F40="非合同CIS",1,0)</f>
        <v>0</v>
      </c>
      <c r="S40" s="122" t="n">
        <f aca="false">IF(F40="映射保留",1,0)</f>
        <v>0</v>
      </c>
      <c r="T40" s="122" t="n">
        <v>1</v>
      </c>
      <c r="U40" s="121" t="s">
        <v>3224</v>
      </c>
      <c r="V40" s="121" t="s">
        <v>3225</v>
      </c>
      <c r="W40" s="121" t="s">
        <v>3226</v>
      </c>
      <c r="X40" s="121" t="s">
        <v>3227</v>
      </c>
      <c r="Y40" s="121"/>
      <c r="Z40" s="121"/>
      <c r="AA40" s="121" t="str">
        <f aca="false">HYPERLINK("https://chatgpt.com/api/library/files/libfile_f096861615788191b2089dd752505c74/download","B16私有元数据包")</f>
        <v>B16私有元数据包</v>
      </c>
      <c r="AB40" s="121" t="s">
        <v>2842</v>
      </c>
      <c r="AC40" s="121" t="s">
        <v>3228</v>
      </c>
      <c r="AD40" s="123" t="n">
        <v>46321.332644919</v>
      </c>
      <c r="AE40" s="123" t="n">
        <v>46321.3461545833</v>
      </c>
      <c r="AF40" s="123" t="n">
        <v>46321.3670567477</v>
      </c>
      <c r="AG40" s="121" t="s">
        <v>3229</v>
      </c>
      <c r="AH40" s="121" t="str">
        <f aca="false">IF(AND(AI40="匹配",LEN(V40)=64,J40&lt;&gt;"",L40&lt;&gt;"",K40&gt;0,M40&gt;0,AD40&gt;0,AE40&gt;0,AF40&gt;0,AG40&lt;&gt;"",N40="待全文",O40=0,P40=0,Q40+R40+S40=1),"角色已验收","需检查证据")</f>
        <v>角色已验收</v>
      </c>
      <c r="AI40" s="121" t="str">
        <f aca="false">IF(COUNTIF($A$2:$A$91,A40)=1,"匹配","缺范围或重复")</f>
        <v>匹配</v>
      </c>
    </row>
    <row r="41" customFormat="false" ht="126" hidden="false" customHeight="true" outlineLevel="0" collapsed="false">
      <c r="A41" s="121" t="s">
        <v>3230</v>
      </c>
      <c r="B41" s="121" t="s">
        <v>232</v>
      </c>
      <c r="C41" s="121" t="s">
        <v>1669</v>
      </c>
      <c r="D41" s="121" t="s">
        <v>883</v>
      </c>
      <c r="E41" s="121" t="s">
        <v>3231</v>
      </c>
      <c r="F41" s="121" t="s">
        <v>2857</v>
      </c>
      <c r="G41" s="121" t="s">
        <v>3139</v>
      </c>
      <c r="H41" s="122" t="n">
        <v>60</v>
      </c>
      <c r="I41" s="122" t="n">
        <v>60</v>
      </c>
      <c r="J41" s="121" t="s">
        <v>3232</v>
      </c>
      <c r="K41" s="122" t="n">
        <v>12</v>
      </c>
      <c r="L41" s="121" t="s">
        <v>3233</v>
      </c>
      <c r="M41" s="122" t="n">
        <v>8</v>
      </c>
      <c r="N41" s="121" t="s">
        <v>2836</v>
      </c>
      <c r="O41" s="122" t="n">
        <v>0</v>
      </c>
      <c r="P41" s="122" t="n">
        <v>0</v>
      </c>
      <c r="Q41" s="122" t="n">
        <f aca="false">IF(F41="主角色提议",1,0)</f>
        <v>1</v>
      </c>
      <c r="R41" s="122" t="n">
        <f aca="false">IF(F41="非合同CIS",1,0)</f>
        <v>0</v>
      </c>
      <c r="S41" s="122" t="n">
        <f aca="false">IF(F41="映射保留",1,0)</f>
        <v>0</v>
      </c>
      <c r="T41" s="122" t="n">
        <v>1</v>
      </c>
      <c r="U41" s="121" t="s">
        <v>3234</v>
      </c>
      <c r="V41" s="121" t="s">
        <v>3235</v>
      </c>
      <c r="W41" s="121" t="s">
        <v>3236</v>
      </c>
      <c r="X41" s="121" t="s">
        <v>3237</v>
      </c>
      <c r="Y41" s="121"/>
      <c r="Z41" s="121"/>
      <c r="AA41" s="121" t="str">
        <f aca="false">HYPERLINK("https://chatgpt.com/api/library/files/libfile_f096861615788191b2089dd752505c74/download","B16私有元数据包")</f>
        <v>B16私有元数据包</v>
      </c>
      <c r="AB41" s="121" t="s">
        <v>2842</v>
      </c>
      <c r="AC41" s="121" t="s">
        <v>3238</v>
      </c>
      <c r="AD41" s="123" t="n">
        <v>46321.332644919</v>
      </c>
      <c r="AE41" s="123" t="n">
        <v>46321.3461545833</v>
      </c>
      <c r="AF41" s="123" t="n">
        <v>46321.3670567477</v>
      </c>
      <c r="AG41" s="121" t="s">
        <v>3239</v>
      </c>
      <c r="AH41" s="121" t="str">
        <f aca="false">IF(AND(AI41="匹配",LEN(V41)=64,J41&lt;&gt;"",L41&lt;&gt;"",K41&gt;0,M41&gt;0,AD41&gt;0,AE41&gt;0,AF41&gt;0,AG41&lt;&gt;"",N41="待全文",O41=0,P41=0,Q41+R41+S41=1),"角色已验收","需检查证据")</f>
        <v>角色已验收</v>
      </c>
      <c r="AI41" s="121" t="str">
        <f aca="false">IF(COUNTIF($A$2:$A$91,A41)=1,"匹配","缺范围或重复")</f>
        <v>匹配</v>
      </c>
    </row>
    <row r="42" customFormat="false" ht="222" hidden="false" customHeight="true" outlineLevel="0" collapsed="false">
      <c r="A42" s="121" t="s">
        <v>3240</v>
      </c>
      <c r="B42" s="121" t="s">
        <v>234</v>
      </c>
      <c r="C42" s="121" t="s">
        <v>1669</v>
      </c>
      <c r="D42" s="121" t="s">
        <v>883</v>
      </c>
      <c r="E42" s="121" t="s">
        <v>3241</v>
      </c>
      <c r="F42" s="121" t="s">
        <v>2857</v>
      </c>
      <c r="G42" s="121" t="s">
        <v>3139</v>
      </c>
      <c r="H42" s="122" t="n">
        <v>60</v>
      </c>
      <c r="I42" s="122" t="n">
        <v>60</v>
      </c>
      <c r="J42" s="121" t="s">
        <v>3242</v>
      </c>
      <c r="K42" s="122" t="n">
        <v>12</v>
      </c>
      <c r="L42" s="121" t="s">
        <v>3243</v>
      </c>
      <c r="M42" s="122" t="n">
        <v>8</v>
      </c>
      <c r="N42" s="121" t="s">
        <v>2836</v>
      </c>
      <c r="O42" s="122" t="n">
        <v>0</v>
      </c>
      <c r="P42" s="122" t="n">
        <v>0</v>
      </c>
      <c r="Q42" s="122" t="n">
        <f aca="false">IF(F42="主角色提议",1,0)</f>
        <v>1</v>
      </c>
      <c r="R42" s="122" t="n">
        <f aca="false">IF(F42="非合同CIS",1,0)</f>
        <v>0</v>
      </c>
      <c r="S42" s="122" t="n">
        <f aca="false">IF(F42="映射保留",1,0)</f>
        <v>0</v>
      </c>
      <c r="T42" s="122" t="n">
        <v>1</v>
      </c>
      <c r="U42" s="121" t="s">
        <v>3244</v>
      </c>
      <c r="V42" s="121" t="s">
        <v>3245</v>
      </c>
      <c r="W42" s="121" t="s">
        <v>3246</v>
      </c>
      <c r="X42" s="121" t="s">
        <v>3247</v>
      </c>
      <c r="Y42" s="121" t="s">
        <v>3248</v>
      </c>
      <c r="Z42" s="121"/>
      <c r="AA42" s="121" t="str">
        <f aca="false">HYPERLINK("https://chatgpt.com/api/library/files/libfile_0420a2f7564481919a54668a656a1c0f/download","B17私有元数据包")</f>
        <v>B17私有元数据包</v>
      </c>
      <c r="AB42" s="121" t="s">
        <v>2842</v>
      </c>
      <c r="AC42" s="121" t="s">
        <v>3249</v>
      </c>
      <c r="AD42" s="123" t="n">
        <v>46321.3765253819</v>
      </c>
      <c r="AE42" s="123" t="n">
        <v>46321.3988737153</v>
      </c>
      <c r="AF42" s="123" t="n">
        <v>46321.4106714005</v>
      </c>
      <c r="AG42" s="121" t="s">
        <v>3250</v>
      </c>
      <c r="AH42" s="121" t="str">
        <f aca="false">IF(AND(AI42="匹配",LEN(V42)=64,J42&lt;&gt;"",L42&lt;&gt;"",K42&gt;0,M42&gt;0,AD42&gt;0,AE42&gt;0,AF42&gt;0,AG42&lt;&gt;"",N42="待全文",O42=0,P42=0,Q42+R42+S42=1),"角色已验收","需检查证据")</f>
        <v>角色已验收</v>
      </c>
      <c r="AI42" s="121" t="str">
        <f aca="false">IF(COUNTIF($A$2:$A$91,A42)=1,"匹配","缺范围或重复")</f>
        <v>匹配</v>
      </c>
    </row>
    <row r="43" customFormat="false" ht="174" hidden="false" customHeight="true" outlineLevel="0" collapsed="false">
      <c r="A43" s="121" t="s">
        <v>3251</v>
      </c>
      <c r="B43" s="121" t="s">
        <v>234</v>
      </c>
      <c r="C43" s="121" t="s">
        <v>1669</v>
      </c>
      <c r="D43" s="121" t="s">
        <v>883</v>
      </c>
      <c r="E43" s="121" t="s">
        <v>3252</v>
      </c>
      <c r="F43" s="121" t="s">
        <v>2857</v>
      </c>
      <c r="G43" s="121" t="s">
        <v>3139</v>
      </c>
      <c r="H43" s="122" t="n">
        <v>51</v>
      </c>
      <c r="I43" s="122" t="n">
        <v>51</v>
      </c>
      <c r="J43" s="121" t="s">
        <v>3253</v>
      </c>
      <c r="K43" s="122" t="n">
        <v>14</v>
      </c>
      <c r="L43" s="121" t="s">
        <v>3254</v>
      </c>
      <c r="M43" s="122" t="n">
        <v>8</v>
      </c>
      <c r="N43" s="121" t="s">
        <v>2836</v>
      </c>
      <c r="O43" s="122" t="n">
        <v>0</v>
      </c>
      <c r="P43" s="122" t="n">
        <v>0</v>
      </c>
      <c r="Q43" s="122" t="n">
        <f aca="false">IF(F43="主角色提议",1,0)</f>
        <v>1</v>
      </c>
      <c r="R43" s="122" t="n">
        <f aca="false">IF(F43="非合同CIS",1,0)</f>
        <v>0</v>
      </c>
      <c r="S43" s="122" t="n">
        <f aca="false">IF(F43="映射保留",1,0)</f>
        <v>0</v>
      </c>
      <c r="T43" s="122" t="n">
        <v>1</v>
      </c>
      <c r="U43" s="121" t="s">
        <v>3255</v>
      </c>
      <c r="V43" s="121" t="s">
        <v>3256</v>
      </c>
      <c r="W43" s="121" t="s">
        <v>3257</v>
      </c>
      <c r="X43" s="121" t="s">
        <v>3258</v>
      </c>
      <c r="Y43" s="121" t="s">
        <v>3259</v>
      </c>
      <c r="Z43" s="121"/>
      <c r="AA43" s="121" t="str">
        <f aca="false">HYPERLINK("https://chatgpt.com/api/library/files/libfile_0420a2f7564481919a54668a656a1c0f/download","B17私有元数据包")</f>
        <v>B17私有元数据包</v>
      </c>
      <c r="AB43" s="121" t="s">
        <v>2842</v>
      </c>
      <c r="AC43" s="121" t="s">
        <v>3260</v>
      </c>
      <c r="AD43" s="123" t="n">
        <v>46321.3765253819</v>
      </c>
      <c r="AE43" s="123" t="n">
        <v>46321.3988737153</v>
      </c>
      <c r="AF43" s="123" t="n">
        <v>46321.4106714005</v>
      </c>
      <c r="AG43" s="121" t="s">
        <v>3261</v>
      </c>
      <c r="AH43" s="121" t="str">
        <f aca="false">IF(AND(AI43="匹配",LEN(V43)=64,J43&lt;&gt;"",L43&lt;&gt;"",K43&gt;0,M43&gt;0,AD43&gt;0,AE43&gt;0,AF43&gt;0,AG43&lt;&gt;"",N43="待全文",O43=0,P43=0,Q43+R43+S43=1),"角色已验收","需检查证据")</f>
        <v>角色已验收</v>
      </c>
      <c r="AI43" s="121" t="str">
        <f aca="false">IF(COUNTIF($A$2:$A$91,A43)=1,"匹配","缺范围或重复")</f>
        <v>匹配</v>
      </c>
    </row>
    <row r="44" customFormat="false" ht="174" hidden="false" customHeight="true" outlineLevel="0" collapsed="false">
      <c r="A44" s="121" t="s">
        <v>3262</v>
      </c>
      <c r="B44" s="121" t="s">
        <v>234</v>
      </c>
      <c r="C44" s="121" t="s">
        <v>1669</v>
      </c>
      <c r="D44" s="121" t="s">
        <v>883</v>
      </c>
      <c r="E44" s="121" t="s">
        <v>3263</v>
      </c>
      <c r="F44" s="121" t="s">
        <v>2857</v>
      </c>
      <c r="G44" s="121" t="s">
        <v>3264</v>
      </c>
      <c r="H44" s="122" t="n">
        <v>74</v>
      </c>
      <c r="I44" s="122" t="n">
        <v>74</v>
      </c>
      <c r="J44" s="121" t="s">
        <v>3265</v>
      </c>
      <c r="K44" s="122" t="n">
        <v>14</v>
      </c>
      <c r="L44" s="121" t="s">
        <v>3266</v>
      </c>
      <c r="M44" s="122" t="n">
        <v>8</v>
      </c>
      <c r="N44" s="121" t="s">
        <v>2836</v>
      </c>
      <c r="O44" s="122" t="n">
        <v>0</v>
      </c>
      <c r="P44" s="122" t="n">
        <v>0</v>
      </c>
      <c r="Q44" s="122" t="n">
        <f aca="false">IF(F44="主角色提议",1,0)</f>
        <v>1</v>
      </c>
      <c r="R44" s="122" t="n">
        <f aca="false">IF(F44="非合同CIS",1,0)</f>
        <v>0</v>
      </c>
      <c r="S44" s="122" t="n">
        <f aca="false">IF(F44="映射保留",1,0)</f>
        <v>0</v>
      </c>
      <c r="T44" s="122" t="n">
        <v>1</v>
      </c>
      <c r="U44" s="121" t="s">
        <v>3267</v>
      </c>
      <c r="V44" s="121" t="s">
        <v>3268</v>
      </c>
      <c r="W44" s="121" t="s">
        <v>3269</v>
      </c>
      <c r="X44" s="121" t="s">
        <v>3270</v>
      </c>
      <c r="Y44" s="121" t="s">
        <v>3271</v>
      </c>
      <c r="Z44" s="121"/>
      <c r="AA44" s="121" t="str">
        <f aca="false">HYPERLINK("https://chatgpt.com/api/library/files/libfile_0420a2f7564481919a54668a656a1c0f/download","B17私有元数据包")</f>
        <v>B17私有元数据包</v>
      </c>
      <c r="AB44" s="121" t="s">
        <v>2842</v>
      </c>
      <c r="AC44" s="121" t="s">
        <v>3272</v>
      </c>
      <c r="AD44" s="123" t="n">
        <v>46321.3765253819</v>
      </c>
      <c r="AE44" s="123" t="n">
        <v>46321.3988737153</v>
      </c>
      <c r="AF44" s="123" t="n">
        <v>46321.4106714005</v>
      </c>
      <c r="AG44" s="121" t="s">
        <v>3273</v>
      </c>
      <c r="AH44" s="121" t="str">
        <f aca="false">IF(AND(AI44="匹配",LEN(V44)=64,J44&lt;&gt;"",L44&lt;&gt;"",K44&gt;0,M44&gt;0,AD44&gt;0,AE44&gt;0,AF44&gt;0,AG44&lt;&gt;"",N44="待全文",O44=0,P44=0,Q44+R44+S44=1),"角色已验收","需检查证据")</f>
        <v>角色已验收</v>
      </c>
      <c r="AI44" s="121" t="str">
        <f aca="false">IF(COUNTIF($A$2:$A$91,A44)=1,"匹配","缺范围或重复")</f>
        <v>匹配</v>
      </c>
    </row>
    <row r="45" customFormat="false" ht="142" hidden="false" customHeight="true" outlineLevel="0" collapsed="false">
      <c r="A45" s="121" t="s">
        <v>3274</v>
      </c>
      <c r="B45" s="121" t="s">
        <v>234</v>
      </c>
      <c r="C45" s="121" t="s">
        <v>1669</v>
      </c>
      <c r="D45" s="121" t="s">
        <v>883</v>
      </c>
      <c r="E45" s="121" t="s">
        <v>3275</v>
      </c>
      <c r="F45" s="121" t="s">
        <v>2857</v>
      </c>
      <c r="G45" s="121" t="s">
        <v>2858</v>
      </c>
      <c r="H45" s="122" t="n">
        <v>70</v>
      </c>
      <c r="I45" s="122" t="n">
        <v>70</v>
      </c>
      <c r="J45" s="121" t="s">
        <v>3276</v>
      </c>
      <c r="K45" s="122" t="n">
        <v>14</v>
      </c>
      <c r="L45" s="121" t="s">
        <v>3277</v>
      </c>
      <c r="M45" s="122" t="n">
        <v>8</v>
      </c>
      <c r="N45" s="121" t="s">
        <v>2836</v>
      </c>
      <c r="O45" s="122" t="n">
        <v>0</v>
      </c>
      <c r="P45" s="122" t="n">
        <v>0</v>
      </c>
      <c r="Q45" s="122" t="n">
        <f aca="false">IF(F45="主角色提议",1,0)</f>
        <v>1</v>
      </c>
      <c r="R45" s="122" t="n">
        <f aca="false">IF(F45="非合同CIS",1,0)</f>
        <v>0</v>
      </c>
      <c r="S45" s="122" t="n">
        <f aca="false">IF(F45="映射保留",1,0)</f>
        <v>0</v>
      </c>
      <c r="T45" s="122" t="n">
        <v>1</v>
      </c>
      <c r="U45" s="121" t="s">
        <v>3278</v>
      </c>
      <c r="V45" s="121" t="s">
        <v>3279</v>
      </c>
      <c r="W45" s="121" t="s">
        <v>3280</v>
      </c>
      <c r="X45" s="121" t="s">
        <v>3281</v>
      </c>
      <c r="Y45" s="121" t="s">
        <v>3282</v>
      </c>
      <c r="Z45" s="121"/>
      <c r="AA45" s="121" t="str">
        <f aca="false">HYPERLINK("https://chatgpt.com/api/library/files/libfile_0420a2f7564481919a54668a656a1c0f/download","B17私有元数据包")</f>
        <v>B17私有元数据包</v>
      </c>
      <c r="AB45" s="121" t="s">
        <v>2842</v>
      </c>
      <c r="AC45" s="121" t="s">
        <v>3283</v>
      </c>
      <c r="AD45" s="123" t="n">
        <v>46321.3765253819</v>
      </c>
      <c r="AE45" s="123" t="n">
        <v>46321.3988737153</v>
      </c>
      <c r="AF45" s="123" t="n">
        <v>46321.4106714005</v>
      </c>
      <c r="AG45" s="121" t="s">
        <v>3284</v>
      </c>
      <c r="AH45" s="121" t="str">
        <f aca="false">IF(AND(AI45="匹配",LEN(V45)=64,J45&lt;&gt;"",L45&lt;&gt;"",K45&gt;0,M45&gt;0,AD45&gt;0,AE45&gt;0,AF45&gt;0,AG45&lt;&gt;"",N45="待全文",O45=0,P45=0,Q45+R45+S45=1),"角色已验收","需检查证据")</f>
        <v>角色已验收</v>
      </c>
      <c r="AI45" s="121" t="str">
        <f aca="false">IF(COUNTIF($A$2:$A$91,A45)=1,"匹配","缺范围或重复")</f>
        <v>匹配</v>
      </c>
    </row>
    <row r="46" customFormat="false" ht="174" hidden="false" customHeight="true" outlineLevel="0" collapsed="false">
      <c r="A46" s="121" t="s">
        <v>3285</v>
      </c>
      <c r="B46" s="121" t="s">
        <v>234</v>
      </c>
      <c r="C46" s="121" t="s">
        <v>1669</v>
      </c>
      <c r="D46" s="121" t="s">
        <v>883</v>
      </c>
      <c r="E46" s="121" t="s">
        <v>3286</v>
      </c>
      <c r="F46" s="121" t="s">
        <v>2857</v>
      </c>
      <c r="G46" s="121" t="s">
        <v>3139</v>
      </c>
      <c r="H46" s="122" t="n">
        <v>73</v>
      </c>
      <c r="I46" s="122" t="n">
        <v>73</v>
      </c>
      <c r="J46" s="121" t="s">
        <v>3287</v>
      </c>
      <c r="K46" s="122" t="n">
        <v>12</v>
      </c>
      <c r="L46" s="121" t="s">
        <v>3288</v>
      </c>
      <c r="M46" s="122" t="n">
        <v>8</v>
      </c>
      <c r="N46" s="121" t="s">
        <v>2836</v>
      </c>
      <c r="O46" s="122" t="n">
        <v>0</v>
      </c>
      <c r="P46" s="122" t="n">
        <v>0</v>
      </c>
      <c r="Q46" s="122" t="n">
        <f aca="false">IF(F46="主角色提议",1,0)</f>
        <v>1</v>
      </c>
      <c r="R46" s="122" t="n">
        <f aca="false">IF(F46="非合同CIS",1,0)</f>
        <v>0</v>
      </c>
      <c r="S46" s="122" t="n">
        <f aca="false">IF(F46="映射保留",1,0)</f>
        <v>0</v>
      </c>
      <c r="T46" s="122" t="n">
        <v>1</v>
      </c>
      <c r="U46" s="121" t="s">
        <v>3289</v>
      </c>
      <c r="V46" s="121" t="s">
        <v>3290</v>
      </c>
      <c r="W46" s="121" t="s">
        <v>3291</v>
      </c>
      <c r="X46" s="121" t="s">
        <v>3292</v>
      </c>
      <c r="Y46" s="121" t="s">
        <v>3293</v>
      </c>
      <c r="Z46" s="121"/>
      <c r="AA46" s="121" t="str">
        <f aca="false">HYPERLINK("https://chatgpt.com/api/library/files/libfile_0420a2f7564481919a54668a656a1c0f/download","B17私有元数据包")</f>
        <v>B17私有元数据包</v>
      </c>
      <c r="AB46" s="121" t="s">
        <v>2842</v>
      </c>
      <c r="AC46" s="121" t="s">
        <v>3294</v>
      </c>
      <c r="AD46" s="123" t="n">
        <v>46321.3765253819</v>
      </c>
      <c r="AE46" s="123" t="n">
        <v>46321.3988737153</v>
      </c>
      <c r="AF46" s="123" t="n">
        <v>46321.4106714005</v>
      </c>
      <c r="AG46" s="121" t="s">
        <v>3295</v>
      </c>
      <c r="AH46" s="121" t="str">
        <f aca="false">IF(AND(AI46="匹配",LEN(V46)=64,J46&lt;&gt;"",L46&lt;&gt;"",K46&gt;0,M46&gt;0,AD46&gt;0,AE46&gt;0,AF46&gt;0,AG46&lt;&gt;"",N46="待全文",O46=0,P46=0,Q46+R46+S46=1),"角色已验收","需检查证据")</f>
        <v>角色已验收</v>
      </c>
      <c r="AI46" s="121" t="str">
        <f aca="false">IF(COUNTIF($A$2:$A$91,A46)=1,"匹配","缺范围或重复")</f>
        <v>匹配</v>
      </c>
    </row>
    <row r="47" customFormat="false" ht="190" hidden="false" customHeight="true" outlineLevel="0" collapsed="false">
      <c r="A47" s="121" t="s">
        <v>3296</v>
      </c>
      <c r="B47" s="121" t="s">
        <v>234</v>
      </c>
      <c r="C47" s="121" t="s">
        <v>1669</v>
      </c>
      <c r="D47" s="121" t="s">
        <v>883</v>
      </c>
      <c r="E47" s="121" t="s">
        <v>3297</v>
      </c>
      <c r="F47" s="121" t="s">
        <v>2857</v>
      </c>
      <c r="G47" s="121" t="s">
        <v>3264</v>
      </c>
      <c r="H47" s="122" t="n">
        <v>73</v>
      </c>
      <c r="I47" s="122" t="n">
        <v>73</v>
      </c>
      <c r="J47" s="121" t="s">
        <v>3298</v>
      </c>
      <c r="K47" s="122" t="n">
        <v>11</v>
      </c>
      <c r="L47" s="121" t="s">
        <v>3299</v>
      </c>
      <c r="M47" s="122" t="n">
        <v>8</v>
      </c>
      <c r="N47" s="121" t="s">
        <v>2836</v>
      </c>
      <c r="O47" s="122" t="n">
        <v>0</v>
      </c>
      <c r="P47" s="122" t="n">
        <v>0</v>
      </c>
      <c r="Q47" s="122" t="n">
        <f aca="false">IF(F47="主角色提议",1,0)</f>
        <v>1</v>
      </c>
      <c r="R47" s="122" t="n">
        <f aca="false">IF(F47="非合同CIS",1,0)</f>
        <v>0</v>
      </c>
      <c r="S47" s="122" t="n">
        <f aca="false">IF(F47="映射保留",1,0)</f>
        <v>0</v>
      </c>
      <c r="T47" s="122" t="n">
        <v>1</v>
      </c>
      <c r="U47" s="121" t="s">
        <v>3300</v>
      </c>
      <c r="V47" s="121" t="s">
        <v>3301</v>
      </c>
      <c r="W47" s="121" t="s">
        <v>3302</v>
      </c>
      <c r="X47" s="121" t="s">
        <v>3303</v>
      </c>
      <c r="Y47" s="121" t="s">
        <v>3304</v>
      </c>
      <c r="Z47" s="121"/>
      <c r="AA47" s="121" t="str">
        <f aca="false">HYPERLINK("https://chatgpt.com/api/library/files/libfile_0420a2f7564481919a54668a656a1c0f/download","B17私有元数据包")</f>
        <v>B17私有元数据包</v>
      </c>
      <c r="AB47" s="121" t="s">
        <v>2842</v>
      </c>
      <c r="AC47" s="121" t="s">
        <v>3305</v>
      </c>
      <c r="AD47" s="123" t="n">
        <v>46321.3765253819</v>
      </c>
      <c r="AE47" s="123" t="n">
        <v>46321.3988737153</v>
      </c>
      <c r="AF47" s="123" t="n">
        <v>46321.4106714005</v>
      </c>
      <c r="AG47" s="121" t="s">
        <v>3306</v>
      </c>
      <c r="AH47" s="121" t="str">
        <f aca="false">IF(AND(AI47="匹配",LEN(V47)=64,J47&lt;&gt;"",L47&lt;&gt;"",K47&gt;0,M47&gt;0,AD47&gt;0,AE47&gt;0,AF47&gt;0,AG47&lt;&gt;"",N47="待全文",O47=0,P47=0,Q47+R47+S47=1),"角色已验收","需检查证据")</f>
        <v>角色已验收</v>
      </c>
      <c r="AI47" s="121" t="str">
        <f aca="false">IF(COUNTIF($A$2:$A$91,A47)=1,"匹配","缺范围或重复")</f>
        <v>匹配</v>
      </c>
    </row>
    <row r="48" customFormat="false" ht="190" hidden="false" customHeight="true" outlineLevel="0" collapsed="false">
      <c r="A48" s="121" t="s">
        <v>3307</v>
      </c>
      <c r="B48" s="121" t="s">
        <v>234</v>
      </c>
      <c r="C48" s="121" t="s">
        <v>1669</v>
      </c>
      <c r="D48" s="121" t="s">
        <v>883</v>
      </c>
      <c r="E48" s="121" t="s">
        <v>3308</v>
      </c>
      <c r="F48" s="121" t="s">
        <v>2857</v>
      </c>
      <c r="G48" s="121" t="s">
        <v>3309</v>
      </c>
      <c r="H48" s="122" t="n">
        <v>76</v>
      </c>
      <c r="I48" s="122" t="n">
        <v>76</v>
      </c>
      <c r="J48" s="121" t="s">
        <v>3310</v>
      </c>
      <c r="K48" s="122" t="n">
        <v>11</v>
      </c>
      <c r="L48" s="121" t="s">
        <v>3311</v>
      </c>
      <c r="M48" s="122" t="n">
        <v>8</v>
      </c>
      <c r="N48" s="121" t="s">
        <v>2836</v>
      </c>
      <c r="O48" s="122" t="n">
        <v>0</v>
      </c>
      <c r="P48" s="122" t="n">
        <v>0</v>
      </c>
      <c r="Q48" s="122" t="n">
        <f aca="false">IF(F48="主角色提议",1,0)</f>
        <v>1</v>
      </c>
      <c r="R48" s="122" t="n">
        <f aca="false">IF(F48="非合同CIS",1,0)</f>
        <v>0</v>
      </c>
      <c r="S48" s="122" t="n">
        <f aca="false">IF(F48="映射保留",1,0)</f>
        <v>0</v>
      </c>
      <c r="T48" s="122" t="n">
        <v>1</v>
      </c>
      <c r="U48" s="121" t="s">
        <v>3312</v>
      </c>
      <c r="V48" s="121" t="s">
        <v>3313</v>
      </c>
      <c r="W48" s="121" t="s">
        <v>3314</v>
      </c>
      <c r="X48" s="121" t="s">
        <v>3315</v>
      </c>
      <c r="Y48" s="121" t="s">
        <v>3316</v>
      </c>
      <c r="Z48" s="121"/>
      <c r="AA48" s="121" t="str">
        <f aca="false">HYPERLINK("https://chatgpt.com/api/library/files/libfile_0420a2f7564481919a54668a656a1c0f/download","B17私有元数据包")</f>
        <v>B17私有元数据包</v>
      </c>
      <c r="AB48" s="121" t="s">
        <v>2842</v>
      </c>
      <c r="AC48" s="121" t="s">
        <v>3317</v>
      </c>
      <c r="AD48" s="123" t="n">
        <v>46321.3765253819</v>
      </c>
      <c r="AE48" s="123" t="n">
        <v>46321.3988737153</v>
      </c>
      <c r="AF48" s="123" t="n">
        <v>46321.4106714005</v>
      </c>
      <c r="AG48" s="121" t="s">
        <v>3318</v>
      </c>
      <c r="AH48" s="121" t="str">
        <f aca="false">IF(AND(AI48="匹配",LEN(V48)=64,J48&lt;&gt;"",L48&lt;&gt;"",K48&gt;0,M48&gt;0,AD48&gt;0,AE48&gt;0,AF48&gt;0,AG48&lt;&gt;"",N48="待全文",O48=0,P48=0,Q48+R48+S48=1),"角色已验收","需检查证据")</f>
        <v>角色已验收</v>
      </c>
      <c r="AI48" s="121" t="str">
        <f aca="false">IF(COUNTIF($A$2:$A$91,A48)=1,"匹配","缺范围或重复")</f>
        <v>匹配</v>
      </c>
    </row>
    <row r="49" customFormat="false" ht="190" hidden="false" customHeight="true" outlineLevel="0" collapsed="false">
      <c r="A49" s="121" t="s">
        <v>3319</v>
      </c>
      <c r="B49" s="121" t="s">
        <v>234</v>
      </c>
      <c r="C49" s="121" t="s">
        <v>1669</v>
      </c>
      <c r="D49" s="121" t="s">
        <v>883</v>
      </c>
      <c r="E49" s="121" t="s">
        <v>3320</v>
      </c>
      <c r="F49" s="121" t="s">
        <v>2857</v>
      </c>
      <c r="G49" s="121" t="s">
        <v>3264</v>
      </c>
      <c r="H49" s="122" t="n">
        <v>74</v>
      </c>
      <c r="I49" s="122" t="n">
        <v>74</v>
      </c>
      <c r="J49" s="121" t="s">
        <v>3321</v>
      </c>
      <c r="K49" s="122" t="n">
        <v>13</v>
      </c>
      <c r="L49" s="121" t="s">
        <v>3266</v>
      </c>
      <c r="M49" s="122" t="n">
        <v>8</v>
      </c>
      <c r="N49" s="121" t="s">
        <v>2836</v>
      </c>
      <c r="O49" s="122" t="n">
        <v>0</v>
      </c>
      <c r="P49" s="122" t="n">
        <v>0</v>
      </c>
      <c r="Q49" s="122" t="n">
        <f aca="false">IF(F49="主角色提议",1,0)</f>
        <v>1</v>
      </c>
      <c r="R49" s="122" t="n">
        <f aca="false">IF(F49="非合同CIS",1,0)</f>
        <v>0</v>
      </c>
      <c r="S49" s="122" t="n">
        <f aca="false">IF(F49="映射保留",1,0)</f>
        <v>0</v>
      </c>
      <c r="T49" s="122" t="n">
        <v>1</v>
      </c>
      <c r="U49" s="121" t="s">
        <v>3322</v>
      </c>
      <c r="V49" s="121" t="s">
        <v>3323</v>
      </c>
      <c r="W49" s="121" t="s">
        <v>3324</v>
      </c>
      <c r="X49" s="121" t="s">
        <v>3303</v>
      </c>
      <c r="Y49" s="121" t="s">
        <v>3325</v>
      </c>
      <c r="Z49" s="121"/>
      <c r="AA49" s="121" t="str">
        <f aca="false">HYPERLINK("https://chatgpt.com/api/library/files/libfile_0420a2f7564481919a54668a656a1c0f/download","B17私有元数据包")</f>
        <v>B17私有元数据包</v>
      </c>
      <c r="AB49" s="121" t="s">
        <v>2842</v>
      </c>
      <c r="AC49" s="121" t="s">
        <v>3326</v>
      </c>
      <c r="AD49" s="123" t="n">
        <v>46321.3765253819</v>
      </c>
      <c r="AE49" s="123" t="n">
        <v>46321.3988737153</v>
      </c>
      <c r="AF49" s="123" t="n">
        <v>46321.4106714005</v>
      </c>
      <c r="AG49" s="121" t="s">
        <v>3327</v>
      </c>
      <c r="AH49" s="121" t="str">
        <f aca="false">IF(AND(AI49="匹配",LEN(V49)=64,J49&lt;&gt;"",L49&lt;&gt;"",K49&gt;0,M49&gt;0,AD49&gt;0,AE49&gt;0,AF49&gt;0,AG49&lt;&gt;"",N49="待全文",O49=0,P49=0,Q49+R49+S49=1),"角色已验收","需检查证据")</f>
        <v>角色已验收</v>
      </c>
      <c r="AI49" s="121" t="str">
        <f aca="false">IF(COUNTIF($A$2:$A$91,A49)=1,"匹配","缺范围或重复")</f>
        <v>匹配</v>
      </c>
    </row>
    <row r="50" customFormat="false" ht="158" hidden="false" customHeight="true" outlineLevel="0" collapsed="false">
      <c r="A50" s="121" t="s">
        <v>3328</v>
      </c>
      <c r="B50" s="121" t="s">
        <v>234</v>
      </c>
      <c r="C50" s="121" t="s">
        <v>1669</v>
      </c>
      <c r="D50" s="121" t="s">
        <v>883</v>
      </c>
      <c r="E50" s="121" t="s">
        <v>3329</v>
      </c>
      <c r="F50" s="121" t="s">
        <v>2857</v>
      </c>
      <c r="G50" s="121" t="s">
        <v>3139</v>
      </c>
      <c r="H50" s="122" t="n">
        <v>78</v>
      </c>
      <c r="I50" s="122" t="n">
        <v>78</v>
      </c>
      <c r="J50" s="121" t="s">
        <v>3330</v>
      </c>
      <c r="K50" s="122" t="n">
        <v>13</v>
      </c>
      <c r="L50" s="121" t="s">
        <v>3331</v>
      </c>
      <c r="M50" s="122" t="n">
        <v>8</v>
      </c>
      <c r="N50" s="121" t="s">
        <v>2836</v>
      </c>
      <c r="O50" s="122" t="n">
        <v>0</v>
      </c>
      <c r="P50" s="122" t="n">
        <v>0</v>
      </c>
      <c r="Q50" s="122" t="n">
        <f aca="false">IF(F50="主角色提议",1,0)</f>
        <v>1</v>
      </c>
      <c r="R50" s="122" t="n">
        <f aca="false">IF(F50="非合同CIS",1,0)</f>
        <v>0</v>
      </c>
      <c r="S50" s="122" t="n">
        <f aca="false">IF(F50="映射保留",1,0)</f>
        <v>0</v>
      </c>
      <c r="T50" s="122" t="n">
        <v>1</v>
      </c>
      <c r="U50" s="121" t="s">
        <v>3332</v>
      </c>
      <c r="V50" s="121" t="s">
        <v>3333</v>
      </c>
      <c r="W50" s="121" t="s">
        <v>3334</v>
      </c>
      <c r="X50" s="121" t="s">
        <v>3335</v>
      </c>
      <c r="Y50" s="121" t="s">
        <v>3336</v>
      </c>
      <c r="Z50" s="121"/>
      <c r="AA50" s="121" t="str">
        <f aca="false">HYPERLINK("https://chatgpt.com/api/library/files/libfile_0420a2f7564481919a54668a656a1c0f/download","B17私有元数据包")</f>
        <v>B17私有元数据包</v>
      </c>
      <c r="AB50" s="121" t="s">
        <v>2842</v>
      </c>
      <c r="AC50" s="121" t="s">
        <v>3337</v>
      </c>
      <c r="AD50" s="123" t="n">
        <v>46321.3765253819</v>
      </c>
      <c r="AE50" s="123" t="n">
        <v>46321.3988737153</v>
      </c>
      <c r="AF50" s="123" t="n">
        <v>46321.4106714005</v>
      </c>
      <c r="AG50" s="121" t="s">
        <v>3338</v>
      </c>
      <c r="AH50" s="121" t="str">
        <f aca="false">IF(AND(AI50="匹配",LEN(V50)=64,J50&lt;&gt;"",L50&lt;&gt;"",K50&gt;0,M50&gt;0,AD50&gt;0,AE50&gt;0,AF50&gt;0,AG50&lt;&gt;"",N50="待全文",O50=0,P50=0,Q50+R50+S50=1),"角色已验收","需检查证据")</f>
        <v>角色已验收</v>
      </c>
      <c r="AI50" s="121" t="str">
        <f aca="false">IF(COUNTIF($A$2:$A$91,A50)=1,"匹配","缺范围或重复")</f>
        <v>匹配</v>
      </c>
    </row>
    <row r="51" customFormat="false" ht="190" hidden="false" customHeight="true" outlineLevel="0" collapsed="false">
      <c r="A51" s="121" t="s">
        <v>3339</v>
      </c>
      <c r="B51" s="121" t="s">
        <v>234</v>
      </c>
      <c r="C51" s="121" t="s">
        <v>1669</v>
      </c>
      <c r="D51" s="121" t="s">
        <v>883</v>
      </c>
      <c r="E51" s="121" t="s">
        <v>3340</v>
      </c>
      <c r="F51" s="121" t="s">
        <v>2857</v>
      </c>
      <c r="G51" s="121" t="s">
        <v>3264</v>
      </c>
      <c r="H51" s="122" t="n">
        <v>74</v>
      </c>
      <c r="I51" s="122" t="n">
        <v>74</v>
      </c>
      <c r="J51" s="121" t="s">
        <v>3321</v>
      </c>
      <c r="K51" s="122" t="n">
        <v>13</v>
      </c>
      <c r="L51" s="121" t="s">
        <v>3341</v>
      </c>
      <c r="M51" s="122" t="n">
        <v>8</v>
      </c>
      <c r="N51" s="121" t="s">
        <v>2836</v>
      </c>
      <c r="O51" s="122" t="n">
        <v>0</v>
      </c>
      <c r="P51" s="122" t="n">
        <v>0</v>
      </c>
      <c r="Q51" s="122" t="n">
        <f aca="false">IF(F51="主角色提议",1,0)</f>
        <v>1</v>
      </c>
      <c r="R51" s="122" t="n">
        <f aca="false">IF(F51="非合同CIS",1,0)</f>
        <v>0</v>
      </c>
      <c r="S51" s="122" t="n">
        <f aca="false">IF(F51="映射保留",1,0)</f>
        <v>0</v>
      </c>
      <c r="T51" s="122" t="n">
        <v>1</v>
      </c>
      <c r="U51" s="121" t="s">
        <v>3342</v>
      </c>
      <c r="V51" s="121" t="s">
        <v>3343</v>
      </c>
      <c r="W51" s="121" t="s">
        <v>3344</v>
      </c>
      <c r="X51" s="121" t="s">
        <v>3303</v>
      </c>
      <c r="Y51" s="121" t="s">
        <v>3345</v>
      </c>
      <c r="Z51" s="121"/>
      <c r="AA51" s="121" t="str">
        <f aca="false">HYPERLINK("https://chatgpt.com/api/library/files/libfile_0420a2f7564481919a54668a656a1c0f/download","B17私有元数据包")</f>
        <v>B17私有元数据包</v>
      </c>
      <c r="AB51" s="121" t="s">
        <v>2842</v>
      </c>
      <c r="AC51" s="121" t="s">
        <v>3346</v>
      </c>
      <c r="AD51" s="123" t="n">
        <v>46321.3765253819</v>
      </c>
      <c r="AE51" s="123" t="n">
        <v>46321.3988737153</v>
      </c>
      <c r="AF51" s="123" t="n">
        <v>46321.4106714005</v>
      </c>
      <c r="AG51" s="121" t="s">
        <v>3347</v>
      </c>
      <c r="AH51" s="121" t="str">
        <f aca="false">IF(AND(AI51="匹配",LEN(V51)=64,J51&lt;&gt;"",L51&lt;&gt;"",K51&gt;0,M51&gt;0,AD51&gt;0,AE51&gt;0,AF51&gt;0,AG51&lt;&gt;"",N51="待全文",O51=0,P51=0,Q51+R51+S51=1),"角色已验收","需检查证据")</f>
        <v>角色已验收</v>
      </c>
      <c r="AI51" s="121" t="str">
        <f aca="false">IF(COUNTIF($A$2:$A$91,A51)=1,"匹配","缺范围或重复")</f>
        <v>匹配</v>
      </c>
    </row>
    <row r="52" customFormat="false" ht="126" hidden="false" customHeight="true" outlineLevel="0" collapsed="false">
      <c r="A52" s="121" t="s">
        <v>3348</v>
      </c>
      <c r="B52" s="121" t="s">
        <v>234</v>
      </c>
      <c r="C52" s="121" t="s">
        <v>1669</v>
      </c>
      <c r="D52" s="121" t="s">
        <v>883</v>
      </c>
      <c r="E52" s="121" t="s">
        <v>3349</v>
      </c>
      <c r="F52" s="121" t="s">
        <v>2857</v>
      </c>
      <c r="G52" s="121" t="s">
        <v>3350</v>
      </c>
      <c r="H52" s="122" t="n">
        <v>78</v>
      </c>
      <c r="I52" s="122" t="n">
        <v>78</v>
      </c>
      <c r="J52" s="121" t="s">
        <v>3351</v>
      </c>
      <c r="K52" s="122" t="n">
        <v>13</v>
      </c>
      <c r="L52" s="121" t="s">
        <v>3352</v>
      </c>
      <c r="M52" s="122" t="n">
        <v>8</v>
      </c>
      <c r="N52" s="121" t="s">
        <v>2836</v>
      </c>
      <c r="O52" s="122" t="n">
        <v>0</v>
      </c>
      <c r="P52" s="122" t="n">
        <v>0</v>
      </c>
      <c r="Q52" s="122" t="n">
        <f aca="false">IF(F52="主角色提议",1,0)</f>
        <v>1</v>
      </c>
      <c r="R52" s="122" t="n">
        <f aca="false">IF(F52="非合同CIS",1,0)</f>
        <v>0</v>
      </c>
      <c r="S52" s="122" t="n">
        <f aca="false">IF(F52="映射保留",1,0)</f>
        <v>0</v>
      </c>
      <c r="T52" s="122" t="n">
        <v>1</v>
      </c>
      <c r="U52" s="121" t="s">
        <v>3353</v>
      </c>
      <c r="V52" s="121" t="s">
        <v>3354</v>
      </c>
      <c r="W52" s="121" t="s">
        <v>3355</v>
      </c>
      <c r="X52" s="121" t="s">
        <v>3356</v>
      </c>
      <c r="Y52" s="121" t="s">
        <v>3357</v>
      </c>
      <c r="Z52" s="121"/>
      <c r="AA52" s="121" t="str">
        <f aca="false">HYPERLINK("https://chatgpt.com/api/library/files/libfile_0420a2f7564481919a54668a656a1c0f/download","B17私有元数据包")</f>
        <v>B17私有元数据包</v>
      </c>
      <c r="AB52" s="121" t="s">
        <v>2842</v>
      </c>
      <c r="AC52" s="121" t="s">
        <v>3358</v>
      </c>
      <c r="AD52" s="123" t="n">
        <v>46321.3765253819</v>
      </c>
      <c r="AE52" s="123" t="n">
        <v>46321.3988737153</v>
      </c>
      <c r="AF52" s="123" t="n">
        <v>46321.4106714005</v>
      </c>
      <c r="AG52" s="121" t="s">
        <v>3359</v>
      </c>
      <c r="AH52" s="121" t="str">
        <f aca="false">IF(AND(AI52="匹配",LEN(V52)=64,J52&lt;&gt;"",L52&lt;&gt;"",K52&gt;0,M52&gt;0,AD52&gt;0,AE52&gt;0,AF52&gt;0,AG52&lt;&gt;"",N52="待全文",O52=0,P52=0,Q52+R52+S52=1),"角色已验收","需检查证据")</f>
        <v>角色已验收</v>
      </c>
      <c r="AI52" s="121" t="str">
        <f aca="false">IF(COUNTIF($A$2:$A$91,A52)=1,"匹配","缺范围或重复")</f>
        <v>匹配</v>
      </c>
    </row>
    <row r="53" customFormat="false" ht="174" hidden="false" customHeight="true" outlineLevel="0" collapsed="false">
      <c r="A53" s="121" t="s">
        <v>3360</v>
      </c>
      <c r="B53" s="121" t="s">
        <v>234</v>
      </c>
      <c r="C53" s="121" t="s">
        <v>1669</v>
      </c>
      <c r="D53" s="121" t="s">
        <v>883</v>
      </c>
      <c r="E53" s="121" t="s">
        <v>3361</v>
      </c>
      <c r="F53" s="121" t="s">
        <v>2857</v>
      </c>
      <c r="G53" s="121" t="s">
        <v>3139</v>
      </c>
      <c r="H53" s="122" t="n">
        <v>79</v>
      </c>
      <c r="I53" s="122" t="n">
        <v>79</v>
      </c>
      <c r="J53" s="121" t="s">
        <v>3362</v>
      </c>
      <c r="K53" s="122" t="n">
        <v>9</v>
      </c>
      <c r="L53" s="121" t="s">
        <v>3363</v>
      </c>
      <c r="M53" s="122" t="n">
        <v>9</v>
      </c>
      <c r="N53" s="121" t="s">
        <v>2836</v>
      </c>
      <c r="O53" s="122" t="n">
        <v>0</v>
      </c>
      <c r="P53" s="122" t="n">
        <v>0</v>
      </c>
      <c r="Q53" s="122" t="n">
        <f aca="false">IF(F53="主角色提议",1,0)</f>
        <v>1</v>
      </c>
      <c r="R53" s="122" t="n">
        <f aca="false">IF(F53="非合同CIS",1,0)</f>
        <v>0</v>
      </c>
      <c r="S53" s="122" t="n">
        <f aca="false">IF(F53="映射保留",1,0)</f>
        <v>0</v>
      </c>
      <c r="T53" s="122" t="n">
        <v>1</v>
      </c>
      <c r="U53" s="121" t="s">
        <v>3364</v>
      </c>
      <c r="V53" s="121" t="s">
        <v>3365</v>
      </c>
      <c r="W53" s="121" t="s">
        <v>3366</v>
      </c>
      <c r="X53" s="121" t="s">
        <v>3367</v>
      </c>
      <c r="Y53" s="121" t="s">
        <v>3368</v>
      </c>
      <c r="Z53" s="121"/>
      <c r="AA53" s="121" t="str">
        <f aca="false">HYPERLINK("https://chatgpt.com/api/library/files/libfile_0420a2f7564481919a54668a656a1c0f/download","B17私有元数据包")</f>
        <v>B17私有元数据包</v>
      </c>
      <c r="AB53" s="121" t="s">
        <v>2842</v>
      </c>
      <c r="AC53" s="121" t="s">
        <v>3369</v>
      </c>
      <c r="AD53" s="123" t="n">
        <v>46321.3765253819</v>
      </c>
      <c r="AE53" s="123" t="n">
        <v>46321.3988737153</v>
      </c>
      <c r="AF53" s="123" t="n">
        <v>46321.4106714005</v>
      </c>
      <c r="AG53" s="121" t="s">
        <v>3370</v>
      </c>
      <c r="AH53" s="121" t="str">
        <f aca="false">IF(AND(AI53="匹配",LEN(V53)=64,J53&lt;&gt;"",L53&lt;&gt;"",K53&gt;0,M53&gt;0,AD53&gt;0,AE53&gt;0,AF53&gt;0,AG53&lt;&gt;"",N53="待全文",O53=0,P53=0,Q53+R53+S53=1),"角色已验收","需检查证据")</f>
        <v>角色已验收</v>
      </c>
      <c r="AI53" s="121" t="str">
        <f aca="false">IF(COUNTIF($A$2:$A$91,A53)=1,"匹配","缺范围或重复")</f>
        <v>匹配</v>
      </c>
    </row>
    <row r="54" customFormat="false" ht="158" hidden="false" customHeight="true" outlineLevel="0" collapsed="false">
      <c r="A54" s="121" t="s">
        <v>3371</v>
      </c>
      <c r="B54" s="121" t="s">
        <v>234</v>
      </c>
      <c r="C54" s="121" t="s">
        <v>1669</v>
      </c>
      <c r="D54" s="121" t="s">
        <v>883</v>
      </c>
      <c r="E54" s="121" t="s">
        <v>3372</v>
      </c>
      <c r="F54" s="121" t="s">
        <v>2857</v>
      </c>
      <c r="G54" s="121" t="s">
        <v>3373</v>
      </c>
      <c r="H54" s="122" t="n">
        <v>72</v>
      </c>
      <c r="I54" s="122" t="n">
        <v>72</v>
      </c>
      <c r="J54" s="121" t="s">
        <v>3374</v>
      </c>
      <c r="K54" s="122" t="n">
        <v>13</v>
      </c>
      <c r="L54" s="121" t="s">
        <v>3375</v>
      </c>
      <c r="M54" s="122" t="n">
        <v>8</v>
      </c>
      <c r="N54" s="121" t="s">
        <v>2836</v>
      </c>
      <c r="O54" s="122" t="n">
        <v>0</v>
      </c>
      <c r="P54" s="122" t="n">
        <v>0</v>
      </c>
      <c r="Q54" s="122" t="n">
        <f aca="false">IF(F54="主角色提议",1,0)</f>
        <v>1</v>
      </c>
      <c r="R54" s="122" t="n">
        <f aca="false">IF(F54="非合同CIS",1,0)</f>
        <v>0</v>
      </c>
      <c r="S54" s="122" t="n">
        <f aca="false">IF(F54="映射保留",1,0)</f>
        <v>0</v>
      </c>
      <c r="T54" s="122" t="n">
        <v>1</v>
      </c>
      <c r="U54" s="121" t="s">
        <v>3376</v>
      </c>
      <c r="V54" s="121" t="s">
        <v>3377</v>
      </c>
      <c r="W54" s="121" t="s">
        <v>3378</v>
      </c>
      <c r="X54" s="121" t="s">
        <v>3379</v>
      </c>
      <c r="Y54" s="121" t="s">
        <v>3380</v>
      </c>
      <c r="Z54" s="121"/>
      <c r="AA54" s="121" t="str">
        <f aca="false">HYPERLINK("https://chatgpt.com/api/library/files/libfile_0420a2f7564481919a54668a656a1c0f/download","B17私有元数据包")</f>
        <v>B17私有元数据包</v>
      </c>
      <c r="AB54" s="121" t="s">
        <v>2842</v>
      </c>
      <c r="AC54" s="121" t="s">
        <v>3381</v>
      </c>
      <c r="AD54" s="123" t="n">
        <v>46321.3765253819</v>
      </c>
      <c r="AE54" s="123" t="n">
        <v>46321.3988737153</v>
      </c>
      <c r="AF54" s="123" t="n">
        <v>46321.4106714005</v>
      </c>
      <c r="AG54" s="121" t="s">
        <v>3382</v>
      </c>
      <c r="AH54" s="121" t="str">
        <f aca="false">IF(AND(AI54="匹配",LEN(V54)=64,J54&lt;&gt;"",L54&lt;&gt;"",K54&gt;0,M54&gt;0,AD54&gt;0,AE54&gt;0,AF54&gt;0,AG54&lt;&gt;"",N54="待全文",O54=0,P54=0,Q54+R54+S54=1),"角色已验收","需检查证据")</f>
        <v>角色已验收</v>
      </c>
      <c r="AI54" s="121" t="str">
        <f aca="false">IF(COUNTIF($A$2:$A$91,A54)=1,"匹配","缺范围或重复")</f>
        <v>匹配</v>
      </c>
    </row>
    <row r="55" customFormat="false" ht="126" hidden="false" customHeight="true" outlineLevel="0" collapsed="false">
      <c r="A55" s="121" t="s">
        <v>3383</v>
      </c>
      <c r="B55" s="121" t="s">
        <v>234</v>
      </c>
      <c r="C55" s="121" t="s">
        <v>1669</v>
      </c>
      <c r="D55" s="121" t="s">
        <v>883</v>
      </c>
      <c r="E55" s="121" t="s">
        <v>3384</v>
      </c>
      <c r="F55" s="121" t="s">
        <v>2857</v>
      </c>
      <c r="G55" s="121" t="s">
        <v>3350</v>
      </c>
      <c r="H55" s="122" t="n">
        <v>75</v>
      </c>
      <c r="I55" s="122" t="n">
        <v>75</v>
      </c>
      <c r="J55" s="121" t="s">
        <v>3385</v>
      </c>
      <c r="K55" s="122" t="n">
        <v>13</v>
      </c>
      <c r="L55" s="121" t="s">
        <v>3386</v>
      </c>
      <c r="M55" s="122" t="n">
        <v>8</v>
      </c>
      <c r="N55" s="121" t="s">
        <v>2836</v>
      </c>
      <c r="O55" s="122" t="n">
        <v>0</v>
      </c>
      <c r="P55" s="122" t="n">
        <v>0</v>
      </c>
      <c r="Q55" s="122" t="n">
        <f aca="false">IF(F55="主角色提议",1,0)</f>
        <v>1</v>
      </c>
      <c r="R55" s="122" t="n">
        <f aca="false">IF(F55="非合同CIS",1,0)</f>
        <v>0</v>
      </c>
      <c r="S55" s="122" t="n">
        <f aca="false">IF(F55="映射保留",1,0)</f>
        <v>0</v>
      </c>
      <c r="T55" s="122" t="n">
        <v>1</v>
      </c>
      <c r="U55" s="121" t="s">
        <v>3387</v>
      </c>
      <c r="V55" s="121" t="s">
        <v>3388</v>
      </c>
      <c r="W55" s="121" t="s">
        <v>3389</v>
      </c>
      <c r="X55" s="121" t="s">
        <v>3390</v>
      </c>
      <c r="Y55" s="121" t="s">
        <v>3391</v>
      </c>
      <c r="Z55" s="121"/>
      <c r="AA55" s="121" t="str">
        <f aca="false">HYPERLINK("https://chatgpt.com/api/library/files/libfile_0420a2f7564481919a54668a656a1c0f/download","B17私有元数据包")</f>
        <v>B17私有元数据包</v>
      </c>
      <c r="AB55" s="121" t="s">
        <v>2842</v>
      </c>
      <c r="AC55" s="121" t="s">
        <v>3392</v>
      </c>
      <c r="AD55" s="123" t="n">
        <v>46321.3765253819</v>
      </c>
      <c r="AE55" s="123" t="n">
        <v>46321.3988737153</v>
      </c>
      <c r="AF55" s="123" t="n">
        <v>46321.4106714005</v>
      </c>
      <c r="AG55" s="121" t="s">
        <v>3393</v>
      </c>
      <c r="AH55" s="121" t="str">
        <f aca="false">IF(AND(AI55="匹配",LEN(V55)=64,J55&lt;&gt;"",L55&lt;&gt;"",K55&gt;0,M55&gt;0,AD55&gt;0,AE55&gt;0,AF55&gt;0,AG55&lt;&gt;"",N55="待全文",O55=0,P55=0,Q55+R55+S55=1),"角色已验收","需检查证据")</f>
        <v>角色已验收</v>
      </c>
      <c r="AI55" s="121" t="str">
        <f aca="false">IF(COUNTIF($A$2:$A$91,A55)=1,"匹配","缺范围或重复")</f>
        <v>匹配</v>
      </c>
    </row>
    <row r="56" customFormat="false" ht="158" hidden="false" customHeight="true" outlineLevel="0" collapsed="false">
      <c r="A56" s="121" t="s">
        <v>3394</v>
      </c>
      <c r="B56" s="121" t="s">
        <v>234</v>
      </c>
      <c r="C56" s="121" t="s">
        <v>1669</v>
      </c>
      <c r="D56" s="121" t="s">
        <v>883</v>
      </c>
      <c r="E56" s="121" t="s">
        <v>3395</v>
      </c>
      <c r="F56" s="121" t="s">
        <v>2857</v>
      </c>
      <c r="G56" s="121" t="s">
        <v>3373</v>
      </c>
      <c r="H56" s="122" t="n">
        <v>69</v>
      </c>
      <c r="I56" s="122" t="n">
        <v>69</v>
      </c>
      <c r="J56" s="121" t="s">
        <v>3396</v>
      </c>
      <c r="K56" s="122" t="n">
        <v>13</v>
      </c>
      <c r="L56" s="121" t="s">
        <v>3397</v>
      </c>
      <c r="M56" s="122" t="n">
        <v>8</v>
      </c>
      <c r="N56" s="121" t="s">
        <v>2836</v>
      </c>
      <c r="O56" s="122" t="n">
        <v>0</v>
      </c>
      <c r="P56" s="122" t="n">
        <v>0</v>
      </c>
      <c r="Q56" s="122" t="n">
        <f aca="false">IF(F56="主角色提议",1,0)</f>
        <v>1</v>
      </c>
      <c r="R56" s="122" t="n">
        <f aca="false">IF(F56="非合同CIS",1,0)</f>
        <v>0</v>
      </c>
      <c r="S56" s="122" t="n">
        <f aca="false">IF(F56="映射保留",1,0)</f>
        <v>0</v>
      </c>
      <c r="T56" s="122" t="n">
        <v>1</v>
      </c>
      <c r="U56" s="121" t="s">
        <v>3398</v>
      </c>
      <c r="V56" s="121" t="s">
        <v>3399</v>
      </c>
      <c r="W56" s="121" t="s">
        <v>3400</v>
      </c>
      <c r="X56" s="121" t="s">
        <v>3401</v>
      </c>
      <c r="Y56" s="121" t="s">
        <v>3402</v>
      </c>
      <c r="Z56" s="121"/>
      <c r="AA56" s="121" t="str">
        <f aca="false">HYPERLINK("https://chatgpt.com/api/library/files/libfile_0420a2f7564481919a54668a656a1c0f/download","B17私有元数据包")</f>
        <v>B17私有元数据包</v>
      </c>
      <c r="AB56" s="121" t="s">
        <v>2842</v>
      </c>
      <c r="AC56" s="121" t="s">
        <v>3403</v>
      </c>
      <c r="AD56" s="123" t="n">
        <v>46321.3765253819</v>
      </c>
      <c r="AE56" s="123" t="n">
        <v>46321.3988737153</v>
      </c>
      <c r="AF56" s="123" t="n">
        <v>46321.4106714005</v>
      </c>
      <c r="AG56" s="121" t="s">
        <v>3404</v>
      </c>
      <c r="AH56" s="121" t="str">
        <f aca="false">IF(AND(AI56="匹配",LEN(V56)=64,J56&lt;&gt;"",L56&lt;&gt;"",K56&gt;0,M56&gt;0,AD56&gt;0,AE56&gt;0,AF56&gt;0,AG56&lt;&gt;"",N56="待全文",O56=0,P56=0,Q56+R56+S56=1),"角色已验收","需检查证据")</f>
        <v>角色已验收</v>
      </c>
      <c r="AI56" s="121" t="str">
        <f aca="false">IF(COUNTIF($A$2:$A$91,A56)=1,"匹配","缺范围或重复")</f>
        <v>匹配</v>
      </c>
    </row>
    <row r="57" customFormat="false" ht="158" hidden="false" customHeight="true" outlineLevel="0" collapsed="false">
      <c r="A57" s="121" t="s">
        <v>3405</v>
      </c>
      <c r="B57" s="121" t="s">
        <v>234</v>
      </c>
      <c r="C57" s="121" t="s">
        <v>1669</v>
      </c>
      <c r="D57" s="121" t="s">
        <v>883</v>
      </c>
      <c r="E57" s="121" t="s">
        <v>3406</v>
      </c>
      <c r="F57" s="121" t="s">
        <v>2857</v>
      </c>
      <c r="G57" s="121" t="s">
        <v>3373</v>
      </c>
      <c r="H57" s="122" t="n">
        <v>69</v>
      </c>
      <c r="I57" s="122" t="n">
        <v>69</v>
      </c>
      <c r="J57" s="121" t="s">
        <v>3407</v>
      </c>
      <c r="K57" s="122" t="n">
        <v>13</v>
      </c>
      <c r="L57" s="121" t="s">
        <v>3408</v>
      </c>
      <c r="M57" s="122" t="n">
        <v>8</v>
      </c>
      <c r="N57" s="121" t="s">
        <v>2836</v>
      </c>
      <c r="O57" s="122" t="n">
        <v>0</v>
      </c>
      <c r="P57" s="122" t="n">
        <v>0</v>
      </c>
      <c r="Q57" s="122" t="n">
        <f aca="false">IF(F57="主角色提议",1,0)</f>
        <v>1</v>
      </c>
      <c r="R57" s="122" t="n">
        <f aca="false">IF(F57="非合同CIS",1,0)</f>
        <v>0</v>
      </c>
      <c r="S57" s="122" t="n">
        <f aca="false">IF(F57="映射保留",1,0)</f>
        <v>0</v>
      </c>
      <c r="T57" s="122" t="n">
        <v>1</v>
      </c>
      <c r="U57" s="121" t="s">
        <v>3409</v>
      </c>
      <c r="V57" s="121" t="s">
        <v>3410</v>
      </c>
      <c r="W57" s="121" t="s">
        <v>3411</v>
      </c>
      <c r="X57" s="121" t="s">
        <v>3401</v>
      </c>
      <c r="Y57" s="121" t="s">
        <v>3412</v>
      </c>
      <c r="Z57" s="121"/>
      <c r="AA57" s="121" t="str">
        <f aca="false">HYPERLINK("https://chatgpt.com/api/library/files/libfile_0420a2f7564481919a54668a656a1c0f/download","B17私有元数据包")</f>
        <v>B17私有元数据包</v>
      </c>
      <c r="AB57" s="121" t="s">
        <v>2842</v>
      </c>
      <c r="AC57" s="121" t="s">
        <v>3413</v>
      </c>
      <c r="AD57" s="123" t="n">
        <v>46321.3765253819</v>
      </c>
      <c r="AE57" s="123" t="n">
        <v>46321.3988737153</v>
      </c>
      <c r="AF57" s="123" t="n">
        <v>46321.4106714005</v>
      </c>
      <c r="AG57" s="121" t="s">
        <v>3414</v>
      </c>
      <c r="AH57" s="121" t="str">
        <f aca="false">IF(AND(AI57="匹配",LEN(V57)=64,J57&lt;&gt;"",L57&lt;&gt;"",K57&gt;0,M57&gt;0,AD57&gt;0,AE57&gt;0,AF57&gt;0,AG57&lt;&gt;"",N57="待全文",O57=0,P57=0,Q57+R57+S57=1),"角色已验收","需检查证据")</f>
        <v>角色已验收</v>
      </c>
      <c r="AI57" s="121" t="str">
        <f aca="false">IF(COUNTIF($A$2:$A$91,A57)=1,"匹配","缺范围或重复")</f>
        <v>匹配</v>
      </c>
    </row>
    <row r="58" customFormat="false" ht="174" hidden="false" customHeight="true" outlineLevel="0" collapsed="false">
      <c r="A58" s="121" t="s">
        <v>3415</v>
      </c>
      <c r="B58" s="121" t="s">
        <v>234</v>
      </c>
      <c r="C58" s="121" t="s">
        <v>1669</v>
      </c>
      <c r="D58" s="121" t="s">
        <v>883</v>
      </c>
      <c r="E58" s="121" t="s">
        <v>3416</v>
      </c>
      <c r="F58" s="121" t="s">
        <v>2857</v>
      </c>
      <c r="G58" s="121" t="s">
        <v>3139</v>
      </c>
      <c r="H58" s="122" t="n">
        <v>74</v>
      </c>
      <c r="I58" s="122" t="n">
        <v>74</v>
      </c>
      <c r="J58" s="121" t="s">
        <v>3417</v>
      </c>
      <c r="K58" s="122" t="n">
        <v>10</v>
      </c>
      <c r="L58" s="121" t="s">
        <v>3418</v>
      </c>
      <c r="M58" s="122" t="n">
        <v>9</v>
      </c>
      <c r="N58" s="121" t="s">
        <v>2836</v>
      </c>
      <c r="O58" s="122" t="n">
        <v>0</v>
      </c>
      <c r="P58" s="122" t="n">
        <v>0</v>
      </c>
      <c r="Q58" s="122" t="n">
        <f aca="false">IF(F58="主角色提议",1,0)</f>
        <v>1</v>
      </c>
      <c r="R58" s="122" t="n">
        <f aca="false">IF(F58="非合同CIS",1,0)</f>
        <v>0</v>
      </c>
      <c r="S58" s="122" t="n">
        <f aca="false">IF(F58="映射保留",1,0)</f>
        <v>0</v>
      </c>
      <c r="T58" s="122" t="n">
        <v>1</v>
      </c>
      <c r="U58" s="121" t="s">
        <v>3419</v>
      </c>
      <c r="V58" s="121" t="s">
        <v>3420</v>
      </c>
      <c r="W58" s="121" t="s">
        <v>3421</v>
      </c>
      <c r="X58" s="121" t="s">
        <v>3422</v>
      </c>
      <c r="Y58" s="121" t="s">
        <v>3423</v>
      </c>
      <c r="Z58" s="121"/>
      <c r="AA58" s="121" t="str">
        <f aca="false">HYPERLINK("https://chatgpt.com/api/library/files/libfile_0420a2f7564481919a54668a656a1c0f/download","B17私有元数据包")</f>
        <v>B17私有元数据包</v>
      </c>
      <c r="AB58" s="121" t="s">
        <v>2842</v>
      </c>
      <c r="AC58" s="121" t="s">
        <v>3424</v>
      </c>
      <c r="AD58" s="123" t="n">
        <v>46321.3765253819</v>
      </c>
      <c r="AE58" s="123" t="n">
        <v>46321.3988737153</v>
      </c>
      <c r="AF58" s="123" t="n">
        <v>46321.4106714005</v>
      </c>
      <c r="AG58" s="121" t="s">
        <v>3425</v>
      </c>
      <c r="AH58" s="121" t="str">
        <f aca="false">IF(AND(AI58="匹配",LEN(V58)=64,J58&lt;&gt;"",L58&lt;&gt;"",K58&gt;0,M58&gt;0,AD58&gt;0,AE58&gt;0,AF58&gt;0,AG58&lt;&gt;"",N58="待全文",O58=0,P58=0,Q58+R58+S58=1),"角色已验收","需检查证据")</f>
        <v>角色已验收</v>
      </c>
      <c r="AI58" s="121" t="str">
        <f aca="false">IF(COUNTIF($A$2:$A$91,A58)=1,"匹配","缺范围或重复")</f>
        <v>匹配</v>
      </c>
    </row>
    <row r="59" customFormat="false" ht="142" hidden="false" customHeight="true" outlineLevel="0" collapsed="false">
      <c r="A59" s="121" t="s">
        <v>3426</v>
      </c>
      <c r="B59" s="121" t="s">
        <v>234</v>
      </c>
      <c r="C59" s="121" t="s">
        <v>1669</v>
      </c>
      <c r="D59" s="121" t="s">
        <v>883</v>
      </c>
      <c r="E59" s="121" t="s">
        <v>3427</v>
      </c>
      <c r="F59" s="121" t="s">
        <v>2857</v>
      </c>
      <c r="G59" s="121" t="s">
        <v>3428</v>
      </c>
      <c r="H59" s="122" t="n">
        <v>44</v>
      </c>
      <c r="I59" s="122" t="n">
        <v>44</v>
      </c>
      <c r="J59" s="121" t="s">
        <v>3429</v>
      </c>
      <c r="K59" s="122" t="n">
        <v>8</v>
      </c>
      <c r="L59" s="121" t="s">
        <v>3430</v>
      </c>
      <c r="M59" s="122" t="n">
        <v>7</v>
      </c>
      <c r="N59" s="121" t="s">
        <v>2836</v>
      </c>
      <c r="O59" s="122" t="n">
        <v>0</v>
      </c>
      <c r="P59" s="122" t="n">
        <v>0</v>
      </c>
      <c r="Q59" s="122" t="n">
        <f aca="false">IF(F59="主角色提议",1,0)</f>
        <v>1</v>
      </c>
      <c r="R59" s="122" t="n">
        <f aca="false">IF(F59="非合同CIS",1,0)</f>
        <v>0</v>
      </c>
      <c r="S59" s="122" t="n">
        <f aca="false">IF(F59="映射保留",1,0)</f>
        <v>0</v>
      </c>
      <c r="T59" s="122" t="n">
        <v>1</v>
      </c>
      <c r="U59" s="121" t="s">
        <v>3431</v>
      </c>
      <c r="V59" s="121" t="s">
        <v>3432</v>
      </c>
      <c r="W59" s="121" t="s">
        <v>3433</v>
      </c>
      <c r="X59" s="121" t="s">
        <v>3434</v>
      </c>
      <c r="Y59" s="121" t="s">
        <v>3435</v>
      </c>
      <c r="Z59" s="121"/>
      <c r="AA59" s="121" t="str">
        <f aca="false">HYPERLINK("https://chatgpt.com/api/library/files/libfile_0420a2f7564481919a54668a656a1c0f/download","B17私有元数据包")</f>
        <v>B17私有元数据包</v>
      </c>
      <c r="AB59" s="121" t="s">
        <v>2842</v>
      </c>
      <c r="AC59" s="121" t="s">
        <v>3436</v>
      </c>
      <c r="AD59" s="123" t="n">
        <v>46321.3765253819</v>
      </c>
      <c r="AE59" s="123" t="n">
        <v>46321.3988737153</v>
      </c>
      <c r="AF59" s="123" t="n">
        <v>46321.4106714005</v>
      </c>
      <c r="AG59" s="121" t="s">
        <v>3437</v>
      </c>
      <c r="AH59" s="121" t="str">
        <f aca="false">IF(AND(AI59="匹配",LEN(V59)=64,J59&lt;&gt;"",L59&lt;&gt;"",K59&gt;0,M59&gt;0,AD59&gt;0,AE59&gt;0,AF59&gt;0,AG59&lt;&gt;"",N59="待全文",O59=0,P59=0,Q59+R59+S59=1),"角色已验收","需检查证据")</f>
        <v>角色已验收</v>
      </c>
      <c r="AI59" s="121" t="str">
        <f aca="false">IF(COUNTIF($A$2:$A$91,A59)=1,"匹配","缺范围或重复")</f>
        <v>匹配</v>
      </c>
    </row>
    <row r="60" customFormat="false" ht="126" hidden="false" customHeight="true" outlineLevel="0" collapsed="false">
      <c r="A60" s="121" t="s">
        <v>3438</v>
      </c>
      <c r="B60" s="121" t="s">
        <v>234</v>
      </c>
      <c r="C60" s="121" t="s">
        <v>1669</v>
      </c>
      <c r="D60" s="121" t="s">
        <v>883</v>
      </c>
      <c r="E60" s="121" t="s">
        <v>3439</v>
      </c>
      <c r="F60" s="121" t="s">
        <v>2857</v>
      </c>
      <c r="G60" s="121" t="s">
        <v>3428</v>
      </c>
      <c r="H60" s="122" t="n">
        <v>54</v>
      </c>
      <c r="I60" s="122" t="n">
        <v>54</v>
      </c>
      <c r="J60" s="121" t="s">
        <v>3440</v>
      </c>
      <c r="K60" s="122" t="n">
        <v>10</v>
      </c>
      <c r="L60" s="121" t="s">
        <v>3441</v>
      </c>
      <c r="M60" s="122" t="n">
        <v>9</v>
      </c>
      <c r="N60" s="121" t="s">
        <v>2836</v>
      </c>
      <c r="O60" s="122" t="n">
        <v>0</v>
      </c>
      <c r="P60" s="122" t="n">
        <v>0</v>
      </c>
      <c r="Q60" s="122" t="n">
        <f aca="false">IF(F60="主角色提议",1,0)</f>
        <v>1</v>
      </c>
      <c r="R60" s="122" t="n">
        <f aca="false">IF(F60="非合同CIS",1,0)</f>
        <v>0</v>
      </c>
      <c r="S60" s="122" t="n">
        <f aca="false">IF(F60="映射保留",1,0)</f>
        <v>0</v>
      </c>
      <c r="T60" s="122" t="n">
        <v>1</v>
      </c>
      <c r="U60" s="121" t="s">
        <v>3442</v>
      </c>
      <c r="V60" s="121" t="s">
        <v>3443</v>
      </c>
      <c r="W60" s="121" t="s">
        <v>3444</v>
      </c>
      <c r="X60" s="121" t="s">
        <v>3445</v>
      </c>
      <c r="Y60" s="121" t="s">
        <v>3446</v>
      </c>
      <c r="Z60" s="121"/>
      <c r="AA60" s="121" t="str">
        <f aca="false">HYPERLINK("https://chatgpt.com/api/library/files/libfile_0420a2f7564481919a54668a656a1c0f/download","B17私有元数据包")</f>
        <v>B17私有元数据包</v>
      </c>
      <c r="AB60" s="121" t="s">
        <v>2842</v>
      </c>
      <c r="AC60" s="121" t="s">
        <v>3447</v>
      </c>
      <c r="AD60" s="123" t="n">
        <v>46321.3765253819</v>
      </c>
      <c r="AE60" s="123" t="n">
        <v>46321.3988737153</v>
      </c>
      <c r="AF60" s="123" t="n">
        <v>46321.4106714005</v>
      </c>
      <c r="AG60" s="121" t="s">
        <v>3448</v>
      </c>
      <c r="AH60" s="121" t="str">
        <f aca="false">IF(AND(AI60="匹配",LEN(V60)=64,J60&lt;&gt;"",L60&lt;&gt;"",K60&gt;0,M60&gt;0,AD60&gt;0,AE60&gt;0,AF60&gt;0,AG60&lt;&gt;"",N60="待全文",O60=0,P60=0,Q60+R60+S60=1),"角色已验收","需检查证据")</f>
        <v>角色已验收</v>
      </c>
      <c r="AI60" s="121" t="str">
        <f aca="false">IF(COUNTIF($A$2:$A$91,A60)=1,"匹配","缺范围或重复")</f>
        <v>匹配</v>
      </c>
    </row>
    <row r="61" customFormat="false" ht="174" hidden="false" customHeight="true" outlineLevel="0" collapsed="false">
      <c r="A61" s="121" t="s">
        <v>3449</v>
      </c>
      <c r="B61" s="121" t="s">
        <v>234</v>
      </c>
      <c r="C61" s="121" t="s">
        <v>1669</v>
      </c>
      <c r="D61" s="121" t="s">
        <v>883</v>
      </c>
      <c r="E61" s="121" t="s">
        <v>3450</v>
      </c>
      <c r="F61" s="121" t="s">
        <v>2857</v>
      </c>
      <c r="G61" s="121" t="s">
        <v>2858</v>
      </c>
      <c r="H61" s="122" t="n">
        <v>49</v>
      </c>
      <c r="I61" s="122" t="n">
        <v>49</v>
      </c>
      <c r="J61" s="121" t="s">
        <v>3451</v>
      </c>
      <c r="K61" s="122" t="n">
        <v>14</v>
      </c>
      <c r="L61" s="121" t="s">
        <v>3452</v>
      </c>
      <c r="M61" s="122" t="n">
        <v>10</v>
      </c>
      <c r="N61" s="121" t="s">
        <v>2836</v>
      </c>
      <c r="O61" s="122" t="n">
        <v>0</v>
      </c>
      <c r="P61" s="122" t="n">
        <v>0</v>
      </c>
      <c r="Q61" s="122" t="n">
        <f aca="false">IF(F61="主角色提议",1,0)</f>
        <v>1</v>
      </c>
      <c r="R61" s="122" t="n">
        <f aca="false">IF(F61="非合同CIS",1,0)</f>
        <v>0</v>
      </c>
      <c r="S61" s="122" t="n">
        <f aca="false">IF(F61="映射保留",1,0)</f>
        <v>0</v>
      </c>
      <c r="T61" s="122" t="n">
        <v>1</v>
      </c>
      <c r="U61" s="121" t="s">
        <v>3453</v>
      </c>
      <c r="V61" s="121" t="s">
        <v>3454</v>
      </c>
      <c r="W61" s="121" t="s">
        <v>3455</v>
      </c>
      <c r="X61" s="121" t="s">
        <v>3456</v>
      </c>
      <c r="Y61" s="121" t="s">
        <v>3457</v>
      </c>
      <c r="Z61" s="121"/>
      <c r="AA61" s="121" t="str">
        <f aca="false">HYPERLINK("https://chatgpt.com/api/library/files/libfile_0420a2f7564481919a54668a656a1c0f/download","B17私有元数据包")</f>
        <v>B17私有元数据包</v>
      </c>
      <c r="AB61" s="121" t="s">
        <v>2842</v>
      </c>
      <c r="AC61" s="121" t="s">
        <v>3458</v>
      </c>
      <c r="AD61" s="123" t="n">
        <v>46321.3765253819</v>
      </c>
      <c r="AE61" s="123" t="n">
        <v>46321.3988737153</v>
      </c>
      <c r="AF61" s="123" t="n">
        <v>46321.4106714005</v>
      </c>
      <c r="AG61" s="121" t="s">
        <v>3459</v>
      </c>
      <c r="AH61" s="121" t="str">
        <f aca="false">IF(AND(AI61="匹配",LEN(V61)=64,J61&lt;&gt;"",L61&lt;&gt;"",K61&gt;0,M61&gt;0,AD61&gt;0,AE61&gt;0,AF61&gt;0,AG61&lt;&gt;"",N61="待全文",O61=0,P61=0,Q61+R61+S61=1),"角色已验收","需检查证据")</f>
        <v>角色已验收</v>
      </c>
      <c r="AI61" s="121" t="str">
        <f aca="false">IF(COUNTIF($A$2:$A$91,A61)=1,"匹配","缺范围或重复")</f>
        <v>匹配</v>
      </c>
    </row>
    <row r="62" customFormat="false" ht="190" hidden="false" customHeight="true" outlineLevel="0" collapsed="false">
      <c r="A62" s="121" t="s">
        <v>3460</v>
      </c>
      <c r="B62" s="121" t="s">
        <v>234</v>
      </c>
      <c r="C62" s="121" t="s">
        <v>1669</v>
      </c>
      <c r="D62" s="121" t="s">
        <v>883</v>
      </c>
      <c r="E62" s="121" t="s">
        <v>3461</v>
      </c>
      <c r="F62" s="121" t="s">
        <v>2857</v>
      </c>
      <c r="G62" s="121" t="s">
        <v>2858</v>
      </c>
      <c r="H62" s="122" t="n">
        <v>49</v>
      </c>
      <c r="I62" s="122" t="n">
        <v>49</v>
      </c>
      <c r="J62" s="121" t="s">
        <v>3462</v>
      </c>
      <c r="K62" s="122" t="n">
        <v>14</v>
      </c>
      <c r="L62" s="121" t="s">
        <v>3463</v>
      </c>
      <c r="M62" s="122" t="n">
        <v>7</v>
      </c>
      <c r="N62" s="121" t="s">
        <v>2836</v>
      </c>
      <c r="O62" s="122" t="n">
        <v>0</v>
      </c>
      <c r="P62" s="122" t="n">
        <v>0</v>
      </c>
      <c r="Q62" s="122" t="n">
        <f aca="false">IF(F62="主角色提议",1,0)</f>
        <v>1</v>
      </c>
      <c r="R62" s="122" t="n">
        <f aca="false">IF(F62="非合同CIS",1,0)</f>
        <v>0</v>
      </c>
      <c r="S62" s="122" t="n">
        <f aca="false">IF(F62="映射保留",1,0)</f>
        <v>0</v>
      </c>
      <c r="T62" s="122" t="n">
        <v>1</v>
      </c>
      <c r="U62" s="121" t="s">
        <v>3464</v>
      </c>
      <c r="V62" s="121" t="s">
        <v>3465</v>
      </c>
      <c r="W62" s="121" t="s">
        <v>3466</v>
      </c>
      <c r="X62" s="121" t="s">
        <v>3467</v>
      </c>
      <c r="Y62" s="121" t="s">
        <v>3468</v>
      </c>
      <c r="Z62" s="121"/>
      <c r="AA62" s="121" t="str">
        <f aca="false">HYPERLINK("https://chatgpt.com/api/library/files/libfile_0420a2f7564481919a54668a656a1c0f/download","B17私有元数据包")</f>
        <v>B17私有元数据包</v>
      </c>
      <c r="AB62" s="121" t="s">
        <v>2842</v>
      </c>
      <c r="AC62" s="121" t="s">
        <v>3469</v>
      </c>
      <c r="AD62" s="123" t="n">
        <v>46321.3765253819</v>
      </c>
      <c r="AE62" s="123" t="n">
        <v>46321.3988737153</v>
      </c>
      <c r="AF62" s="123" t="n">
        <v>46321.4106714005</v>
      </c>
      <c r="AG62" s="121" t="s">
        <v>3470</v>
      </c>
      <c r="AH62" s="121" t="str">
        <f aca="false">IF(AND(AI62="匹配",LEN(V62)=64,J62&lt;&gt;"",L62&lt;&gt;"",K62&gt;0,M62&gt;0,AD62&gt;0,AE62&gt;0,AF62&gt;0,AG62&lt;&gt;"",N62="待全文",O62=0,P62=0,Q62+R62+S62=1),"角色已验收","需检查证据")</f>
        <v>角色已验收</v>
      </c>
      <c r="AI62" s="121" t="str">
        <f aca="false">IF(COUNTIF($A$2:$A$91,A62)=1,"匹配","缺范围或重复")</f>
        <v>匹配</v>
      </c>
    </row>
    <row r="63" customFormat="false" ht="126" hidden="false" customHeight="true" outlineLevel="0" collapsed="false">
      <c r="A63" s="121" t="s">
        <v>3471</v>
      </c>
      <c r="B63" s="121" t="s">
        <v>234</v>
      </c>
      <c r="C63" s="121" t="s">
        <v>1669</v>
      </c>
      <c r="D63" s="121" t="s">
        <v>883</v>
      </c>
      <c r="E63" s="121" t="s">
        <v>3472</v>
      </c>
      <c r="F63" s="121" t="s">
        <v>2857</v>
      </c>
      <c r="G63" s="121" t="s">
        <v>3139</v>
      </c>
      <c r="H63" s="122" t="n">
        <v>50</v>
      </c>
      <c r="I63" s="122" t="n">
        <v>50</v>
      </c>
      <c r="J63" s="121" t="s">
        <v>3473</v>
      </c>
      <c r="K63" s="122" t="n">
        <v>12</v>
      </c>
      <c r="L63" s="121" t="s">
        <v>3474</v>
      </c>
      <c r="M63" s="122" t="n">
        <v>8</v>
      </c>
      <c r="N63" s="121" t="s">
        <v>2836</v>
      </c>
      <c r="O63" s="122" t="n">
        <v>0</v>
      </c>
      <c r="P63" s="122" t="n">
        <v>0</v>
      </c>
      <c r="Q63" s="122" t="n">
        <f aca="false">IF(F63="主角色提议",1,0)</f>
        <v>1</v>
      </c>
      <c r="R63" s="122" t="n">
        <f aca="false">IF(F63="非合同CIS",1,0)</f>
        <v>0</v>
      </c>
      <c r="S63" s="122" t="n">
        <f aca="false">IF(F63="映射保留",1,0)</f>
        <v>0</v>
      </c>
      <c r="T63" s="122" t="n">
        <v>1</v>
      </c>
      <c r="U63" s="121" t="s">
        <v>3475</v>
      </c>
      <c r="V63" s="121" t="s">
        <v>3476</v>
      </c>
      <c r="W63" s="121" t="s">
        <v>3477</v>
      </c>
      <c r="X63" s="121" t="s">
        <v>3478</v>
      </c>
      <c r="Y63" s="121" t="s">
        <v>3479</v>
      </c>
      <c r="Z63" s="121"/>
      <c r="AA63" s="121" t="str">
        <f aca="false">HYPERLINK("https://chatgpt.com/api/library/files/libfile_0420a2f7564481919a54668a656a1c0f/download","B17私有元数据包")</f>
        <v>B17私有元数据包</v>
      </c>
      <c r="AB63" s="121" t="s">
        <v>2842</v>
      </c>
      <c r="AC63" s="121" t="s">
        <v>3480</v>
      </c>
      <c r="AD63" s="123" t="n">
        <v>46321.3765253819</v>
      </c>
      <c r="AE63" s="123" t="n">
        <v>46321.3988737153</v>
      </c>
      <c r="AF63" s="123" t="n">
        <v>46321.4106714005</v>
      </c>
      <c r="AG63" s="121" t="s">
        <v>3481</v>
      </c>
      <c r="AH63" s="121" t="str">
        <f aca="false">IF(AND(AI63="匹配",LEN(V63)=64,J63&lt;&gt;"",L63&lt;&gt;"",K63&gt;0,M63&gt;0,AD63&gt;0,AE63&gt;0,AF63&gt;0,AG63&lt;&gt;"",N63="待全文",O63=0,P63=0,Q63+R63+S63=1),"角色已验收","需检查证据")</f>
        <v>角色已验收</v>
      </c>
      <c r="AI63" s="121" t="str">
        <f aca="false">IF(COUNTIF($A$2:$A$91,A63)=1,"匹配","缺范围或重复")</f>
        <v>匹配</v>
      </c>
    </row>
    <row r="64" customFormat="false" ht="126" hidden="false" customHeight="true" outlineLevel="0" collapsed="false">
      <c r="A64" s="121" t="s">
        <v>3482</v>
      </c>
      <c r="B64" s="121" t="s">
        <v>234</v>
      </c>
      <c r="C64" s="121" t="s">
        <v>1669</v>
      </c>
      <c r="D64" s="121" t="s">
        <v>883</v>
      </c>
      <c r="E64" s="121" t="s">
        <v>3483</v>
      </c>
      <c r="F64" s="121" t="s">
        <v>2857</v>
      </c>
      <c r="G64" s="121" t="s">
        <v>3139</v>
      </c>
      <c r="H64" s="122" t="n">
        <v>54</v>
      </c>
      <c r="I64" s="122" t="n">
        <v>54</v>
      </c>
      <c r="J64" s="121" t="s">
        <v>3484</v>
      </c>
      <c r="K64" s="122" t="n">
        <v>12</v>
      </c>
      <c r="L64" s="121" t="s">
        <v>3485</v>
      </c>
      <c r="M64" s="122" t="n">
        <v>7</v>
      </c>
      <c r="N64" s="121" t="s">
        <v>2836</v>
      </c>
      <c r="O64" s="122" t="n">
        <v>0</v>
      </c>
      <c r="P64" s="122" t="n">
        <v>0</v>
      </c>
      <c r="Q64" s="122" t="n">
        <f aca="false">IF(F64="主角色提议",1,0)</f>
        <v>1</v>
      </c>
      <c r="R64" s="122" t="n">
        <f aca="false">IF(F64="非合同CIS",1,0)</f>
        <v>0</v>
      </c>
      <c r="S64" s="122" t="n">
        <f aca="false">IF(F64="映射保留",1,0)</f>
        <v>0</v>
      </c>
      <c r="T64" s="122" t="n">
        <v>1</v>
      </c>
      <c r="U64" s="121" t="s">
        <v>3486</v>
      </c>
      <c r="V64" s="121" t="s">
        <v>3487</v>
      </c>
      <c r="W64" s="121" t="s">
        <v>3488</v>
      </c>
      <c r="X64" s="121" t="s">
        <v>3489</v>
      </c>
      <c r="Y64" s="121" t="s">
        <v>3490</v>
      </c>
      <c r="Z64" s="121"/>
      <c r="AA64" s="121" t="str">
        <f aca="false">HYPERLINK("https://chatgpt.com/api/library/files/libfile_0420a2f7564481919a54668a656a1c0f/download","B17私有元数据包")</f>
        <v>B17私有元数据包</v>
      </c>
      <c r="AB64" s="121" t="s">
        <v>2842</v>
      </c>
      <c r="AC64" s="121" t="s">
        <v>3491</v>
      </c>
      <c r="AD64" s="123" t="n">
        <v>46321.3765253819</v>
      </c>
      <c r="AE64" s="123" t="n">
        <v>46321.3988737153</v>
      </c>
      <c r="AF64" s="123" t="n">
        <v>46321.4106714005</v>
      </c>
      <c r="AG64" s="121" t="s">
        <v>3492</v>
      </c>
      <c r="AH64" s="121" t="str">
        <f aca="false">IF(AND(AI64="匹配",LEN(V64)=64,J64&lt;&gt;"",L64&lt;&gt;"",K64&gt;0,M64&gt;0,AD64&gt;0,AE64&gt;0,AF64&gt;0,AG64&lt;&gt;"",N64="待全文",O64=0,P64=0,Q64+R64+S64=1),"角色已验收","需检查证据")</f>
        <v>角色已验收</v>
      </c>
      <c r="AI64" s="121" t="str">
        <f aca="false">IF(COUNTIF($A$2:$A$91,A64)=1,"匹配","缺范围或重复")</f>
        <v>匹配</v>
      </c>
    </row>
    <row r="65" customFormat="false" ht="158" hidden="false" customHeight="true" outlineLevel="0" collapsed="false">
      <c r="A65" s="121" t="s">
        <v>3493</v>
      </c>
      <c r="B65" s="121" t="s">
        <v>234</v>
      </c>
      <c r="C65" s="121" t="s">
        <v>1669</v>
      </c>
      <c r="D65" s="121" t="s">
        <v>883</v>
      </c>
      <c r="E65" s="121" t="s">
        <v>3494</v>
      </c>
      <c r="F65" s="121" t="s">
        <v>2857</v>
      </c>
      <c r="G65" s="121" t="s">
        <v>3139</v>
      </c>
      <c r="H65" s="122" t="n">
        <v>28</v>
      </c>
      <c r="I65" s="122" t="n">
        <v>28</v>
      </c>
      <c r="J65" s="121" t="s">
        <v>3495</v>
      </c>
      <c r="K65" s="122" t="n">
        <v>10</v>
      </c>
      <c r="L65" s="121" t="s">
        <v>3496</v>
      </c>
      <c r="M65" s="122" t="n">
        <v>8</v>
      </c>
      <c r="N65" s="121" t="s">
        <v>2836</v>
      </c>
      <c r="O65" s="122" t="n">
        <v>0</v>
      </c>
      <c r="P65" s="122" t="n">
        <v>0</v>
      </c>
      <c r="Q65" s="122" t="n">
        <f aca="false">IF(F65="主角色提议",1,0)</f>
        <v>1</v>
      </c>
      <c r="R65" s="122" t="n">
        <f aca="false">IF(F65="非合同CIS",1,0)</f>
        <v>0</v>
      </c>
      <c r="S65" s="122" t="n">
        <f aca="false">IF(F65="映射保留",1,0)</f>
        <v>0</v>
      </c>
      <c r="T65" s="122" t="n">
        <v>1</v>
      </c>
      <c r="U65" s="121" t="s">
        <v>3497</v>
      </c>
      <c r="V65" s="121" t="s">
        <v>3498</v>
      </c>
      <c r="W65" s="121" t="s">
        <v>3499</v>
      </c>
      <c r="X65" s="121" t="s">
        <v>3500</v>
      </c>
      <c r="Y65" s="121" t="s">
        <v>3501</v>
      </c>
      <c r="Z65" s="121"/>
      <c r="AA65" s="121" t="str">
        <f aca="false">HYPERLINK("https://chatgpt.com/api/library/files/libfile_0420a2f7564481919a54668a656a1c0f/download","B17私有元数据包")</f>
        <v>B17私有元数据包</v>
      </c>
      <c r="AB65" s="121" t="s">
        <v>2842</v>
      </c>
      <c r="AC65" s="121" t="s">
        <v>3502</v>
      </c>
      <c r="AD65" s="123" t="n">
        <v>46321.3765253819</v>
      </c>
      <c r="AE65" s="123" t="n">
        <v>46321.3988737153</v>
      </c>
      <c r="AF65" s="123" t="n">
        <v>46321.4106714005</v>
      </c>
      <c r="AG65" s="121" t="s">
        <v>3503</v>
      </c>
      <c r="AH65" s="121" t="str">
        <f aca="false">IF(AND(AI65="匹配",LEN(V65)=64,J65&lt;&gt;"",L65&lt;&gt;"",K65&gt;0,M65&gt;0,AD65&gt;0,AE65&gt;0,AF65&gt;0,AG65&lt;&gt;"",N65="待全文",O65=0,P65=0,Q65+R65+S65=1),"角色已验收","需检查证据")</f>
        <v>角色已验收</v>
      </c>
      <c r="AI65" s="121" t="str">
        <f aca="false">IF(COUNTIF($A$2:$A$91,A65)=1,"匹配","缺范围或重复")</f>
        <v>匹配</v>
      </c>
    </row>
    <row r="66" customFormat="false" ht="174" hidden="false" customHeight="true" outlineLevel="0" collapsed="false">
      <c r="A66" s="121" t="s">
        <v>3504</v>
      </c>
      <c r="B66" s="121" t="s">
        <v>234</v>
      </c>
      <c r="C66" s="121" t="s">
        <v>1669</v>
      </c>
      <c r="D66" s="121" t="s">
        <v>883</v>
      </c>
      <c r="E66" s="121" t="s">
        <v>3505</v>
      </c>
      <c r="F66" s="121" t="s">
        <v>2857</v>
      </c>
      <c r="G66" s="121" t="s">
        <v>2858</v>
      </c>
      <c r="H66" s="122" t="n">
        <v>33</v>
      </c>
      <c r="I66" s="122" t="n">
        <v>33</v>
      </c>
      <c r="J66" s="121" t="s">
        <v>3506</v>
      </c>
      <c r="K66" s="122" t="n">
        <v>9</v>
      </c>
      <c r="L66" s="121" t="s">
        <v>3507</v>
      </c>
      <c r="M66" s="122" t="n">
        <v>7</v>
      </c>
      <c r="N66" s="121" t="s">
        <v>2836</v>
      </c>
      <c r="O66" s="122" t="n">
        <v>0</v>
      </c>
      <c r="P66" s="122" t="n">
        <v>0</v>
      </c>
      <c r="Q66" s="122" t="n">
        <f aca="false">IF(F66="主角色提议",1,0)</f>
        <v>1</v>
      </c>
      <c r="R66" s="122" t="n">
        <f aca="false">IF(F66="非合同CIS",1,0)</f>
        <v>0</v>
      </c>
      <c r="S66" s="122" t="n">
        <f aca="false">IF(F66="映射保留",1,0)</f>
        <v>0</v>
      </c>
      <c r="T66" s="122" t="n">
        <v>1</v>
      </c>
      <c r="U66" s="121" t="s">
        <v>3508</v>
      </c>
      <c r="V66" s="121" t="s">
        <v>3509</v>
      </c>
      <c r="W66" s="121" t="s">
        <v>3510</v>
      </c>
      <c r="X66" s="121" t="s">
        <v>3511</v>
      </c>
      <c r="Y66" s="121" t="s">
        <v>3512</v>
      </c>
      <c r="Z66" s="121"/>
      <c r="AA66" s="121" t="str">
        <f aca="false">HYPERLINK("https://chatgpt.com/api/library/files/libfile_0420a2f7564481919a54668a656a1c0f/download","B17私有元数据包")</f>
        <v>B17私有元数据包</v>
      </c>
      <c r="AB66" s="121" t="s">
        <v>2842</v>
      </c>
      <c r="AC66" s="121" t="s">
        <v>3513</v>
      </c>
      <c r="AD66" s="123" t="n">
        <v>46321.3765253819</v>
      </c>
      <c r="AE66" s="123" t="n">
        <v>46321.3988737153</v>
      </c>
      <c r="AF66" s="123" t="n">
        <v>46321.4106714005</v>
      </c>
      <c r="AG66" s="121" t="s">
        <v>3514</v>
      </c>
      <c r="AH66" s="121" t="str">
        <f aca="false">IF(AND(AI66="匹配",LEN(V66)=64,J66&lt;&gt;"",L66&lt;&gt;"",K66&gt;0,M66&gt;0,AD66&gt;0,AE66&gt;0,AF66&gt;0,AG66&lt;&gt;"",N66="待全文",O66=0,P66=0,Q66+R66+S66=1),"角色已验收","需检查证据")</f>
        <v>角色已验收</v>
      </c>
      <c r="AI66" s="121" t="str">
        <f aca="false">IF(COUNTIF($A$2:$A$91,A66)=1,"匹配","缺范围或重复")</f>
        <v>匹配</v>
      </c>
    </row>
    <row r="67" customFormat="false" ht="126" hidden="false" customHeight="true" outlineLevel="0" collapsed="false">
      <c r="A67" s="121" t="s">
        <v>3515</v>
      </c>
      <c r="B67" s="121" t="s">
        <v>234</v>
      </c>
      <c r="C67" s="121" t="s">
        <v>1669</v>
      </c>
      <c r="D67" s="121" t="s">
        <v>883</v>
      </c>
      <c r="E67" s="121" t="s">
        <v>3516</v>
      </c>
      <c r="F67" s="121" t="s">
        <v>2857</v>
      </c>
      <c r="G67" s="121" t="s">
        <v>3139</v>
      </c>
      <c r="H67" s="122" t="n">
        <v>42</v>
      </c>
      <c r="I67" s="122" t="n">
        <v>42</v>
      </c>
      <c r="J67" s="121" t="s">
        <v>3517</v>
      </c>
      <c r="K67" s="122" t="n">
        <v>10</v>
      </c>
      <c r="L67" s="121" t="s">
        <v>3518</v>
      </c>
      <c r="M67" s="122" t="n">
        <v>8</v>
      </c>
      <c r="N67" s="121" t="s">
        <v>2836</v>
      </c>
      <c r="O67" s="122" t="n">
        <v>0</v>
      </c>
      <c r="P67" s="122" t="n">
        <v>0</v>
      </c>
      <c r="Q67" s="122" t="n">
        <f aca="false">IF(F67="主角色提议",1,0)</f>
        <v>1</v>
      </c>
      <c r="R67" s="122" t="n">
        <f aca="false">IF(F67="非合同CIS",1,0)</f>
        <v>0</v>
      </c>
      <c r="S67" s="122" t="n">
        <f aca="false">IF(F67="映射保留",1,0)</f>
        <v>0</v>
      </c>
      <c r="T67" s="122" t="n">
        <v>1</v>
      </c>
      <c r="U67" s="121" t="s">
        <v>3519</v>
      </c>
      <c r="V67" s="121" t="s">
        <v>3520</v>
      </c>
      <c r="W67" s="121" t="s">
        <v>3521</v>
      </c>
      <c r="X67" s="121" t="s">
        <v>3522</v>
      </c>
      <c r="Y67" s="121" t="s">
        <v>3523</v>
      </c>
      <c r="Z67" s="121"/>
      <c r="AA67" s="121" t="str">
        <f aca="false">HYPERLINK("https://chatgpt.com/api/library/files/libfile_0420a2f7564481919a54668a656a1c0f/download","B17私有元数据包")</f>
        <v>B17私有元数据包</v>
      </c>
      <c r="AB67" s="121" t="s">
        <v>2842</v>
      </c>
      <c r="AC67" s="121" t="s">
        <v>3524</v>
      </c>
      <c r="AD67" s="123" t="n">
        <v>46321.3765253819</v>
      </c>
      <c r="AE67" s="123" t="n">
        <v>46321.3988737153</v>
      </c>
      <c r="AF67" s="123" t="n">
        <v>46321.4106714005</v>
      </c>
      <c r="AG67" s="121" t="s">
        <v>3525</v>
      </c>
      <c r="AH67" s="121" t="str">
        <f aca="false">IF(AND(AI67="匹配",LEN(V67)=64,J67&lt;&gt;"",L67&lt;&gt;"",K67&gt;0,M67&gt;0,AD67&gt;0,AE67&gt;0,AF67&gt;0,AG67&lt;&gt;"",N67="待全文",O67=0,P67=0,Q67+R67+S67=1),"角色已验收","需检查证据")</f>
        <v>角色已验收</v>
      </c>
      <c r="AI67" s="121" t="str">
        <f aca="false">IF(COUNTIF($A$2:$A$91,A67)=1,"匹配","缺范围或重复")</f>
        <v>匹配</v>
      </c>
    </row>
    <row r="68" customFormat="false" ht="126" hidden="false" customHeight="true" outlineLevel="0" collapsed="false">
      <c r="A68" s="121" t="s">
        <v>3526</v>
      </c>
      <c r="B68" s="121" t="s">
        <v>234</v>
      </c>
      <c r="C68" s="121" t="s">
        <v>1669</v>
      </c>
      <c r="D68" s="121" t="s">
        <v>883</v>
      </c>
      <c r="E68" s="121" t="s">
        <v>3527</v>
      </c>
      <c r="F68" s="121" t="s">
        <v>2857</v>
      </c>
      <c r="G68" s="121" t="s">
        <v>3139</v>
      </c>
      <c r="H68" s="122" t="n">
        <v>41</v>
      </c>
      <c r="I68" s="122" t="n">
        <v>41</v>
      </c>
      <c r="J68" s="121" t="s">
        <v>3528</v>
      </c>
      <c r="K68" s="122" t="n">
        <v>11</v>
      </c>
      <c r="L68" s="121" t="s">
        <v>3529</v>
      </c>
      <c r="M68" s="122" t="n">
        <v>7</v>
      </c>
      <c r="N68" s="121" t="s">
        <v>2836</v>
      </c>
      <c r="O68" s="122" t="n">
        <v>0</v>
      </c>
      <c r="P68" s="122" t="n">
        <v>0</v>
      </c>
      <c r="Q68" s="122" t="n">
        <f aca="false">IF(F68="主角色提议",1,0)</f>
        <v>1</v>
      </c>
      <c r="R68" s="122" t="n">
        <f aca="false">IF(F68="非合同CIS",1,0)</f>
        <v>0</v>
      </c>
      <c r="S68" s="122" t="n">
        <f aca="false">IF(F68="映射保留",1,0)</f>
        <v>0</v>
      </c>
      <c r="T68" s="122" t="n">
        <v>1</v>
      </c>
      <c r="U68" s="121" t="s">
        <v>3530</v>
      </c>
      <c r="V68" s="121" t="s">
        <v>3531</v>
      </c>
      <c r="W68" s="121" t="s">
        <v>3532</v>
      </c>
      <c r="X68" s="121" t="s">
        <v>3533</v>
      </c>
      <c r="Y68" s="121" t="s">
        <v>3534</v>
      </c>
      <c r="Z68" s="121"/>
      <c r="AA68" s="121" t="str">
        <f aca="false">HYPERLINK("https://chatgpt.com/api/library/files/libfile_0420a2f7564481919a54668a656a1c0f/download","B17私有元数据包")</f>
        <v>B17私有元数据包</v>
      </c>
      <c r="AB68" s="121" t="s">
        <v>2842</v>
      </c>
      <c r="AC68" s="121" t="s">
        <v>3535</v>
      </c>
      <c r="AD68" s="123" t="n">
        <v>46321.3765253819</v>
      </c>
      <c r="AE68" s="123" t="n">
        <v>46321.3988737153</v>
      </c>
      <c r="AF68" s="123" t="n">
        <v>46321.4106714005</v>
      </c>
      <c r="AG68" s="121" t="s">
        <v>3536</v>
      </c>
      <c r="AH68" s="121" t="str">
        <f aca="false">IF(AND(AI68="匹配",LEN(V68)=64,J68&lt;&gt;"",L68&lt;&gt;"",K68&gt;0,M68&gt;0,AD68&gt;0,AE68&gt;0,AF68&gt;0,AG68&lt;&gt;"",N68="待全文",O68=0,P68=0,Q68+R68+S68=1),"角色已验收","需检查证据")</f>
        <v>角色已验收</v>
      </c>
      <c r="AI68" s="121" t="str">
        <f aca="false">IF(COUNTIF($A$2:$A$91,A68)=1,"匹配","缺范围或重复")</f>
        <v>匹配</v>
      </c>
    </row>
    <row r="69" customFormat="false" ht="126" hidden="false" customHeight="true" outlineLevel="0" collapsed="false">
      <c r="A69" s="121" t="s">
        <v>3537</v>
      </c>
      <c r="B69" s="121" t="s">
        <v>234</v>
      </c>
      <c r="C69" s="121" t="s">
        <v>1669</v>
      </c>
      <c r="D69" s="121" t="s">
        <v>883</v>
      </c>
      <c r="E69" s="121" t="s">
        <v>3538</v>
      </c>
      <c r="F69" s="121" t="s">
        <v>2857</v>
      </c>
      <c r="G69" s="121" t="s">
        <v>3139</v>
      </c>
      <c r="H69" s="122" t="n">
        <v>44</v>
      </c>
      <c r="I69" s="122" t="n">
        <v>44</v>
      </c>
      <c r="J69" s="121" t="s">
        <v>3539</v>
      </c>
      <c r="K69" s="122" t="n">
        <v>8</v>
      </c>
      <c r="L69" s="121" t="s">
        <v>3540</v>
      </c>
      <c r="M69" s="122" t="n">
        <v>7</v>
      </c>
      <c r="N69" s="121" t="s">
        <v>2836</v>
      </c>
      <c r="O69" s="122" t="n">
        <v>0</v>
      </c>
      <c r="P69" s="122" t="n">
        <v>0</v>
      </c>
      <c r="Q69" s="122" t="n">
        <f aca="false">IF(F69="主角色提议",1,0)</f>
        <v>1</v>
      </c>
      <c r="R69" s="122" t="n">
        <f aca="false">IF(F69="非合同CIS",1,0)</f>
        <v>0</v>
      </c>
      <c r="S69" s="122" t="n">
        <f aca="false">IF(F69="映射保留",1,0)</f>
        <v>0</v>
      </c>
      <c r="T69" s="122" t="n">
        <v>1</v>
      </c>
      <c r="U69" s="121" t="s">
        <v>3541</v>
      </c>
      <c r="V69" s="121" t="s">
        <v>3542</v>
      </c>
      <c r="W69" s="121" t="s">
        <v>3543</v>
      </c>
      <c r="X69" s="121" t="s">
        <v>3544</v>
      </c>
      <c r="Y69" s="121" t="s">
        <v>3545</v>
      </c>
      <c r="Z69" s="121"/>
      <c r="AA69" s="121" t="str">
        <f aca="false">HYPERLINK("https://chatgpt.com/api/library/files/libfile_0420a2f7564481919a54668a656a1c0f/download","B17私有元数据包")</f>
        <v>B17私有元数据包</v>
      </c>
      <c r="AB69" s="121" t="s">
        <v>2842</v>
      </c>
      <c r="AC69" s="121" t="s">
        <v>3546</v>
      </c>
      <c r="AD69" s="123" t="n">
        <v>46321.3765253819</v>
      </c>
      <c r="AE69" s="123" t="n">
        <v>46321.3988737153</v>
      </c>
      <c r="AF69" s="123" t="n">
        <v>46321.4106714005</v>
      </c>
      <c r="AG69" s="121" t="s">
        <v>3547</v>
      </c>
      <c r="AH69" s="121" t="str">
        <f aca="false">IF(AND(AI69="匹配",LEN(V69)=64,J69&lt;&gt;"",L69&lt;&gt;"",K69&gt;0,M69&gt;0,AD69&gt;0,AE69&gt;0,AF69&gt;0,AG69&lt;&gt;"",N69="待全文",O69=0,P69=0,Q69+R69+S69=1),"角色已验收","需检查证据")</f>
        <v>角色已验收</v>
      </c>
      <c r="AI69" s="121" t="str">
        <f aca="false">IF(COUNTIF($A$2:$A$91,A69)=1,"匹配","缺范围或重复")</f>
        <v>匹配</v>
      </c>
    </row>
    <row r="70" customFormat="false" ht="174" hidden="false" customHeight="true" outlineLevel="0" collapsed="false">
      <c r="A70" s="121" t="s">
        <v>3548</v>
      </c>
      <c r="B70" s="121" t="s">
        <v>234</v>
      </c>
      <c r="C70" s="121" t="s">
        <v>1669</v>
      </c>
      <c r="D70" s="121" t="s">
        <v>883</v>
      </c>
      <c r="E70" s="121" t="s">
        <v>3549</v>
      </c>
      <c r="F70" s="121" t="s">
        <v>2857</v>
      </c>
      <c r="G70" s="121" t="s">
        <v>3139</v>
      </c>
      <c r="H70" s="122" t="n">
        <v>85</v>
      </c>
      <c r="I70" s="122" t="n">
        <v>85</v>
      </c>
      <c r="J70" s="121" t="s">
        <v>3550</v>
      </c>
      <c r="K70" s="122" t="n">
        <v>13</v>
      </c>
      <c r="L70" s="121" t="s">
        <v>3551</v>
      </c>
      <c r="M70" s="122" t="n">
        <v>9</v>
      </c>
      <c r="N70" s="121" t="s">
        <v>2836</v>
      </c>
      <c r="O70" s="122" t="n">
        <v>0</v>
      </c>
      <c r="P70" s="122" t="n">
        <v>0</v>
      </c>
      <c r="Q70" s="122" t="n">
        <f aca="false">IF(F70="主角色提议",1,0)</f>
        <v>1</v>
      </c>
      <c r="R70" s="122" t="n">
        <f aca="false">IF(F70="非合同CIS",1,0)</f>
        <v>0</v>
      </c>
      <c r="S70" s="122" t="n">
        <f aca="false">IF(F70="映射保留",1,0)</f>
        <v>0</v>
      </c>
      <c r="T70" s="122" t="n">
        <v>1</v>
      </c>
      <c r="U70" s="121" t="s">
        <v>3552</v>
      </c>
      <c r="V70" s="121" t="s">
        <v>3553</v>
      </c>
      <c r="W70" s="121" t="s">
        <v>3554</v>
      </c>
      <c r="X70" s="121" t="s">
        <v>3555</v>
      </c>
      <c r="Y70" s="121" t="s">
        <v>3556</v>
      </c>
      <c r="Z70" s="121"/>
      <c r="AA70" s="121" t="str">
        <f aca="false">HYPERLINK("https://chatgpt.com/api/library/files/libfile_0420a2f7564481919a54668a656a1c0f/download","B17私有元数据包")</f>
        <v>B17私有元数据包</v>
      </c>
      <c r="AB70" s="121" t="s">
        <v>2842</v>
      </c>
      <c r="AC70" s="121" t="s">
        <v>3557</v>
      </c>
      <c r="AD70" s="123" t="n">
        <v>46321.3765253819</v>
      </c>
      <c r="AE70" s="123" t="n">
        <v>46321.3988737153</v>
      </c>
      <c r="AF70" s="123" t="n">
        <v>46321.4106714005</v>
      </c>
      <c r="AG70" s="121" t="s">
        <v>3558</v>
      </c>
      <c r="AH70" s="121" t="str">
        <f aca="false">IF(AND(AI70="匹配",LEN(V70)=64,J70&lt;&gt;"",L70&lt;&gt;"",K70&gt;0,M70&gt;0,AD70&gt;0,AE70&gt;0,AF70&gt;0,AG70&lt;&gt;"",N70="待全文",O70=0,P70=0,Q70+R70+S70=1),"角色已验收","需检查证据")</f>
        <v>角色已验收</v>
      </c>
      <c r="AI70" s="121" t="str">
        <f aca="false">IF(COUNTIF($A$2:$A$91,A70)=1,"匹配","缺范围或重复")</f>
        <v>匹配</v>
      </c>
    </row>
    <row r="71" customFormat="false" ht="126" hidden="false" customHeight="true" outlineLevel="0" collapsed="false">
      <c r="A71" s="121" t="s">
        <v>3559</v>
      </c>
      <c r="B71" s="121" t="s">
        <v>234</v>
      </c>
      <c r="C71" s="121" t="s">
        <v>1669</v>
      </c>
      <c r="D71" s="121" t="s">
        <v>883</v>
      </c>
      <c r="E71" s="121" t="s">
        <v>3560</v>
      </c>
      <c r="F71" s="121" t="s">
        <v>2857</v>
      </c>
      <c r="G71" s="121" t="s">
        <v>3139</v>
      </c>
      <c r="H71" s="122" t="n">
        <v>98</v>
      </c>
      <c r="I71" s="122" t="n">
        <v>98</v>
      </c>
      <c r="J71" s="121" t="s">
        <v>3561</v>
      </c>
      <c r="K71" s="122" t="n">
        <v>17</v>
      </c>
      <c r="L71" s="121" t="s">
        <v>3562</v>
      </c>
      <c r="M71" s="122" t="n">
        <v>7</v>
      </c>
      <c r="N71" s="121" t="s">
        <v>2836</v>
      </c>
      <c r="O71" s="122" t="n">
        <v>0</v>
      </c>
      <c r="P71" s="122" t="n">
        <v>0</v>
      </c>
      <c r="Q71" s="122" t="n">
        <f aca="false">IF(F71="主角色提议",1,0)</f>
        <v>1</v>
      </c>
      <c r="R71" s="122" t="n">
        <f aca="false">IF(F71="非合同CIS",1,0)</f>
        <v>0</v>
      </c>
      <c r="S71" s="122" t="n">
        <f aca="false">IF(F71="映射保留",1,0)</f>
        <v>0</v>
      </c>
      <c r="T71" s="122" t="n">
        <v>1</v>
      </c>
      <c r="U71" s="121" t="s">
        <v>3563</v>
      </c>
      <c r="V71" s="121" t="s">
        <v>3564</v>
      </c>
      <c r="W71" s="121" t="s">
        <v>3565</v>
      </c>
      <c r="X71" s="121" t="s">
        <v>3566</v>
      </c>
      <c r="Y71" s="121" t="s">
        <v>3567</v>
      </c>
      <c r="Z71" s="121"/>
      <c r="AA71" s="121" t="str">
        <f aca="false">HYPERLINK("https://chatgpt.com/api/library/files/libfile_0420a2f7564481919a54668a656a1c0f/download","B17私有元数据包")</f>
        <v>B17私有元数据包</v>
      </c>
      <c r="AB71" s="121" t="s">
        <v>2842</v>
      </c>
      <c r="AC71" s="121" t="s">
        <v>3568</v>
      </c>
      <c r="AD71" s="123" t="n">
        <v>46321.3765253819</v>
      </c>
      <c r="AE71" s="123" t="n">
        <v>46321.3988737153</v>
      </c>
      <c r="AF71" s="123" t="n">
        <v>46321.4106714005</v>
      </c>
      <c r="AG71" s="121" t="s">
        <v>3569</v>
      </c>
      <c r="AH71" s="121" t="str">
        <f aca="false">IF(AND(AI71="匹配",LEN(V71)=64,J71&lt;&gt;"",L71&lt;&gt;"",K71&gt;0,M71&gt;0,AD71&gt;0,AE71&gt;0,AF71&gt;0,AG71&lt;&gt;"",N71="待全文",O71=0,P71=0,Q71+R71+S71=1),"角色已验收","需检查证据")</f>
        <v>角色已验收</v>
      </c>
      <c r="AI71" s="121" t="str">
        <f aca="false">IF(COUNTIF($A$2:$A$91,A71)=1,"匹配","缺范围或重复")</f>
        <v>匹配</v>
      </c>
    </row>
    <row r="72" customFormat="false" ht="126" hidden="false" customHeight="true" outlineLevel="0" collapsed="false">
      <c r="A72" s="121" t="s">
        <v>3570</v>
      </c>
      <c r="B72" s="121" t="s">
        <v>236</v>
      </c>
      <c r="C72" s="121" t="s">
        <v>1669</v>
      </c>
      <c r="D72" s="121" t="s">
        <v>883</v>
      </c>
      <c r="E72" s="121" t="s">
        <v>3571</v>
      </c>
      <c r="F72" s="121" t="s">
        <v>2857</v>
      </c>
      <c r="G72" s="121" t="s">
        <v>3139</v>
      </c>
      <c r="H72" s="122" t="n">
        <v>77</v>
      </c>
      <c r="I72" s="122" t="n">
        <v>77</v>
      </c>
      <c r="J72" s="121" t="s">
        <v>3572</v>
      </c>
      <c r="K72" s="122" t="n">
        <v>10</v>
      </c>
      <c r="L72" s="121" t="s">
        <v>3573</v>
      </c>
      <c r="M72" s="122" t="n">
        <v>5</v>
      </c>
      <c r="N72" s="121" t="s">
        <v>2836</v>
      </c>
      <c r="O72" s="122" t="n">
        <v>0</v>
      </c>
      <c r="P72" s="122" t="n">
        <v>0</v>
      </c>
      <c r="Q72" s="122" t="n">
        <f aca="false">IF(F72="主角色提议",1,0)</f>
        <v>1</v>
      </c>
      <c r="R72" s="122" t="n">
        <f aca="false">IF(F72="非合同CIS",1,0)</f>
        <v>0</v>
      </c>
      <c r="S72" s="122" t="n">
        <f aca="false">IF(F72="映射保留",1,0)</f>
        <v>0</v>
      </c>
      <c r="T72" s="122" t="n">
        <v>1</v>
      </c>
      <c r="U72" s="121" t="s">
        <v>3574</v>
      </c>
      <c r="V72" s="121" t="s">
        <v>3575</v>
      </c>
      <c r="W72" s="121" t="s">
        <v>3576</v>
      </c>
      <c r="X72" s="121" t="s">
        <v>3577</v>
      </c>
      <c r="Y72" s="121" t="s">
        <v>3578</v>
      </c>
      <c r="Z72" s="121"/>
      <c r="AA72" s="121" t="str">
        <f aca="false">HYPERLINK("https://chatgpt.com/api/library/files/libfile_06a6035d2e648191b8bcb2aa58876896/download","B18私有元数据包")</f>
        <v>B18私有元数据包</v>
      </c>
      <c r="AB72" s="121" t="s">
        <v>2842</v>
      </c>
      <c r="AC72" s="121" t="s">
        <v>3579</v>
      </c>
      <c r="AD72" s="123" t="n">
        <v>46321.3765253935</v>
      </c>
      <c r="AE72" s="123" t="n">
        <v>46321.3981725232</v>
      </c>
      <c r="AF72" s="123" t="n">
        <v>46321.4076010417</v>
      </c>
      <c r="AG72" s="121" t="s">
        <v>3580</v>
      </c>
      <c r="AH72" s="121" t="str">
        <f aca="false">IF(AND(AI72="匹配",LEN(V72)=64,J72&lt;&gt;"",L72&lt;&gt;"",K72&gt;0,M72&gt;0,AD72&gt;0,AE72&gt;0,AF72&gt;0,AG72&lt;&gt;"",N72="待全文",O72=0,P72=0,Q72+R72+S72=1),"角色已验收","需检查证据")</f>
        <v>角色已验收</v>
      </c>
      <c r="AI72" s="121" t="str">
        <f aca="false">IF(COUNTIF($A$2:$A$91,A72)=1,"匹配","缺范围或重复")</f>
        <v>匹配</v>
      </c>
    </row>
    <row r="73" customFormat="false" ht="126" hidden="false" customHeight="true" outlineLevel="0" collapsed="false">
      <c r="A73" s="121" t="s">
        <v>3581</v>
      </c>
      <c r="B73" s="121" t="s">
        <v>236</v>
      </c>
      <c r="C73" s="121" t="s">
        <v>1669</v>
      </c>
      <c r="D73" s="121" t="s">
        <v>883</v>
      </c>
      <c r="E73" s="121" t="s">
        <v>3582</v>
      </c>
      <c r="F73" s="121" t="s">
        <v>2857</v>
      </c>
      <c r="G73" s="121" t="s">
        <v>3139</v>
      </c>
      <c r="H73" s="122" t="n">
        <v>80</v>
      </c>
      <c r="I73" s="122" t="n">
        <v>80</v>
      </c>
      <c r="J73" s="121" t="s">
        <v>3583</v>
      </c>
      <c r="K73" s="122" t="n">
        <v>11</v>
      </c>
      <c r="L73" s="121" t="s">
        <v>3584</v>
      </c>
      <c r="M73" s="122" t="n">
        <v>5</v>
      </c>
      <c r="N73" s="121" t="s">
        <v>2836</v>
      </c>
      <c r="O73" s="122" t="n">
        <v>0</v>
      </c>
      <c r="P73" s="122" t="n">
        <v>0</v>
      </c>
      <c r="Q73" s="122" t="n">
        <f aca="false">IF(F73="主角色提议",1,0)</f>
        <v>1</v>
      </c>
      <c r="R73" s="122" t="n">
        <f aca="false">IF(F73="非合同CIS",1,0)</f>
        <v>0</v>
      </c>
      <c r="S73" s="122" t="n">
        <f aca="false">IF(F73="映射保留",1,0)</f>
        <v>0</v>
      </c>
      <c r="T73" s="122" t="n">
        <v>1</v>
      </c>
      <c r="U73" s="121" t="s">
        <v>3585</v>
      </c>
      <c r="V73" s="121" t="s">
        <v>3586</v>
      </c>
      <c r="W73" s="121" t="s">
        <v>3587</v>
      </c>
      <c r="X73" s="121" t="s">
        <v>3577</v>
      </c>
      <c r="Y73" s="121" t="s">
        <v>3588</v>
      </c>
      <c r="Z73" s="121"/>
      <c r="AA73" s="121" t="str">
        <f aca="false">HYPERLINK("https://chatgpt.com/api/library/files/libfile_06a6035d2e648191b8bcb2aa58876896/download","B18私有元数据包")</f>
        <v>B18私有元数据包</v>
      </c>
      <c r="AB73" s="121" t="s">
        <v>2842</v>
      </c>
      <c r="AC73" s="121" t="s">
        <v>3589</v>
      </c>
      <c r="AD73" s="123" t="n">
        <v>46321.3765253935</v>
      </c>
      <c r="AE73" s="123" t="n">
        <v>46321.3981725232</v>
      </c>
      <c r="AF73" s="123" t="n">
        <v>46321.4076010417</v>
      </c>
      <c r="AG73" s="121" t="s">
        <v>3590</v>
      </c>
      <c r="AH73" s="121" t="str">
        <f aca="false">IF(AND(AI73="匹配",LEN(V73)=64,J73&lt;&gt;"",L73&lt;&gt;"",K73&gt;0,M73&gt;0,AD73&gt;0,AE73&gt;0,AF73&gt;0,AG73&lt;&gt;"",N73="待全文",O73=0,P73=0,Q73+R73+S73=1),"角色已验收","需检查证据")</f>
        <v>角色已验收</v>
      </c>
      <c r="AI73" s="121" t="str">
        <f aca="false">IF(COUNTIF($A$2:$A$91,A73)=1,"匹配","缺范围或重复")</f>
        <v>匹配</v>
      </c>
    </row>
    <row r="74" customFormat="false" ht="110" hidden="false" customHeight="true" outlineLevel="0" collapsed="false">
      <c r="A74" s="121" t="s">
        <v>3591</v>
      </c>
      <c r="B74" s="121" t="s">
        <v>236</v>
      </c>
      <c r="C74" s="121" t="s">
        <v>1669</v>
      </c>
      <c r="D74" s="121" t="s">
        <v>883</v>
      </c>
      <c r="E74" s="121" t="s">
        <v>3592</v>
      </c>
      <c r="F74" s="121" t="s">
        <v>2857</v>
      </c>
      <c r="G74" s="121" t="s">
        <v>3139</v>
      </c>
      <c r="H74" s="122" t="n">
        <v>87</v>
      </c>
      <c r="I74" s="122" t="n">
        <v>87</v>
      </c>
      <c r="J74" s="121" t="s">
        <v>3593</v>
      </c>
      <c r="K74" s="122" t="n">
        <v>8</v>
      </c>
      <c r="L74" s="121" t="s">
        <v>3594</v>
      </c>
      <c r="M74" s="122" t="n">
        <v>5</v>
      </c>
      <c r="N74" s="121" t="s">
        <v>2836</v>
      </c>
      <c r="O74" s="122" t="n">
        <v>0</v>
      </c>
      <c r="P74" s="122" t="n">
        <v>0</v>
      </c>
      <c r="Q74" s="122" t="n">
        <f aca="false">IF(F74="主角色提议",1,0)</f>
        <v>1</v>
      </c>
      <c r="R74" s="122" t="n">
        <f aca="false">IF(F74="非合同CIS",1,0)</f>
        <v>0</v>
      </c>
      <c r="S74" s="122" t="n">
        <f aca="false">IF(F74="映射保留",1,0)</f>
        <v>0</v>
      </c>
      <c r="T74" s="122" t="n">
        <v>1</v>
      </c>
      <c r="U74" s="121" t="s">
        <v>3595</v>
      </c>
      <c r="V74" s="121" t="s">
        <v>3596</v>
      </c>
      <c r="W74" s="121" t="s">
        <v>3597</v>
      </c>
      <c r="X74" s="121" t="s">
        <v>3598</v>
      </c>
      <c r="Y74" s="121" t="s">
        <v>3599</v>
      </c>
      <c r="Z74" s="121"/>
      <c r="AA74" s="121" t="str">
        <f aca="false">HYPERLINK("https://chatgpt.com/api/library/files/libfile_06a6035d2e648191b8bcb2aa58876896/download","B18私有元数据包")</f>
        <v>B18私有元数据包</v>
      </c>
      <c r="AB74" s="121" t="s">
        <v>2842</v>
      </c>
      <c r="AC74" s="121" t="s">
        <v>3600</v>
      </c>
      <c r="AD74" s="123" t="n">
        <v>46321.3765253935</v>
      </c>
      <c r="AE74" s="123" t="n">
        <v>46321.3981725232</v>
      </c>
      <c r="AF74" s="123" t="n">
        <v>46321.4076010417</v>
      </c>
      <c r="AG74" s="121" t="s">
        <v>3601</v>
      </c>
      <c r="AH74" s="121" t="str">
        <f aca="false">IF(AND(AI74="匹配",LEN(V74)=64,J74&lt;&gt;"",L74&lt;&gt;"",K74&gt;0,M74&gt;0,AD74&gt;0,AE74&gt;0,AF74&gt;0,AG74&lt;&gt;"",N74="待全文",O74=0,P74=0,Q74+R74+S74=1),"角色已验收","需检查证据")</f>
        <v>角色已验收</v>
      </c>
      <c r="AI74" s="121" t="str">
        <f aca="false">IF(COUNTIF($A$2:$A$91,A74)=1,"匹配","缺范围或重复")</f>
        <v>匹配</v>
      </c>
    </row>
    <row r="75" customFormat="false" ht="110" hidden="false" customHeight="true" outlineLevel="0" collapsed="false">
      <c r="A75" s="121" t="s">
        <v>3602</v>
      </c>
      <c r="B75" s="121" t="s">
        <v>236</v>
      </c>
      <c r="C75" s="121" t="s">
        <v>1669</v>
      </c>
      <c r="D75" s="121" t="s">
        <v>883</v>
      </c>
      <c r="E75" s="121" t="s">
        <v>3603</v>
      </c>
      <c r="F75" s="121" t="s">
        <v>2857</v>
      </c>
      <c r="G75" s="121" t="s">
        <v>3139</v>
      </c>
      <c r="H75" s="122" t="n">
        <v>86</v>
      </c>
      <c r="I75" s="122" t="n">
        <v>86</v>
      </c>
      <c r="J75" s="121" t="s">
        <v>3604</v>
      </c>
      <c r="K75" s="122" t="n">
        <v>8</v>
      </c>
      <c r="L75" s="121" t="s">
        <v>3605</v>
      </c>
      <c r="M75" s="122" t="n">
        <v>5</v>
      </c>
      <c r="N75" s="121" t="s">
        <v>2836</v>
      </c>
      <c r="O75" s="122" t="n">
        <v>0</v>
      </c>
      <c r="P75" s="122" t="n">
        <v>0</v>
      </c>
      <c r="Q75" s="122" t="n">
        <f aca="false">IF(F75="主角色提议",1,0)</f>
        <v>1</v>
      </c>
      <c r="R75" s="122" t="n">
        <f aca="false">IF(F75="非合同CIS",1,0)</f>
        <v>0</v>
      </c>
      <c r="S75" s="122" t="n">
        <f aca="false">IF(F75="映射保留",1,0)</f>
        <v>0</v>
      </c>
      <c r="T75" s="122" t="n">
        <v>1</v>
      </c>
      <c r="U75" s="121" t="s">
        <v>3606</v>
      </c>
      <c r="V75" s="121" t="s">
        <v>3607</v>
      </c>
      <c r="W75" s="121" t="s">
        <v>3608</v>
      </c>
      <c r="X75" s="121" t="s">
        <v>3598</v>
      </c>
      <c r="Y75" s="121" t="s">
        <v>3609</v>
      </c>
      <c r="Z75" s="121"/>
      <c r="AA75" s="121" t="str">
        <f aca="false">HYPERLINK("https://chatgpt.com/api/library/files/libfile_06a6035d2e648191b8bcb2aa58876896/download","B18私有元数据包")</f>
        <v>B18私有元数据包</v>
      </c>
      <c r="AB75" s="121" t="s">
        <v>2842</v>
      </c>
      <c r="AC75" s="121" t="s">
        <v>3610</v>
      </c>
      <c r="AD75" s="123" t="n">
        <v>46321.3765253935</v>
      </c>
      <c r="AE75" s="123" t="n">
        <v>46321.3981725232</v>
      </c>
      <c r="AF75" s="123" t="n">
        <v>46321.4076010417</v>
      </c>
      <c r="AG75" s="121" t="s">
        <v>3611</v>
      </c>
      <c r="AH75" s="121" t="str">
        <f aca="false">IF(AND(AI75="匹配",LEN(V75)=64,J75&lt;&gt;"",L75&lt;&gt;"",K75&gt;0,M75&gt;0,AD75&gt;0,AE75&gt;0,AF75&gt;0,AG75&lt;&gt;"",N75="待全文",O75=0,P75=0,Q75+R75+S75=1),"角色已验收","需检查证据")</f>
        <v>角色已验收</v>
      </c>
      <c r="AI75" s="121" t="str">
        <f aca="false">IF(COUNTIF($A$2:$A$91,A75)=1,"匹配","缺范围或重复")</f>
        <v>匹配</v>
      </c>
    </row>
    <row r="76" customFormat="false" ht="126" hidden="false" customHeight="true" outlineLevel="0" collapsed="false">
      <c r="A76" s="121" t="s">
        <v>3612</v>
      </c>
      <c r="B76" s="121" t="s">
        <v>236</v>
      </c>
      <c r="C76" s="121" t="s">
        <v>1669</v>
      </c>
      <c r="D76" s="121" t="s">
        <v>883</v>
      </c>
      <c r="E76" s="121" t="s">
        <v>3613</v>
      </c>
      <c r="F76" s="121" t="s">
        <v>2857</v>
      </c>
      <c r="G76" s="121" t="s">
        <v>3350</v>
      </c>
      <c r="H76" s="122" t="n">
        <v>74</v>
      </c>
      <c r="I76" s="122" t="n">
        <v>74</v>
      </c>
      <c r="J76" s="121" t="s">
        <v>3614</v>
      </c>
      <c r="K76" s="122" t="n">
        <v>8</v>
      </c>
      <c r="L76" s="121" t="s">
        <v>3615</v>
      </c>
      <c r="M76" s="122" t="n">
        <v>6</v>
      </c>
      <c r="N76" s="121" t="s">
        <v>2836</v>
      </c>
      <c r="O76" s="122" t="n">
        <v>0</v>
      </c>
      <c r="P76" s="122" t="n">
        <v>0</v>
      </c>
      <c r="Q76" s="122" t="n">
        <f aca="false">IF(F76="主角色提议",1,0)</f>
        <v>1</v>
      </c>
      <c r="R76" s="122" t="n">
        <f aca="false">IF(F76="非合同CIS",1,0)</f>
        <v>0</v>
      </c>
      <c r="S76" s="122" t="n">
        <f aca="false">IF(F76="映射保留",1,0)</f>
        <v>0</v>
      </c>
      <c r="T76" s="122" t="n">
        <v>1</v>
      </c>
      <c r="U76" s="121" t="s">
        <v>3616</v>
      </c>
      <c r="V76" s="121" t="s">
        <v>3617</v>
      </c>
      <c r="W76" s="121" t="s">
        <v>3618</v>
      </c>
      <c r="X76" s="121" t="s">
        <v>3619</v>
      </c>
      <c r="Y76" s="121" t="s">
        <v>3620</v>
      </c>
      <c r="Z76" s="121"/>
      <c r="AA76" s="121" t="str">
        <f aca="false">HYPERLINK("https://chatgpt.com/api/library/files/libfile_06a6035d2e648191b8bcb2aa58876896/download","B18私有元数据包")</f>
        <v>B18私有元数据包</v>
      </c>
      <c r="AB76" s="121" t="s">
        <v>2842</v>
      </c>
      <c r="AC76" s="121" t="s">
        <v>3621</v>
      </c>
      <c r="AD76" s="123" t="n">
        <v>46321.3765253935</v>
      </c>
      <c r="AE76" s="123" t="n">
        <v>46321.3981725232</v>
      </c>
      <c r="AF76" s="123" t="n">
        <v>46321.4076010417</v>
      </c>
      <c r="AG76" s="121" t="s">
        <v>3622</v>
      </c>
      <c r="AH76" s="121" t="str">
        <f aca="false">IF(AND(AI76="匹配",LEN(V76)=64,J76&lt;&gt;"",L76&lt;&gt;"",K76&gt;0,M76&gt;0,AD76&gt;0,AE76&gt;0,AF76&gt;0,AG76&lt;&gt;"",N76="待全文",O76=0,P76=0,Q76+R76+S76=1),"角色已验收","需检查证据")</f>
        <v>角色已验收</v>
      </c>
      <c r="AI76" s="121" t="str">
        <f aca="false">IF(COUNTIF($A$2:$A$91,A76)=1,"匹配","缺范围或重复")</f>
        <v>匹配</v>
      </c>
    </row>
    <row r="77" customFormat="false" ht="174" hidden="false" customHeight="true" outlineLevel="0" collapsed="false">
      <c r="A77" s="121" t="s">
        <v>3623</v>
      </c>
      <c r="B77" s="121" t="s">
        <v>236</v>
      </c>
      <c r="C77" s="121" t="s">
        <v>1669</v>
      </c>
      <c r="D77" s="121" t="s">
        <v>883</v>
      </c>
      <c r="E77" s="121" t="s">
        <v>3624</v>
      </c>
      <c r="F77" s="121" t="s">
        <v>2857</v>
      </c>
      <c r="G77" s="121" t="s">
        <v>3139</v>
      </c>
      <c r="H77" s="122" t="n">
        <v>71</v>
      </c>
      <c r="I77" s="122" t="n">
        <v>71</v>
      </c>
      <c r="J77" s="121" t="s">
        <v>3625</v>
      </c>
      <c r="K77" s="122" t="n">
        <v>9</v>
      </c>
      <c r="L77" s="121" t="s">
        <v>3626</v>
      </c>
      <c r="M77" s="122" t="n">
        <v>6</v>
      </c>
      <c r="N77" s="121" t="s">
        <v>2836</v>
      </c>
      <c r="O77" s="122" t="n">
        <v>0</v>
      </c>
      <c r="P77" s="122" t="n">
        <v>0</v>
      </c>
      <c r="Q77" s="122" t="n">
        <f aca="false">IF(F77="主角色提议",1,0)</f>
        <v>1</v>
      </c>
      <c r="R77" s="122" t="n">
        <f aca="false">IF(F77="非合同CIS",1,0)</f>
        <v>0</v>
      </c>
      <c r="S77" s="122" t="n">
        <f aca="false">IF(F77="映射保留",1,0)</f>
        <v>0</v>
      </c>
      <c r="T77" s="122" t="n">
        <v>1</v>
      </c>
      <c r="U77" s="121" t="s">
        <v>3627</v>
      </c>
      <c r="V77" s="121" t="s">
        <v>3628</v>
      </c>
      <c r="W77" s="121" t="s">
        <v>3629</v>
      </c>
      <c r="X77" s="121" t="s">
        <v>3630</v>
      </c>
      <c r="Y77" s="121" t="s">
        <v>3631</v>
      </c>
      <c r="Z77" s="121"/>
      <c r="AA77" s="121" t="str">
        <f aca="false">HYPERLINK("https://chatgpt.com/api/library/files/libfile_06a6035d2e648191b8bcb2aa58876896/download","B18私有元数据包")</f>
        <v>B18私有元数据包</v>
      </c>
      <c r="AB77" s="121" t="s">
        <v>2842</v>
      </c>
      <c r="AC77" s="121" t="s">
        <v>3632</v>
      </c>
      <c r="AD77" s="123" t="n">
        <v>46321.3765253935</v>
      </c>
      <c r="AE77" s="123" t="n">
        <v>46321.3981725232</v>
      </c>
      <c r="AF77" s="123" t="n">
        <v>46321.4076010417</v>
      </c>
      <c r="AG77" s="121" t="s">
        <v>3633</v>
      </c>
      <c r="AH77" s="121" t="str">
        <f aca="false">IF(AND(AI77="匹配",LEN(V77)=64,J77&lt;&gt;"",L77&lt;&gt;"",K77&gt;0,M77&gt;0,AD77&gt;0,AE77&gt;0,AF77&gt;0,AG77&lt;&gt;"",N77="待全文",O77=0,P77=0,Q77+R77+S77=1),"角色已验收","需检查证据")</f>
        <v>角色已验收</v>
      </c>
      <c r="AI77" s="121" t="str">
        <f aca="false">IF(COUNTIF($A$2:$A$91,A77)=1,"匹配","缺范围或重复")</f>
        <v>匹配</v>
      </c>
    </row>
    <row r="78" customFormat="false" ht="126" hidden="false" customHeight="true" outlineLevel="0" collapsed="false">
      <c r="A78" s="121" t="s">
        <v>3634</v>
      </c>
      <c r="B78" s="121" t="s">
        <v>236</v>
      </c>
      <c r="C78" s="121" t="s">
        <v>1669</v>
      </c>
      <c r="D78" s="121" t="s">
        <v>883</v>
      </c>
      <c r="E78" s="121" t="s">
        <v>3635</v>
      </c>
      <c r="F78" s="121" t="s">
        <v>2857</v>
      </c>
      <c r="G78" s="121" t="s">
        <v>3139</v>
      </c>
      <c r="H78" s="122" t="n">
        <v>96</v>
      </c>
      <c r="I78" s="122" t="n">
        <v>96</v>
      </c>
      <c r="J78" s="121" t="s">
        <v>3636</v>
      </c>
      <c r="K78" s="122" t="n">
        <v>12</v>
      </c>
      <c r="L78" s="121" t="s">
        <v>3637</v>
      </c>
      <c r="M78" s="122" t="n">
        <v>9</v>
      </c>
      <c r="N78" s="121" t="s">
        <v>2836</v>
      </c>
      <c r="O78" s="122" t="n">
        <v>0</v>
      </c>
      <c r="P78" s="122" t="n">
        <v>0</v>
      </c>
      <c r="Q78" s="122" t="n">
        <f aca="false">IF(F78="主角色提议",1,0)</f>
        <v>1</v>
      </c>
      <c r="R78" s="122" t="n">
        <f aca="false">IF(F78="非合同CIS",1,0)</f>
        <v>0</v>
      </c>
      <c r="S78" s="122" t="n">
        <f aca="false">IF(F78="映射保留",1,0)</f>
        <v>0</v>
      </c>
      <c r="T78" s="122" t="n">
        <v>1</v>
      </c>
      <c r="U78" s="121" t="s">
        <v>3638</v>
      </c>
      <c r="V78" s="121" t="s">
        <v>3639</v>
      </c>
      <c r="W78" s="121" t="s">
        <v>3640</v>
      </c>
      <c r="X78" s="121" t="s">
        <v>3641</v>
      </c>
      <c r="Y78" s="121" t="s">
        <v>3642</v>
      </c>
      <c r="Z78" s="121"/>
      <c r="AA78" s="121" t="str">
        <f aca="false">HYPERLINK("https://chatgpt.com/api/library/files/libfile_06a6035d2e648191b8bcb2aa58876896/download","B18私有元数据包")</f>
        <v>B18私有元数据包</v>
      </c>
      <c r="AB78" s="121" t="s">
        <v>2842</v>
      </c>
      <c r="AC78" s="121" t="s">
        <v>3643</v>
      </c>
      <c r="AD78" s="123" t="n">
        <v>46321.3765253935</v>
      </c>
      <c r="AE78" s="123" t="n">
        <v>46321.3981725232</v>
      </c>
      <c r="AF78" s="123" t="n">
        <v>46321.4076010417</v>
      </c>
      <c r="AG78" s="121" t="s">
        <v>3644</v>
      </c>
      <c r="AH78" s="121" t="str">
        <f aca="false">IF(AND(AI78="匹配",LEN(V78)=64,J78&lt;&gt;"",L78&lt;&gt;"",K78&gt;0,M78&gt;0,AD78&gt;0,AE78&gt;0,AF78&gt;0,AG78&lt;&gt;"",N78="待全文",O78=0,P78=0,Q78+R78+S78=1),"角色已验收","需检查证据")</f>
        <v>角色已验收</v>
      </c>
      <c r="AI78" s="121" t="str">
        <f aca="false">IF(COUNTIF($A$2:$A$91,A78)=1,"匹配","缺范围或重复")</f>
        <v>匹配</v>
      </c>
    </row>
    <row r="79" customFormat="false" ht="110" hidden="false" customHeight="true" outlineLevel="0" collapsed="false">
      <c r="A79" s="121" t="s">
        <v>3645</v>
      </c>
      <c r="B79" s="121" t="s">
        <v>236</v>
      </c>
      <c r="C79" s="121" t="s">
        <v>1669</v>
      </c>
      <c r="D79" s="121" t="s">
        <v>883</v>
      </c>
      <c r="E79" s="121" t="s">
        <v>3646</v>
      </c>
      <c r="F79" s="121" t="s">
        <v>2857</v>
      </c>
      <c r="G79" s="121" t="s">
        <v>3139</v>
      </c>
      <c r="H79" s="122" t="n">
        <v>74</v>
      </c>
      <c r="I79" s="122" t="n">
        <v>74</v>
      </c>
      <c r="J79" s="121" t="s">
        <v>3647</v>
      </c>
      <c r="K79" s="122" t="n">
        <v>8</v>
      </c>
      <c r="L79" s="121" t="s">
        <v>3648</v>
      </c>
      <c r="M79" s="122" t="n">
        <v>5</v>
      </c>
      <c r="N79" s="121" t="s">
        <v>2836</v>
      </c>
      <c r="O79" s="122" t="n">
        <v>0</v>
      </c>
      <c r="P79" s="122" t="n">
        <v>0</v>
      </c>
      <c r="Q79" s="122" t="n">
        <f aca="false">IF(F79="主角色提议",1,0)</f>
        <v>1</v>
      </c>
      <c r="R79" s="122" t="n">
        <f aca="false">IF(F79="非合同CIS",1,0)</f>
        <v>0</v>
      </c>
      <c r="S79" s="122" t="n">
        <f aca="false">IF(F79="映射保留",1,0)</f>
        <v>0</v>
      </c>
      <c r="T79" s="122" t="n">
        <v>1</v>
      </c>
      <c r="U79" s="121" t="s">
        <v>3649</v>
      </c>
      <c r="V79" s="121" t="s">
        <v>3650</v>
      </c>
      <c r="W79" s="121" t="s">
        <v>3651</v>
      </c>
      <c r="X79" s="121" t="s">
        <v>3598</v>
      </c>
      <c r="Y79" s="121" t="s">
        <v>3652</v>
      </c>
      <c r="Z79" s="121"/>
      <c r="AA79" s="121" t="str">
        <f aca="false">HYPERLINK("https://chatgpt.com/api/library/files/libfile_06a6035d2e648191b8bcb2aa58876896/download","B18私有元数据包")</f>
        <v>B18私有元数据包</v>
      </c>
      <c r="AB79" s="121" t="s">
        <v>2842</v>
      </c>
      <c r="AC79" s="121" t="s">
        <v>3653</v>
      </c>
      <c r="AD79" s="123" t="n">
        <v>46321.3765253935</v>
      </c>
      <c r="AE79" s="123" t="n">
        <v>46321.3981725232</v>
      </c>
      <c r="AF79" s="123" t="n">
        <v>46321.4076010417</v>
      </c>
      <c r="AG79" s="121" t="s">
        <v>3654</v>
      </c>
      <c r="AH79" s="121" t="str">
        <f aca="false">IF(AND(AI79="匹配",LEN(V79)=64,J79&lt;&gt;"",L79&lt;&gt;"",K79&gt;0,M79&gt;0,AD79&gt;0,AE79&gt;0,AF79&gt;0,AG79&lt;&gt;"",N79="待全文",O79=0,P79=0,Q79+R79+S79=1),"角色已验收","需检查证据")</f>
        <v>角色已验收</v>
      </c>
      <c r="AI79" s="121" t="str">
        <f aca="false">IF(COUNTIF($A$2:$A$91,A79)=1,"匹配","缺范围或重复")</f>
        <v>匹配</v>
      </c>
    </row>
    <row r="80" customFormat="false" ht="142" hidden="false" customHeight="true" outlineLevel="0" collapsed="false">
      <c r="A80" s="121" t="s">
        <v>3655</v>
      </c>
      <c r="B80" s="121" t="s">
        <v>236</v>
      </c>
      <c r="C80" s="121" t="s">
        <v>1669</v>
      </c>
      <c r="D80" s="121" t="s">
        <v>883</v>
      </c>
      <c r="E80" s="121" t="s">
        <v>3656</v>
      </c>
      <c r="F80" s="121" t="s">
        <v>2857</v>
      </c>
      <c r="G80" s="121" t="s">
        <v>2858</v>
      </c>
      <c r="H80" s="122" t="n">
        <v>98</v>
      </c>
      <c r="I80" s="122" t="n">
        <v>98</v>
      </c>
      <c r="J80" s="121" t="s">
        <v>3657</v>
      </c>
      <c r="K80" s="122" t="n">
        <v>8</v>
      </c>
      <c r="L80" s="121" t="s">
        <v>3658</v>
      </c>
      <c r="M80" s="122" t="n">
        <v>6</v>
      </c>
      <c r="N80" s="121" t="s">
        <v>2836</v>
      </c>
      <c r="O80" s="122" t="n">
        <v>0</v>
      </c>
      <c r="P80" s="122" t="n">
        <v>0</v>
      </c>
      <c r="Q80" s="122" t="n">
        <f aca="false">IF(F80="主角色提议",1,0)</f>
        <v>1</v>
      </c>
      <c r="R80" s="122" t="n">
        <f aca="false">IF(F80="非合同CIS",1,0)</f>
        <v>0</v>
      </c>
      <c r="S80" s="122" t="n">
        <f aca="false">IF(F80="映射保留",1,0)</f>
        <v>0</v>
      </c>
      <c r="T80" s="122" t="n">
        <v>1</v>
      </c>
      <c r="U80" s="121" t="s">
        <v>3659</v>
      </c>
      <c r="V80" s="121" t="s">
        <v>3660</v>
      </c>
      <c r="W80" s="121" t="s">
        <v>3661</v>
      </c>
      <c r="X80" s="121" t="s">
        <v>3662</v>
      </c>
      <c r="Y80" s="121" t="s">
        <v>3663</v>
      </c>
      <c r="Z80" s="121"/>
      <c r="AA80" s="121" t="str">
        <f aca="false">HYPERLINK("https://chatgpt.com/api/library/files/libfile_06a6035d2e648191b8bcb2aa58876896/download","B18私有元数据包")</f>
        <v>B18私有元数据包</v>
      </c>
      <c r="AB80" s="121" t="s">
        <v>2842</v>
      </c>
      <c r="AC80" s="121" t="s">
        <v>3664</v>
      </c>
      <c r="AD80" s="123" t="n">
        <v>46321.3765253935</v>
      </c>
      <c r="AE80" s="123" t="n">
        <v>46321.3981725232</v>
      </c>
      <c r="AF80" s="123" t="n">
        <v>46321.4076010417</v>
      </c>
      <c r="AG80" s="121" t="s">
        <v>3665</v>
      </c>
      <c r="AH80" s="121" t="str">
        <f aca="false">IF(AND(AI80="匹配",LEN(V80)=64,J80&lt;&gt;"",L80&lt;&gt;"",K80&gt;0,M80&gt;0,AD80&gt;0,AE80&gt;0,AF80&gt;0,AG80&lt;&gt;"",N80="待全文",O80=0,P80=0,Q80+R80+S80=1),"角色已验收","需检查证据")</f>
        <v>角色已验收</v>
      </c>
      <c r="AI80" s="121" t="str">
        <f aca="false">IF(COUNTIF($A$2:$A$91,A80)=1,"匹配","缺范围或重复")</f>
        <v>匹配</v>
      </c>
    </row>
    <row r="81" customFormat="false" ht="158" hidden="false" customHeight="true" outlineLevel="0" collapsed="false">
      <c r="A81" s="121" t="s">
        <v>3666</v>
      </c>
      <c r="B81" s="121" t="s">
        <v>236</v>
      </c>
      <c r="C81" s="121" t="s">
        <v>1669</v>
      </c>
      <c r="D81" s="121" t="s">
        <v>883</v>
      </c>
      <c r="E81" s="121" t="s">
        <v>3667</v>
      </c>
      <c r="F81" s="121" t="s">
        <v>2857</v>
      </c>
      <c r="G81" s="121" t="s">
        <v>3139</v>
      </c>
      <c r="H81" s="122" t="n">
        <v>41</v>
      </c>
      <c r="I81" s="122" t="n">
        <v>41</v>
      </c>
      <c r="J81" s="121" t="s">
        <v>3668</v>
      </c>
      <c r="K81" s="122" t="n">
        <v>13</v>
      </c>
      <c r="L81" s="121" t="s">
        <v>3669</v>
      </c>
      <c r="M81" s="122" t="n">
        <v>8</v>
      </c>
      <c r="N81" s="121" t="s">
        <v>2836</v>
      </c>
      <c r="O81" s="122" t="n">
        <v>0</v>
      </c>
      <c r="P81" s="122" t="n">
        <v>0</v>
      </c>
      <c r="Q81" s="122" t="n">
        <f aca="false">IF(F81="主角色提议",1,0)</f>
        <v>1</v>
      </c>
      <c r="R81" s="122" t="n">
        <f aca="false">IF(F81="非合同CIS",1,0)</f>
        <v>0</v>
      </c>
      <c r="S81" s="122" t="n">
        <f aca="false">IF(F81="映射保留",1,0)</f>
        <v>0</v>
      </c>
      <c r="T81" s="122" t="n">
        <v>1</v>
      </c>
      <c r="U81" s="121" t="s">
        <v>3670</v>
      </c>
      <c r="V81" s="121" t="s">
        <v>3671</v>
      </c>
      <c r="W81" s="121" t="s">
        <v>3672</v>
      </c>
      <c r="X81" s="121" t="s">
        <v>3673</v>
      </c>
      <c r="Y81" s="121" t="s">
        <v>3674</v>
      </c>
      <c r="Z81" s="121"/>
      <c r="AA81" s="121" t="str">
        <f aca="false">HYPERLINK("https://chatgpt.com/api/library/files/libfile_06a6035d2e648191b8bcb2aa58876896/download","B18私有元数据包")</f>
        <v>B18私有元数据包</v>
      </c>
      <c r="AB81" s="121" t="s">
        <v>2842</v>
      </c>
      <c r="AC81" s="121" t="s">
        <v>3675</v>
      </c>
      <c r="AD81" s="123" t="n">
        <v>46321.3765253935</v>
      </c>
      <c r="AE81" s="123" t="n">
        <v>46321.3981725232</v>
      </c>
      <c r="AF81" s="123" t="n">
        <v>46321.4076010417</v>
      </c>
      <c r="AG81" s="121" t="s">
        <v>3676</v>
      </c>
      <c r="AH81" s="121" t="str">
        <f aca="false">IF(AND(AI81="匹配",LEN(V81)=64,J81&lt;&gt;"",L81&lt;&gt;"",K81&gt;0,M81&gt;0,AD81&gt;0,AE81&gt;0,AF81&gt;0,AG81&lt;&gt;"",N81="待全文",O81=0,P81=0,Q81+R81+S81=1),"角色已验收","需检查证据")</f>
        <v>角色已验收</v>
      </c>
      <c r="AI81" s="121" t="str">
        <f aca="false">IF(COUNTIF($A$2:$A$91,A81)=1,"匹配","缺范围或重复")</f>
        <v>匹配</v>
      </c>
    </row>
    <row r="82" customFormat="false" ht="142" hidden="false" customHeight="true" outlineLevel="0" collapsed="false">
      <c r="A82" s="121" t="s">
        <v>3677</v>
      </c>
      <c r="B82" s="121" t="s">
        <v>236</v>
      </c>
      <c r="C82" s="121" t="s">
        <v>1669</v>
      </c>
      <c r="D82" s="121" t="s">
        <v>883</v>
      </c>
      <c r="E82" s="121" t="s">
        <v>3678</v>
      </c>
      <c r="F82" s="121" t="s">
        <v>2958</v>
      </c>
      <c r="G82" s="121" t="s">
        <v>3679</v>
      </c>
      <c r="H82" s="122" t="n">
        <v>63</v>
      </c>
      <c r="I82" s="122" t="n">
        <v>63</v>
      </c>
      <c r="J82" s="121" t="s">
        <v>3680</v>
      </c>
      <c r="K82" s="122" t="n">
        <v>13</v>
      </c>
      <c r="L82" s="121" t="s">
        <v>3681</v>
      </c>
      <c r="M82" s="122" t="n">
        <v>5</v>
      </c>
      <c r="N82" s="121" t="s">
        <v>2836</v>
      </c>
      <c r="O82" s="122" t="n">
        <v>0</v>
      </c>
      <c r="P82" s="122" t="n">
        <v>0</v>
      </c>
      <c r="Q82" s="122" t="n">
        <f aca="false">IF(F82="主角色提议",1,0)</f>
        <v>0</v>
      </c>
      <c r="R82" s="122" t="n">
        <f aca="false">IF(F82="非合同CIS",1,0)</f>
        <v>0</v>
      </c>
      <c r="S82" s="122" t="n">
        <f aca="false">IF(F82="映射保留",1,0)</f>
        <v>1</v>
      </c>
      <c r="T82" s="122" t="n">
        <v>0</v>
      </c>
      <c r="U82" s="121" t="s">
        <v>3682</v>
      </c>
      <c r="V82" s="121" t="s">
        <v>3683</v>
      </c>
      <c r="W82" s="121" t="s">
        <v>3684</v>
      </c>
      <c r="X82" s="121" t="s">
        <v>3685</v>
      </c>
      <c r="Y82" s="121" t="s">
        <v>3686</v>
      </c>
      <c r="Z82" s="121" t="s">
        <v>3687</v>
      </c>
      <c r="AA82" s="121" t="str">
        <f aca="false">HYPERLINK("https://chatgpt.com/api/library/files/libfile_06a6035d2e648191b8bcb2aa58876896/download","B18私有元数据包")</f>
        <v>B18私有元数据包</v>
      </c>
      <c r="AB82" s="121" t="s">
        <v>2842</v>
      </c>
      <c r="AC82" s="121" t="s">
        <v>3688</v>
      </c>
      <c r="AD82" s="123" t="n">
        <v>46321.3765253935</v>
      </c>
      <c r="AE82" s="123" t="n">
        <v>46321.3981725232</v>
      </c>
      <c r="AF82" s="123" t="n">
        <v>46321.4076010417</v>
      </c>
      <c r="AG82" s="121" t="s">
        <v>3689</v>
      </c>
      <c r="AH82" s="121" t="str">
        <f aca="false">IF(AND(AI82="匹配",LEN(V82)=64,J82&lt;&gt;"",L82&lt;&gt;"",K82&gt;0,M82&gt;0,AD82&gt;0,AE82&gt;0,AF82&gt;0,AG82&lt;&gt;"",N82="待全文",O82=0,P82=0,Q82+R82+S82=1),"角色已验收","需检查证据")</f>
        <v>角色已验收</v>
      </c>
      <c r="AI82" s="121" t="str">
        <f aca="false">IF(COUNTIF($A$2:$A$91,A82)=1,"匹配","缺范围或重复")</f>
        <v>匹配</v>
      </c>
    </row>
    <row r="83" customFormat="false" ht="126" hidden="false" customHeight="true" outlineLevel="0" collapsed="false">
      <c r="A83" s="121" t="s">
        <v>3690</v>
      </c>
      <c r="B83" s="121" t="s">
        <v>236</v>
      </c>
      <c r="C83" s="121" t="s">
        <v>1669</v>
      </c>
      <c r="D83" s="121" t="s">
        <v>883</v>
      </c>
      <c r="E83" s="121" t="s">
        <v>3691</v>
      </c>
      <c r="F83" s="121" t="s">
        <v>2857</v>
      </c>
      <c r="G83" s="121" t="s">
        <v>3139</v>
      </c>
      <c r="H83" s="122" t="n">
        <v>51</v>
      </c>
      <c r="I83" s="122" t="n">
        <v>51</v>
      </c>
      <c r="J83" s="121" t="s">
        <v>3692</v>
      </c>
      <c r="K83" s="122" t="n">
        <v>8</v>
      </c>
      <c r="L83" s="121" t="s">
        <v>3693</v>
      </c>
      <c r="M83" s="122" t="n">
        <v>6</v>
      </c>
      <c r="N83" s="121" t="s">
        <v>2836</v>
      </c>
      <c r="O83" s="122" t="n">
        <v>0</v>
      </c>
      <c r="P83" s="122" t="n">
        <v>0</v>
      </c>
      <c r="Q83" s="122" t="n">
        <f aca="false">IF(F83="主角色提议",1,0)</f>
        <v>1</v>
      </c>
      <c r="R83" s="122" t="n">
        <f aca="false">IF(F83="非合同CIS",1,0)</f>
        <v>0</v>
      </c>
      <c r="S83" s="122" t="n">
        <f aca="false">IF(F83="映射保留",1,0)</f>
        <v>0</v>
      </c>
      <c r="T83" s="122" t="n">
        <v>1</v>
      </c>
      <c r="U83" s="121" t="s">
        <v>3694</v>
      </c>
      <c r="V83" s="121" t="s">
        <v>3695</v>
      </c>
      <c r="W83" s="121" t="s">
        <v>3696</v>
      </c>
      <c r="X83" s="121" t="s">
        <v>3697</v>
      </c>
      <c r="Y83" s="121" t="s">
        <v>3698</v>
      </c>
      <c r="Z83" s="121"/>
      <c r="AA83" s="121" t="str">
        <f aca="false">HYPERLINK("https://chatgpt.com/api/library/files/libfile_06a6035d2e648191b8bcb2aa58876896/download","B18私有元数据包")</f>
        <v>B18私有元数据包</v>
      </c>
      <c r="AB83" s="121" t="s">
        <v>2842</v>
      </c>
      <c r="AC83" s="121" t="s">
        <v>3699</v>
      </c>
      <c r="AD83" s="123" t="n">
        <v>46321.3765253935</v>
      </c>
      <c r="AE83" s="123" t="n">
        <v>46321.3981725232</v>
      </c>
      <c r="AF83" s="123" t="n">
        <v>46321.4076010417</v>
      </c>
      <c r="AG83" s="121" t="s">
        <v>3700</v>
      </c>
      <c r="AH83" s="121" t="str">
        <f aca="false">IF(AND(AI83="匹配",LEN(V83)=64,J83&lt;&gt;"",L83&lt;&gt;"",K83&gt;0,M83&gt;0,AD83&gt;0,AE83&gt;0,AF83&gt;0,AG83&lt;&gt;"",N83="待全文",O83=0,P83=0,Q83+R83+S83=1),"角色已验收","需检查证据")</f>
        <v>角色已验收</v>
      </c>
      <c r="AI83" s="121" t="str">
        <f aca="false">IF(COUNTIF($A$2:$A$91,A83)=1,"匹配","缺范围或重复")</f>
        <v>匹配</v>
      </c>
    </row>
    <row r="84" customFormat="false" ht="126" hidden="false" customHeight="true" outlineLevel="0" collapsed="false">
      <c r="A84" s="121" t="s">
        <v>3701</v>
      </c>
      <c r="B84" s="121" t="s">
        <v>236</v>
      </c>
      <c r="C84" s="121" t="s">
        <v>1669</v>
      </c>
      <c r="D84" s="121" t="s">
        <v>883</v>
      </c>
      <c r="E84" s="121" t="s">
        <v>3702</v>
      </c>
      <c r="F84" s="121" t="s">
        <v>2857</v>
      </c>
      <c r="G84" s="121" t="s">
        <v>3087</v>
      </c>
      <c r="H84" s="122" t="n">
        <v>56</v>
      </c>
      <c r="I84" s="122" t="n">
        <v>56</v>
      </c>
      <c r="J84" s="121" t="s">
        <v>3703</v>
      </c>
      <c r="K84" s="122" t="n">
        <v>8</v>
      </c>
      <c r="L84" s="121" t="s">
        <v>3704</v>
      </c>
      <c r="M84" s="122" t="n">
        <v>4</v>
      </c>
      <c r="N84" s="121" t="s">
        <v>2836</v>
      </c>
      <c r="O84" s="122" t="n">
        <v>0</v>
      </c>
      <c r="P84" s="122" t="n">
        <v>0</v>
      </c>
      <c r="Q84" s="122" t="n">
        <f aca="false">IF(F84="主角色提议",1,0)</f>
        <v>1</v>
      </c>
      <c r="R84" s="122" t="n">
        <f aca="false">IF(F84="非合同CIS",1,0)</f>
        <v>0</v>
      </c>
      <c r="S84" s="122" t="n">
        <f aca="false">IF(F84="映射保留",1,0)</f>
        <v>0</v>
      </c>
      <c r="T84" s="122" t="n">
        <v>1</v>
      </c>
      <c r="U84" s="121" t="s">
        <v>3705</v>
      </c>
      <c r="V84" s="121" t="s">
        <v>3706</v>
      </c>
      <c r="W84" s="121" t="s">
        <v>3707</v>
      </c>
      <c r="X84" s="121" t="s">
        <v>3708</v>
      </c>
      <c r="Y84" s="121" t="s">
        <v>3709</v>
      </c>
      <c r="Z84" s="121"/>
      <c r="AA84" s="121" t="str">
        <f aca="false">HYPERLINK("https://chatgpt.com/api/library/files/libfile_06a6035d2e648191b8bcb2aa58876896/download","B18私有元数据包")</f>
        <v>B18私有元数据包</v>
      </c>
      <c r="AB84" s="121" t="s">
        <v>2842</v>
      </c>
      <c r="AC84" s="121" t="s">
        <v>3710</v>
      </c>
      <c r="AD84" s="123" t="n">
        <v>46321.3765253935</v>
      </c>
      <c r="AE84" s="123" t="n">
        <v>46321.3981725232</v>
      </c>
      <c r="AF84" s="123" t="n">
        <v>46321.4076010417</v>
      </c>
      <c r="AG84" s="121" t="s">
        <v>3711</v>
      </c>
      <c r="AH84" s="121" t="str">
        <f aca="false">IF(AND(AI84="匹配",LEN(V84)=64,J84&lt;&gt;"",L84&lt;&gt;"",K84&gt;0,M84&gt;0,AD84&gt;0,AE84&gt;0,AF84&gt;0,AG84&lt;&gt;"",N84="待全文",O84=0,P84=0,Q84+R84+S84=1),"角色已验收","需检查证据")</f>
        <v>角色已验收</v>
      </c>
      <c r="AI84" s="121" t="str">
        <f aca="false">IF(COUNTIF($A$2:$A$91,A84)=1,"匹配","缺范围或重复")</f>
        <v>匹配</v>
      </c>
    </row>
    <row r="85" customFormat="false" ht="126" hidden="false" customHeight="true" outlineLevel="0" collapsed="false">
      <c r="A85" s="121" t="s">
        <v>3712</v>
      </c>
      <c r="B85" s="121" t="s">
        <v>236</v>
      </c>
      <c r="C85" s="121" t="s">
        <v>1669</v>
      </c>
      <c r="D85" s="121" t="s">
        <v>883</v>
      </c>
      <c r="E85" s="121" t="s">
        <v>3713</v>
      </c>
      <c r="F85" s="121" t="s">
        <v>2857</v>
      </c>
      <c r="G85" s="121" t="s">
        <v>3139</v>
      </c>
      <c r="H85" s="122" t="n">
        <v>105</v>
      </c>
      <c r="I85" s="122" t="n">
        <v>105</v>
      </c>
      <c r="J85" s="121" t="s">
        <v>3714</v>
      </c>
      <c r="K85" s="122" t="n">
        <v>9</v>
      </c>
      <c r="L85" s="121" t="s">
        <v>3715</v>
      </c>
      <c r="M85" s="122" t="n">
        <v>6</v>
      </c>
      <c r="N85" s="121" t="s">
        <v>2836</v>
      </c>
      <c r="O85" s="122" t="n">
        <v>0</v>
      </c>
      <c r="P85" s="122" t="n">
        <v>0</v>
      </c>
      <c r="Q85" s="122" t="n">
        <f aca="false">IF(F85="主角色提议",1,0)</f>
        <v>1</v>
      </c>
      <c r="R85" s="122" t="n">
        <f aca="false">IF(F85="非合同CIS",1,0)</f>
        <v>0</v>
      </c>
      <c r="S85" s="122" t="n">
        <f aca="false">IF(F85="映射保留",1,0)</f>
        <v>0</v>
      </c>
      <c r="T85" s="122" t="n">
        <v>1</v>
      </c>
      <c r="U85" s="121" t="s">
        <v>3716</v>
      </c>
      <c r="V85" s="121" t="s">
        <v>3717</v>
      </c>
      <c r="W85" s="121" t="s">
        <v>3718</v>
      </c>
      <c r="X85" s="121" t="s">
        <v>3719</v>
      </c>
      <c r="Y85" s="121" t="s">
        <v>3720</v>
      </c>
      <c r="Z85" s="121"/>
      <c r="AA85" s="121" t="str">
        <f aca="false">HYPERLINK("https://chatgpt.com/api/library/files/libfile_06a6035d2e648191b8bcb2aa58876896/download","B18私有元数据包")</f>
        <v>B18私有元数据包</v>
      </c>
      <c r="AB85" s="121" t="s">
        <v>2842</v>
      </c>
      <c r="AC85" s="121" t="s">
        <v>3721</v>
      </c>
      <c r="AD85" s="123" t="n">
        <v>46321.3765253935</v>
      </c>
      <c r="AE85" s="123" t="n">
        <v>46321.3981725232</v>
      </c>
      <c r="AF85" s="123" t="n">
        <v>46321.4076010417</v>
      </c>
      <c r="AG85" s="121" t="s">
        <v>3722</v>
      </c>
      <c r="AH85" s="121" t="str">
        <f aca="false">IF(AND(AI85="匹配",LEN(V85)=64,J85&lt;&gt;"",L85&lt;&gt;"",K85&gt;0,M85&gt;0,AD85&gt;0,AE85&gt;0,AF85&gt;0,AG85&lt;&gt;"",N85="待全文",O85=0,P85=0,Q85+R85+S85=1),"角色已验收","需检查证据")</f>
        <v>角色已验收</v>
      </c>
      <c r="AI85" s="121" t="str">
        <f aca="false">IF(COUNTIF($A$2:$A$91,A85)=1,"匹配","缺范围或重复")</f>
        <v>匹配</v>
      </c>
    </row>
    <row r="86" customFormat="false" ht="126" hidden="false" customHeight="true" outlineLevel="0" collapsed="false">
      <c r="A86" s="121" t="s">
        <v>3723</v>
      </c>
      <c r="B86" s="121" t="s">
        <v>236</v>
      </c>
      <c r="C86" s="121" t="s">
        <v>1669</v>
      </c>
      <c r="D86" s="121" t="s">
        <v>883</v>
      </c>
      <c r="E86" s="121" t="s">
        <v>3724</v>
      </c>
      <c r="F86" s="121" t="s">
        <v>2857</v>
      </c>
      <c r="G86" s="121" t="s">
        <v>3087</v>
      </c>
      <c r="H86" s="122" t="n">
        <v>89</v>
      </c>
      <c r="I86" s="122" t="n">
        <v>89</v>
      </c>
      <c r="J86" s="121" t="s">
        <v>3725</v>
      </c>
      <c r="K86" s="122" t="n">
        <v>9</v>
      </c>
      <c r="L86" s="121" t="s">
        <v>3726</v>
      </c>
      <c r="M86" s="122" t="n">
        <v>5</v>
      </c>
      <c r="N86" s="121" t="s">
        <v>2836</v>
      </c>
      <c r="O86" s="122" t="n">
        <v>0</v>
      </c>
      <c r="P86" s="122" t="n">
        <v>0</v>
      </c>
      <c r="Q86" s="122" t="n">
        <f aca="false">IF(F86="主角色提议",1,0)</f>
        <v>1</v>
      </c>
      <c r="R86" s="122" t="n">
        <f aca="false">IF(F86="非合同CIS",1,0)</f>
        <v>0</v>
      </c>
      <c r="S86" s="122" t="n">
        <f aca="false">IF(F86="映射保留",1,0)</f>
        <v>0</v>
      </c>
      <c r="T86" s="122" t="n">
        <v>1</v>
      </c>
      <c r="U86" s="121" t="s">
        <v>3727</v>
      </c>
      <c r="V86" s="121" t="s">
        <v>3728</v>
      </c>
      <c r="W86" s="121" t="s">
        <v>3729</v>
      </c>
      <c r="X86" s="121" t="s">
        <v>3730</v>
      </c>
      <c r="Y86" s="121" t="s">
        <v>3731</v>
      </c>
      <c r="Z86" s="121"/>
      <c r="AA86" s="121" t="str">
        <f aca="false">HYPERLINK("https://chatgpt.com/api/library/files/libfile_06a6035d2e648191b8bcb2aa58876896/download","B18私有元数据包")</f>
        <v>B18私有元数据包</v>
      </c>
      <c r="AB86" s="121" t="s">
        <v>2842</v>
      </c>
      <c r="AC86" s="121" t="s">
        <v>3732</v>
      </c>
      <c r="AD86" s="123" t="n">
        <v>46321.3765253935</v>
      </c>
      <c r="AE86" s="123" t="n">
        <v>46321.3981725232</v>
      </c>
      <c r="AF86" s="123" t="n">
        <v>46321.4076010417</v>
      </c>
      <c r="AG86" s="121" t="s">
        <v>3733</v>
      </c>
      <c r="AH86" s="121" t="str">
        <f aca="false">IF(AND(AI86="匹配",LEN(V86)=64,J86&lt;&gt;"",L86&lt;&gt;"",K86&gt;0,M86&gt;0,AD86&gt;0,AE86&gt;0,AF86&gt;0,AG86&lt;&gt;"",N86="待全文",O86=0,P86=0,Q86+R86+S86=1),"角色已验收","需检查证据")</f>
        <v>角色已验收</v>
      </c>
      <c r="AI86" s="121" t="str">
        <f aca="false">IF(COUNTIF($A$2:$A$91,A86)=1,"匹配","缺范围或重复")</f>
        <v>匹配</v>
      </c>
    </row>
    <row r="87" customFormat="false" ht="158" hidden="false" customHeight="true" outlineLevel="0" collapsed="false">
      <c r="A87" s="121" t="s">
        <v>3734</v>
      </c>
      <c r="B87" s="121" t="s">
        <v>236</v>
      </c>
      <c r="C87" s="121" t="s">
        <v>1669</v>
      </c>
      <c r="D87" s="121" t="s">
        <v>883</v>
      </c>
      <c r="E87" s="121" t="s">
        <v>3735</v>
      </c>
      <c r="F87" s="121" t="s">
        <v>2958</v>
      </c>
      <c r="G87" s="121" t="s">
        <v>3736</v>
      </c>
      <c r="H87" s="122" t="n">
        <v>47</v>
      </c>
      <c r="I87" s="122" t="n">
        <v>47</v>
      </c>
      <c r="J87" s="121" t="s">
        <v>3737</v>
      </c>
      <c r="K87" s="122" t="n">
        <v>11</v>
      </c>
      <c r="L87" s="121" t="s">
        <v>3738</v>
      </c>
      <c r="M87" s="122" t="n">
        <v>7</v>
      </c>
      <c r="N87" s="121" t="s">
        <v>2836</v>
      </c>
      <c r="O87" s="122" t="n">
        <v>0</v>
      </c>
      <c r="P87" s="122" t="n">
        <v>0</v>
      </c>
      <c r="Q87" s="122" t="n">
        <f aca="false">IF(F87="主角色提议",1,0)</f>
        <v>0</v>
      </c>
      <c r="R87" s="122" t="n">
        <f aca="false">IF(F87="非合同CIS",1,0)</f>
        <v>0</v>
      </c>
      <c r="S87" s="122" t="n">
        <f aca="false">IF(F87="映射保留",1,0)</f>
        <v>1</v>
      </c>
      <c r="T87" s="122" t="n">
        <v>0</v>
      </c>
      <c r="U87" s="121" t="s">
        <v>3739</v>
      </c>
      <c r="V87" s="121" t="s">
        <v>3740</v>
      </c>
      <c r="W87" s="121" t="s">
        <v>3741</v>
      </c>
      <c r="X87" s="121" t="s">
        <v>3742</v>
      </c>
      <c r="Y87" s="121" t="s">
        <v>3743</v>
      </c>
      <c r="Z87" s="121" t="s">
        <v>3744</v>
      </c>
      <c r="AA87" s="121" t="str">
        <f aca="false">HYPERLINK("https://chatgpt.com/api/library/files/libfile_06a6035d2e648191b8bcb2aa58876896/download","B18私有元数据包")</f>
        <v>B18私有元数据包</v>
      </c>
      <c r="AB87" s="121" t="s">
        <v>2842</v>
      </c>
      <c r="AC87" s="121" t="s">
        <v>3745</v>
      </c>
      <c r="AD87" s="123" t="n">
        <v>46321.3765253935</v>
      </c>
      <c r="AE87" s="123" t="n">
        <v>46321.3981725232</v>
      </c>
      <c r="AF87" s="123" t="n">
        <v>46321.4076010417</v>
      </c>
      <c r="AG87" s="121" t="s">
        <v>3746</v>
      </c>
      <c r="AH87" s="121" t="str">
        <f aca="false">IF(AND(AI87="匹配",LEN(V87)=64,J87&lt;&gt;"",L87&lt;&gt;"",K87&gt;0,M87&gt;0,AD87&gt;0,AE87&gt;0,AF87&gt;0,AG87&lt;&gt;"",N87="待全文",O87=0,P87=0,Q87+R87+S87=1),"角色已验收","需检查证据")</f>
        <v>角色已验收</v>
      </c>
      <c r="AI87" s="121" t="str">
        <f aca="false">IF(COUNTIF($A$2:$A$91,A87)=1,"匹配","缺范围或重复")</f>
        <v>匹配</v>
      </c>
    </row>
    <row r="88" customFormat="false" ht="142" hidden="false" customHeight="true" outlineLevel="0" collapsed="false">
      <c r="A88" s="121" t="s">
        <v>3747</v>
      </c>
      <c r="B88" s="121" t="s">
        <v>236</v>
      </c>
      <c r="C88" s="121" t="s">
        <v>1669</v>
      </c>
      <c r="D88" s="121" t="s">
        <v>883</v>
      </c>
      <c r="E88" s="121" t="s">
        <v>3748</v>
      </c>
      <c r="F88" s="121" t="s">
        <v>2857</v>
      </c>
      <c r="G88" s="121" t="s">
        <v>3749</v>
      </c>
      <c r="H88" s="122" t="n">
        <v>27</v>
      </c>
      <c r="I88" s="122" t="n">
        <v>27</v>
      </c>
      <c r="J88" s="121" t="s">
        <v>3750</v>
      </c>
      <c r="K88" s="122" t="n">
        <v>8</v>
      </c>
      <c r="L88" s="121" t="s">
        <v>3751</v>
      </c>
      <c r="M88" s="122" t="n">
        <v>6</v>
      </c>
      <c r="N88" s="121" t="s">
        <v>2836</v>
      </c>
      <c r="O88" s="122" t="n">
        <v>0</v>
      </c>
      <c r="P88" s="122" t="n">
        <v>0</v>
      </c>
      <c r="Q88" s="122" t="n">
        <f aca="false">IF(F88="主角色提议",1,0)</f>
        <v>1</v>
      </c>
      <c r="R88" s="122" t="n">
        <f aca="false">IF(F88="非合同CIS",1,0)</f>
        <v>0</v>
      </c>
      <c r="S88" s="122" t="n">
        <f aca="false">IF(F88="映射保留",1,0)</f>
        <v>0</v>
      </c>
      <c r="T88" s="122" t="n">
        <v>1</v>
      </c>
      <c r="U88" s="121" t="s">
        <v>3752</v>
      </c>
      <c r="V88" s="121" t="s">
        <v>3753</v>
      </c>
      <c r="W88" s="121" t="s">
        <v>3754</v>
      </c>
      <c r="X88" s="121" t="s">
        <v>3755</v>
      </c>
      <c r="Y88" s="121" t="s">
        <v>3756</v>
      </c>
      <c r="Z88" s="121"/>
      <c r="AA88" s="121" t="str">
        <f aca="false">HYPERLINK("https://chatgpt.com/api/library/files/libfile_06a6035d2e648191b8bcb2aa58876896/download","B18私有元数据包")</f>
        <v>B18私有元数据包</v>
      </c>
      <c r="AB88" s="121" t="s">
        <v>2842</v>
      </c>
      <c r="AC88" s="121" t="s">
        <v>3757</v>
      </c>
      <c r="AD88" s="123" t="n">
        <v>46321.3765253935</v>
      </c>
      <c r="AE88" s="123" t="n">
        <v>46321.3981725232</v>
      </c>
      <c r="AF88" s="123" t="n">
        <v>46321.4076010417</v>
      </c>
      <c r="AG88" s="121" t="s">
        <v>3758</v>
      </c>
      <c r="AH88" s="121" t="str">
        <f aca="false">IF(AND(AI88="匹配",LEN(V88)=64,J88&lt;&gt;"",L88&lt;&gt;"",K88&gt;0,M88&gt;0,AD88&gt;0,AE88&gt;0,AF88&gt;0,AG88&lt;&gt;"",N88="待全文",O88=0,P88=0,Q88+R88+S88=1),"角色已验收","需检查证据")</f>
        <v>角色已验收</v>
      </c>
      <c r="AI88" s="121" t="str">
        <f aca="false">IF(COUNTIF($A$2:$A$91,A88)=1,"匹配","缺范围或重复")</f>
        <v>匹配</v>
      </c>
    </row>
    <row r="89" customFormat="false" ht="142" hidden="false" customHeight="true" outlineLevel="0" collapsed="false">
      <c r="A89" s="121" t="s">
        <v>3759</v>
      </c>
      <c r="B89" s="121" t="s">
        <v>236</v>
      </c>
      <c r="C89" s="121" t="s">
        <v>1690</v>
      </c>
      <c r="D89" s="121" t="s">
        <v>2039</v>
      </c>
      <c r="E89" s="121" t="s">
        <v>2041</v>
      </c>
      <c r="F89" s="121" t="s">
        <v>2958</v>
      </c>
      <c r="G89" s="121" t="s">
        <v>3760</v>
      </c>
      <c r="H89" s="122" t="n">
        <v>91</v>
      </c>
      <c r="I89" s="122" t="n">
        <v>91</v>
      </c>
      <c r="J89" s="121" t="s">
        <v>3761</v>
      </c>
      <c r="K89" s="122" t="n">
        <v>12</v>
      </c>
      <c r="L89" s="121" t="s">
        <v>3762</v>
      </c>
      <c r="M89" s="122" t="n">
        <v>7</v>
      </c>
      <c r="N89" s="121" t="s">
        <v>2836</v>
      </c>
      <c r="O89" s="122" t="n">
        <v>0</v>
      </c>
      <c r="P89" s="122" t="n">
        <v>0</v>
      </c>
      <c r="Q89" s="122" t="n">
        <f aca="false">IF(F89="主角色提议",1,0)</f>
        <v>0</v>
      </c>
      <c r="R89" s="122" t="n">
        <f aca="false">IF(F89="非合同CIS",1,0)</f>
        <v>0</v>
      </c>
      <c r="S89" s="122" t="n">
        <f aca="false">IF(F89="映射保留",1,0)</f>
        <v>1</v>
      </c>
      <c r="T89" s="122" t="n">
        <v>0</v>
      </c>
      <c r="U89" s="121" t="s">
        <v>3763</v>
      </c>
      <c r="V89" s="121" t="s">
        <v>3764</v>
      </c>
      <c r="W89" s="121" t="s">
        <v>3765</v>
      </c>
      <c r="X89" s="121" t="s">
        <v>3766</v>
      </c>
      <c r="Y89" s="121" t="s">
        <v>3767</v>
      </c>
      <c r="Z89" s="121" t="s">
        <v>3768</v>
      </c>
      <c r="AA89" s="121" t="str">
        <f aca="false">HYPERLINK("https://chatgpt.com/api/library/files/libfile_06a6035d2e648191b8bcb2aa58876896/download","B18私有元数据包")</f>
        <v>B18私有元数据包</v>
      </c>
      <c r="AB89" s="121" t="s">
        <v>3769</v>
      </c>
      <c r="AC89" s="121" t="s">
        <v>3770</v>
      </c>
      <c r="AD89" s="123" t="n">
        <v>46321.3765253935</v>
      </c>
      <c r="AE89" s="123" t="n">
        <v>46321.3981725232</v>
      </c>
      <c r="AF89" s="123" t="n">
        <v>46321.4076010417</v>
      </c>
      <c r="AG89" s="121" t="s">
        <v>3771</v>
      </c>
      <c r="AH89" s="121" t="str">
        <f aca="false">IF(AND(AI89="匹配",LEN(V89)=64,J89&lt;&gt;"",L89&lt;&gt;"",K89&gt;0,M89&gt;0,AD89&gt;0,AE89&gt;0,AF89&gt;0,AG89&lt;&gt;"",N89="待全文",O89=0,P89=0,Q89+R89+S89=1),"角色已验收","需检查证据")</f>
        <v>角色已验收</v>
      </c>
      <c r="AI89" s="121" t="str">
        <f aca="false">IF(COUNTIF($A$2:$A$91,A89)=1,"匹配","缺范围或重复")</f>
        <v>匹配</v>
      </c>
    </row>
    <row r="90" customFormat="false" ht="110" hidden="false" customHeight="true" outlineLevel="0" collapsed="false">
      <c r="A90" s="121" t="s">
        <v>3772</v>
      </c>
      <c r="B90" s="121" t="s">
        <v>236</v>
      </c>
      <c r="C90" s="121" t="s">
        <v>1690</v>
      </c>
      <c r="D90" s="121" t="s">
        <v>1013</v>
      </c>
      <c r="E90" s="121" t="s">
        <v>2050</v>
      </c>
      <c r="F90" s="121" t="s">
        <v>2857</v>
      </c>
      <c r="G90" s="121" t="s">
        <v>3773</v>
      </c>
      <c r="H90" s="122" t="n">
        <v>40</v>
      </c>
      <c r="I90" s="122" t="n">
        <v>40</v>
      </c>
      <c r="J90" s="121" t="s">
        <v>3774</v>
      </c>
      <c r="K90" s="122" t="n">
        <v>6</v>
      </c>
      <c r="L90" s="121" t="s">
        <v>3774</v>
      </c>
      <c r="M90" s="122" t="n">
        <v>6</v>
      </c>
      <c r="N90" s="121" t="s">
        <v>2836</v>
      </c>
      <c r="O90" s="122" t="n">
        <v>0</v>
      </c>
      <c r="P90" s="122" t="n">
        <v>0</v>
      </c>
      <c r="Q90" s="122" t="n">
        <f aca="false">IF(F90="主角色提议",1,0)</f>
        <v>1</v>
      </c>
      <c r="R90" s="122" t="n">
        <f aca="false">IF(F90="非合同CIS",1,0)</f>
        <v>0</v>
      </c>
      <c r="S90" s="122" t="n">
        <f aca="false">IF(F90="映射保留",1,0)</f>
        <v>0</v>
      </c>
      <c r="T90" s="122" t="n">
        <v>1</v>
      </c>
      <c r="U90" s="121" t="s">
        <v>3775</v>
      </c>
      <c r="V90" s="121" t="s">
        <v>3776</v>
      </c>
      <c r="W90" s="121" t="s">
        <v>3777</v>
      </c>
      <c r="X90" s="121" t="s">
        <v>3778</v>
      </c>
      <c r="Y90" s="121" t="s">
        <v>3779</v>
      </c>
      <c r="Z90" s="121"/>
      <c r="AA90" s="121" t="str">
        <f aca="false">HYPERLINK("https://chatgpt.com/api/library/files/libfile_06a6035d2e648191b8bcb2aa58876896/download","B18私有元数据包")</f>
        <v>B18私有元数据包</v>
      </c>
      <c r="AB90" s="121" t="s">
        <v>3780</v>
      </c>
      <c r="AC90" s="121" t="s">
        <v>3781</v>
      </c>
      <c r="AD90" s="123" t="n">
        <v>46321.3765253935</v>
      </c>
      <c r="AE90" s="123" t="n">
        <v>46321.3981725232</v>
      </c>
      <c r="AF90" s="123" t="n">
        <v>46321.4076010417</v>
      </c>
      <c r="AG90" s="121" t="s">
        <v>3782</v>
      </c>
      <c r="AH90" s="121" t="str">
        <f aca="false">IF(AND(AI90="匹配",LEN(V90)=64,J90&lt;&gt;"",L90&lt;&gt;"",K90&gt;0,M90&gt;0,AD90&gt;0,AE90&gt;0,AF90&gt;0,AG90&lt;&gt;"",N90="待全文",O90=0,P90=0,Q90+R90+S90=1),"角色已验收","需检查证据")</f>
        <v>角色已验收</v>
      </c>
      <c r="AI90" s="121" t="str">
        <f aca="false">IF(COUNTIF($A$2:$A$91,A90)=1,"匹配","缺范围或重复")</f>
        <v>匹配</v>
      </c>
    </row>
    <row r="91" customFormat="false" ht="126" hidden="false" customHeight="true" outlineLevel="0" collapsed="false">
      <c r="A91" s="121" t="s">
        <v>3783</v>
      </c>
      <c r="B91" s="121" t="s">
        <v>236</v>
      </c>
      <c r="C91" s="121" t="s">
        <v>1690</v>
      </c>
      <c r="D91" s="121" t="s">
        <v>948</v>
      </c>
      <c r="E91" s="121" t="s">
        <v>1430</v>
      </c>
      <c r="F91" s="121" t="s">
        <v>2857</v>
      </c>
      <c r="G91" s="121" t="s">
        <v>3784</v>
      </c>
      <c r="H91" s="122" t="n">
        <v>18</v>
      </c>
      <c r="I91" s="122" t="n">
        <v>18</v>
      </c>
      <c r="J91" s="121" t="s">
        <v>3785</v>
      </c>
      <c r="K91" s="122" t="n">
        <v>9</v>
      </c>
      <c r="L91" s="121" t="s">
        <v>3786</v>
      </c>
      <c r="M91" s="122" t="n">
        <v>5</v>
      </c>
      <c r="N91" s="121" t="s">
        <v>2836</v>
      </c>
      <c r="O91" s="122" t="n">
        <v>0</v>
      </c>
      <c r="P91" s="122" t="n">
        <v>0</v>
      </c>
      <c r="Q91" s="122" t="n">
        <f aca="false">IF(F91="主角色提议",1,0)</f>
        <v>1</v>
      </c>
      <c r="R91" s="122" t="n">
        <f aca="false">IF(F91="非合同CIS",1,0)</f>
        <v>0</v>
      </c>
      <c r="S91" s="122" t="n">
        <f aca="false">IF(F91="映射保留",1,0)</f>
        <v>0</v>
      </c>
      <c r="T91" s="122" t="n">
        <v>1</v>
      </c>
      <c r="U91" s="121" t="s">
        <v>3787</v>
      </c>
      <c r="V91" s="121" t="s">
        <v>3788</v>
      </c>
      <c r="W91" s="121" t="s">
        <v>3789</v>
      </c>
      <c r="X91" s="121" t="s">
        <v>3790</v>
      </c>
      <c r="Y91" s="121" t="s">
        <v>3791</v>
      </c>
      <c r="Z91" s="121"/>
      <c r="AA91" s="121" t="str">
        <f aca="false">HYPERLINK("https://chatgpt.com/api/library/files/libfile_06a6035d2e648191b8bcb2aa58876896/download","B18私有元数据包")</f>
        <v>B18私有元数据包</v>
      </c>
      <c r="AB91" s="121" t="s">
        <v>3792</v>
      </c>
      <c r="AC91" s="121" t="s">
        <v>3793</v>
      </c>
      <c r="AD91" s="123" t="n">
        <v>46321.3765253935</v>
      </c>
      <c r="AE91" s="123" t="n">
        <v>46321.3981725232</v>
      </c>
      <c r="AF91" s="123" t="n">
        <v>46321.4076010417</v>
      </c>
      <c r="AG91" s="121" t="s">
        <v>3794</v>
      </c>
      <c r="AH91" s="121" t="str">
        <f aca="false">IF(AND(AI91="匹配",LEN(V91)=64,J91&lt;&gt;"",L91&lt;&gt;"",K91&gt;0,M91&gt;0,AD91&gt;0,AE91&gt;0,AF91&gt;0,AG91&lt;&gt;"",N91="待全文",O91=0,P91=0,Q91+R91+S91=1),"角色已验收","需检查证据")</f>
        <v>角色已验收</v>
      </c>
      <c r="AI91" s="121" t="str">
        <f aca="false">IF(COUNTIF($A$2:$A$91,A91)=1,"匹配","缺范围或重复")</f>
        <v>匹配</v>
      </c>
    </row>
  </sheetData>
  <conditionalFormatting sqref="F2:F91">
    <cfRule type="containsText" priority="2" operator="containsText" aboveAverage="0" equalAverage="0" bottom="0" percent="0" rank="0" text="映射保留" dxfId="27">
      <formula>NOT(ISERROR(SEARCH("映射保留",F2)))</formula>
    </cfRule>
  </conditionalFormatting>
  <conditionalFormatting sqref="AH2:AI91">
    <cfRule type="containsText" priority="3" operator="containsText" aboveAverage="0" equalAverage="0" bottom="0" percent="0" rank="0" text="需检查" dxfId="28">
      <formula>NOT(ISERROR(SEARCH("需检查",AH2)))</formula>
    </cfRule>
  </conditionalFormatting>
  <dataValidations count="1">
    <dataValidation allowBlank="false" errorStyle="stop" operator="between" showDropDown="false" showErrorMessage="false" showInputMessage="false" sqref="F2:F91" type="list">
      <formula1>"主角色提议,非合同CIS,映射保留"</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3" min="2" style="0" width="8"/>
    <col collapsed="false" customWidth="true" hidden="false" outlineLevel="0" max="4" min="4" style="0" width="32"/>
    <col collapsed="false" customWidth="true" hidden="false" outlineLevel="0" max="5" min="5" style="0" width="51"/>
    <col collapsed="false" customWidth="true" hidden="false" outlineLevel="0" max="6" min="6" style="0" width="18"/>
    <col collapsed="false" customWidth="true" hidden="false" outlineLevel="0" max="7" min="7" style="0" width="38"/>
    <col collapsed="false" customWidth="true" hidden="false" outlineLevel="0" max="8" min="8" style="0" width="68"/>
    <col collapsed="false" customWidth="true" hidden="false" outlineLevel="0" max="11" min="9" style="0" width="12"/>
    <col collapsed="false" customWidth="true" hidden="false" outlineLevel="0" max="13" min="12" style="0" width="14"/>
    <col collapsed="false" customWidth="true" hidden="false" outlineLevel="0" max="14" min="14" style="0" width="12"/>
    <col collapsed="false" customWidth="true" hidden="false" outlineLevel="0" max="16" min="15" style="0" width="18"/>
    <col collapsed="false" customWidth="true" hidden="false" outlineLevel="0" max="17" min="17" style="0" width="16"/>
    <col collapsed="false" customWidth="true" hidden="false" outlineLevel="0" max="18" min="18" style="0" width="23"/>
    <col collapsed="false" customWidth="true" hidden="false" outlineLevel="0" max="21" min="19" style="0" width="14"/>
    <col collapsed="false" customWidth="true" hidden="false" outlineLevel="0" max="22" min="22" style="0" width="12"/>
    <col collapsed="false" customWidth="true" hidden="false" outlineLevel="0" max="23" min="23" style="0" width="14"/>
    <col collapsed="false" customWidth="true" hidden="false" outlineLevel="0" max="24" min="24" style="0" width="27"/>
    <col collapsed="false" customWidth="true" hidden="false" outlineLevel="0" max="25" min="25" style="0" width="52"/>
    <col collapsed="false" customWidth="true" hidden="false" outlineLevel="0" max="26" min="26" style="0" width="68"/>
    <col collapsed="false" customWidth="true" hidden="false" outlineLevel="0" max="28" min="27" style="0" width="58"/>
    <col collapsed="false" customWidth="true" hidden="false" outlineLevel="0" max="29" min="29" style="0" width="52"/>
    <col collapsed="false" customWidth="true" hidden="false" outlineLevel="0" max="31" min="30" style="0" width="62"/>
    <col collapsed="false" customWidth="true" hidden="false" outlineLevel="0" max="33" min="32" style="0" width="65"/>
    <col collapsed="false" customWidth="true" hidden="false" outlineLevel="0" max="35" min="34" style="0" width="23"/>
    <col collapsed="false" customWidth="true" hidden="false" outlineLevel="0" max="36" min="36" style="0" width="20"/>
    <col collapsed="false" customWidth="true" hidden="false" outlineLevel="0" max="37" min="37" style="0" width="18"/>
    <col collapsed="false" customWidth="true" hidden="false" outlineLevel="0" max="38" min="38" style="0" width="85"/>
    <col collapsed="false" customWidth="true" hidden="false" outlineLevel="0" max="39" min="39" style="0" width="48"/>
  </cols>
  <sheetData>
    <row r="1" customFormat="false" ht="55" hidden="false" customHeight="true" outlineLevel="0" collapsed="false">
      <c r="A1" s="124" t="s">
        <v>2799</v>
      </c>
      <c r="B1" s="124" t="s">
        <v>52</v>
      </c>
      <c r="C1" s="124" t="s">
        <v>797</v>
      </c>
      <c r="D1" s="124" t="s">
        <v>2800</v>
      </c>
      <c r="E1" s="124" t="s">
        <v>2801</v>
      </c>
      <c r="F1" s="124" t="s">
        <v>3795</v>
      </c>
      <c r="G1" s="124" t="s">
        <v>2817</v>
      </c>
      <c r="H1" s="124" t="s">
        <v>2818</v>
      </c>
      <c r="I1" s="124" t="s">
        <v>3796</v>
      </c>
      <c r="J1" s="124" t="s">
        <v>3797</v>
      </c>
      <c r="K1" s="124" t="s">
        <v>3798</v>
      </c>
      <c r="L1" s="124" t="s">
        <v>3799</v>
      </c>
      <c r="M1" s="124" t="s">
        <v>3800</v>
      </c>
      <c r="N1" s="124" t="s">
        <v>3801</v>
      </c>
      <c r="O1" s="124" t="s">
        <v>3802</v>
      </c>
      <c r="P1" s="124" t="s">
        <v>3803</v>
      </c>
      <c r="Q1" s="124" t="s">
        <v>3804</v>
      </c>
      <c r="R1" s="124" t="s">
        <v>2828</v>
      </c>
      <c r="S1" s="124" t="s">
        <v>3805</v>
      </c>
      <c r="T1" s="124" t="s">
        <v>3806</v>
      </c>
      <c r="U1" s="124" t="s">
        <v>3807</v>
      </c>
      <c r="V1" s="124" t="s">
        <v>3808</v>
      </c>
      <c r="W1" s="124" t="s">
        <v>3809</v>
      </c>
      <c r="X1" s="124" t="s">
        <v>3810</v>
      </c>
      <c r="Y1" s="124" t="s">
        <v>2824</v>
      </c>
      <c r="Z1" s="124" t="s">
        <v>2825</v>
      </c>
      <c r="AA1" s="124" t="s">
        <v>3811</v>
      </c>
      <c r="AB1" s="124" t="s">
        <v>3812</v>
      </c>
      <c r="AC1" s="124" t="s">
        <v>3813</v>
      </c>
      <c r="AD1" s="124" t="s">
        <v>3814</v>
      </c>
      <c r="AE1" s="124" t="s">
        <v>3815</v>
      </c>
      <c r="AF1" s="124" t="s">
        <v>3816</v>
      </c>
      <c r="AG1" s="124" t="s">
        <v>3817</v>
      </c>
      <c r="AH1" s="124" t="s">
        <v>3818</v>
      </c>
      <c r="AI1" s="124" t="s">
        <v>2827</v>
      </c>
      <c r="AJ1" s="124" t="s">
        <v>3819</v>
      </c>
      <c r="AK1" s="124" t="s">
        <v>3820</v>
      </c>
      <c r="AL1" s="124" t="s">
        <v>3821</v>
      </c>
      <c r="AM1" s="124" t="s">
        <v>3822</v>
      </c>
    </row>
    <row r="2" customFormat="false" ht="110" hidden="false" customHeight="true" outlineLevel="0" collapsed="false">
      <c r="A2" s="125" t="s">
        <v>3823</v>
      </c>
      <c r="B2" s="125" t="s">
        <v>3824</v>
      </c>
      <c r="C2" s="125" t="s">
        <v>1669</v>
      </c>
      <c r="D2" s="125" t="s">
        <v>883</v>
      </c>
      <c r="E2" s="125" t="s">
        <v>3494</v>
      </c>
      <c r="F2" s="125" t="s">
        <v>3493</v>
      </c>
      <c r="G2" s="125" t="s">
        <v>3497</v>
      </c>
      <c r="H2" s="125" t="s">
        <v>3498</v>
      </c>
      <c r="I2" s="126" t="n">
        <v>28</v>
      </c>
      <c r="J2" s="126" t="n">
        <v>28</v>
      </c>
      <c r="K2" s="126" t="n">
        <v>28</v>
      </c>
      <c r="L2" s="126" t="n">
        <v>28</v>
      </c>
      <c r="M2" s="126" t="n">
        <v>28</v>
      </c>
      <c r="N2" s="126" t="n">
        <v>0</v>
      </c>
      <c r="O2" s="127" t="s">
        <v>3825</v>
      </c>
      <c r="P2" s="127" t="s">
        <v>3826</v>
      </c>
      <c r="Q2" s="127" t="s">
        <v>3827</v>
      </c>
      <c r="R2" s="128" t="n">
        <v>46321.4447647338</v>
      </c>
      <c r="S2" s="126" t="n">
        <f aca="false">IF(AND(AND(Q2="已通过",ISNUMBER(R2),R2&gt;0,A2&lt;&gt;"",G2&lt;&gt;"",H2&lt;&gt;"",AF2&lt;&gt;"",AG2&lt;&gt;"",COUNTIF($A$2:$A$6,A2)=1,COUNT(I2:N2)=6,I2&gt;0,J2=I2,L2=I2,K2=M2),O2="现存页全审",M2=I2,N2=0),1,0)</f>
        <v>1</v>
      </c>
      <c r="T2" s="126" t="n">
        <f aca="false">IF(AND(AND(Q2="已通过",ISNUMBER(R2),R2&gt;0,A2&lt;&gt;"",G2&lt;&gt;"",H2&lt;&gt;"",AF2&lt;&gt;"",AG2&lt;&gt;"",COUNTIF($A$2:$A$6,A2)=1,COUNT(I2:N2)=6,I2&gt;0,J2=I2,L2=I2,K2=M2),O2="部分语义审读",M2&gt;0,M2&lt;I2,N2=I2-M2),1,0)</f>
        <v>0</v>
      </c>
      <c r="U2" s="126" t="n">
        <f aca="false">IF(AND(S2=1,P2="verified"),1,0)</f>
        <v>1</v>
      </c>
      <c r="V2" s="126" t="n">
        <v>0</v>
      </c>
      <c r="W2" s="126" t="n">
        <f aca="false">I2*S2</f>
        <v>28</v>
      </c>
      <c r="X2" s="125" t="str">
        <f aca="false">HYPERLINK("https://chatgpt.com/api/library/files/libfile_f5852bc3c2ec8191adeaa0cb46e749c3/download","下载B19私有内容元数据包")</f>
        <v>下载B19私有内容元数据包</v>
      </c>
      <c r="Y2" s="125" t="s">
        <v>2842</v>
      </c>
      <c r="Z2" s="125" t="s">
        <v>3502</v>
      </c>
      <c r="AA2" s="125" t="s">
        <v>3828</v>
      </c>
      <c r="AB2" s="125" t="s">
        <v>3829</v>
      </c>
      <c r="AC2" s="125" t="s">
        <v>3830</v>
      </c>
      <c r="AD2" s="125" t="s">
        <v>3831</v>
      </c>
      <c r="AE2" s="125" t="s">
        <v>3832</v>
      </c>
      <c r="AF2" s="125" t="s">
        <v>3833</v>
      </c>
      <c r="AG2" s="125" t="s">
        <v>3834</v>
      </c>
      <c r="AH2" s="128" t="n">
        <v>46321.4215190046</v>
      </c>
      <c r="AI2" s="128" t="n">
        <v>46321.4331811343</v>
      </c>
      <c r="AJ2" s="125" t="str">
        <f aca="false">IF(S2+T2=1,"内容已验收","缺证据或范围冲突")</f>
        <v>内容已验收</v>
      </c>
      <c r="AK2" s="125" t="str">
        <f aca="false">IF(COUNTIF($A$2:$A$6,A2)=1,"唯一","重复或缺失")</f>
        <v>唯一</v>
      </c>
      <c r="AL2" s="125" t="s">
        <v>3835</v>
      </c>
      <c r="AM2" s="125" t="s">
        <v>3836</v>
      </c>
    </row>
    <row r="3" customFormat="false" ht="110" hidden="false" customHeight="true" outlineLevel="0" collapsed="false">
      <c r="A3" s="125" t="s">
        <v>3837</v>
      </c>
      <c r="B3" s="125" t="s">
        <v>3824</v>
      </c>
      <c r="C3" s="125" t="s">
        <v>1669</v>
      </c>
      <c r="D3" s="125" t="s">
        <v>883</v>
      </c>
      <c r="E3" s="125" t="s">
        <v>3505</v>
      </c>
      <c r="F3" s="125" t="s">
        <v>3504</v>
      </c>
      <c r="G3" s="125" t="s">
        <v>3508</v>
      </c>
      <c r="H3" s="125" t="s">
        <v>3509</v>
      </c>
      <c r="I3" s="126" t="n">
        <v>33</v>
      </c>
      <c r="J3" s="126" t="n">
        <v>33</v>
      </c>
      <c r="K3" s="126" t="n">
        <v>33</v>
      </c>
      <c r="L3" s="126" t="n">
        <v>33</v>
      </c>
      <c r="M3" s="126" t="n">
        <v>33</v>
      </c>
      <c r="N3" s="126" t="n">
        <v>0</v>
      </c>
      <c r="O3" s="127" t="s">
        <v>3825</v>
      </c>
      <c r="P3" s="127" t="s">
        <v>3838</v>
      </c>
      <c r="Q3" s="127" t="s">
        <v>3827</v>
      </c>
      <c r="R3" s="128" t="n">
        <v>46321.4447647338</v>
      </c>
      <c r="S3" s="126" t="n">
        <f aca="false">IF(AND(AND(Q3="已通过",ISNUMBER(R3),R3&gt;0,A3&lt;&gt;"",G3&lt;&gt;"",H3&lt;&gt;"",AF3&lt;&gt;"",AG3&lt;&gt;"",COUNTIF($A$2:$A$6,A3)=1,COUNT(I3:N3)=6,I3&gt;0,J3=I3,L3=I3,K3=M3),O3="现存页全审",M3=I3,N3=0),1,0)</f>
        <v>1</v>
      </c>
      <c r="T3" s="126" t="n">
        <f aca="false">IF(AND(AND(Q3="已通过",ISNUMBER(R3),R3&gt;0,A3&lt;&gt;"",G3&lt;&gt;"",H3&lt;&gt;"",AF3&lt;&gt;"",AG3&lt;&gt;"",COUNTIF($A$2:$A$6,A3)=1,COUNT(I3:N3)=6,I3&gt;0,J3=I3,L3=I3,K3=M3),O3="部分语义审读",M3&gt;0,M3&lt;I3,N3=I3-M3),1,0)</f>
        <v>0</v>
      </c>
      <c r="U3" s="126" t="n">
        <f aca="false">IF(AND(S3=1,P3="verified"),1,0)</f>
        <v>0</v>
      </c>
      <c r="V3" s="126" t="n">
        <v>0</v>
      </c>
      <c r="W3" s="126" t="n">
        <f aca="false">I3*S3</f>
        <v>33</v>
      </c>
      <c r="X3" s="125" t="str">
        <f aca="false">HYPERLINK("https://chatgpt.com/api/library/files/libfile_f5852bc3c2ec8191adeaa0cb46e749c3/download","下载B19私有内容元数据包")</f>
        <v>下载B19私有内容元数据包</v>
      </c>
      <c r="Y3" s="125" t="s">
        <v>2842</v>
      </c>
      <c r="Z3" s="125" t="s">
        <v>3513</v>
      </c>
      <c r="AA3" s="125" t="s">
        <v>3839</v>
      </c>
      <c r="AB3" s="125" t="s">
        <v>3840</v>
      </c>
      <c r="AC3" s="125" t="s">
        <v>3841</v>
      </c>
      <c r="AD3" s="125" t="s">
        <v>3842</v>
      </c>
      <c r="AE3" s="125" t="s">
        <v>3832</v>
      </c>
      <c r="AF3" s="125" t="s">
        <v>3843</v>
      </c>
      <c r="AG3" s="125" t="s">
        <v>3834</v>
      </c>
      <c r="AH3" s="128" t="n">
        <v>46321.4215190046</v>
      </c>
      <c r="AI3" s="128" t="n">
        <v>46321.4331811343</v>
      </c>
      <c r="AJ3" s="125" t="str">
        <f aca="false">IF(S3+T3=1,"内容已验收","缺证据或范围冲突")</f>
        <v>内容已验收</v>
      </c>
      <c r="AK3" s="125" t="str">
        <f aca="false">IF(COUNTIF($A$2:$A$6,A3)=1,"唯一","重复或缺失")</f>
        <v>唯一</v>
      </c>
      <c r="AL3" s="125" t="s">
        <v>3835</v>
      </c>
      <c r="AM3" s="125" t="s">
        <v>3836</v>
      </c>
    </row>
    <row r="4" customFormat="false" ht="110" hidden="false" customHeight="true" outlineLevel="0" collapsed="false">
      <c r="A4" s="125" t="s">
        <v>3844</v>
      </c>
      <c r="B4" s="125" t="s">
        <v>3824</v>
      </c>
      <c r="C4" s="125" t="s">
        <v>1669</v>
      </c>
      <c r="D4" s="125" t="s">
        <v>883</v>
      </c>
      <c r="E4" s="125" t="s">
        <v>3748</v>
      </c>
      <c r="F4" s="125" t="s">
        <v>3747</v>
      </c>
      <c r="G4" s="125" t="s">
        <v>3752</v>
      </c>
      <c r="H4" s="125" t="s">
        <v>3753</v>
      </c>
      <c r="I4" s="126" t="n">
        <v>27</v>
      </c>
      <c r="J4" s="126" t="n">
        <v>27</v>
      </c>
      <c r="K4" s="126" t="n">
        <v>27</v>
      </c>
      <c r="L4" s="126" t="n">
        <v>27</v>
      </c>
      <c r="M4" s="126" t="n">
        <v>27</v>
      </c>
      <c r="N4" s="126" t="n">
        <v>0</v>
      </c>
      <c r="O4" s="127" t="s">
        <v>3825</v>
      </c>
      <c r="P4" s="127" t="s">
        <v>3838</v>
      </c>
      <c r="Q4" s="127" t="s">
        <v>3827</v>
      </c>
      <c r="R4" s="128" t="n">
        <v>46321.4447647338</v>
      </c>
      <c r="S4" s="126" t="n">
        <f aca="false">IF(AND(AND(Q4="已通过",ISNUMBER(R4),R4&gt;0,A4&lt;&gt;"",G4&lt;&gt;"",H4&lt;&gt;"",AF4&lt;&gt;"",AG4&lt;&gt;"",COUNTIF($A$2:$A$6,A4)=1,COUNT(I4:N4)=6,I4&gt;0,J4=I4,L4=I4,K4=M4),O4="现存页全审",M4=I4,N4=0),1,0)</f>
        <v>1</v>
      </c>
      <c r="T4" s="126" t="n">
        <f aca="false">IF(AND(AND(Q4="已通过",ISNUMBER(R4),R4&gt;0,A4&lt;&gt;"",G4&lt;&gt;"",H4&lt;&gt;"",AF4&lt;&gt;"",AG4&lt;&gt;"",COUNTIF($A$2:$A$6,A4)=1,COUNT(I4:N4)=6,I4&gt;0,J4=I4,L4=I4,K4=M4),O4="部分语义审读",M4&gt;0,M4&lt;I4,N4=I4-M4),1,0)</f>
        <v>0</v>
      </c>
      <c r="U4" s="126" t="n">
        <f aca="false">IF(AND(S4=1,P4="verified"),1,0)</f>
        <v>0</v>
      </c>
      <c r="V4" s="126" t="n">
        <v>0</v>
      </c>
      <c r="W4" s="126" t="n">
        <f aca="false">I4*S4</f>
        <v>27</v>
      </c>
      <c r="X4" s="125" t="str">
        <f aca="false">HYPERLINK("https://chatgpt.com/api/library/files/libfile_f5852bc3c2ec8191adeaa0cb46e749c3/download","下载B19私有内容元数据包")</f>
        <v>下载B19私有内容元数据包</v>
      </c>
      <c r="Y4" s="125" t="s">
        <v>2842</v>
      </c>
      <c r="Z4" s="125" t="s">
        <v>3757</v>
      </c>
      <c r="AA4" s="125" t="s">
        <v>3845</v>
      </c>
      <c r="AB4" s="125" t="s">
        <v>3846</v>
      </c>
      <c r="AC4" s="125" t="s">
        <v>3847</v>
      </c>
      <c r="AD4" s="125" t="s">
        <v>3848</v>
      </c>
      <c r="AE4" s="125" t="s">
        <v>3832</v>
      </c>
      <c r="AF4" s="125" t="s">
        <v>3849</v>
      </c>
      <c r="AG4" s="125" t="s">
        <v>3834</v>
      </c>
      <c r="AH4" s="128" t="n">
        <v>46321.4215190046</v>
      </c>
      <c r="AI4" s="128" t="n">
        <v>46321.4331811343</v>
      </c>
      <c r="AJ4" s="125" t="str">
        <f aca="false">IF(S4+T4=1,"内容已验收","缺证据或范围冲突")</f>
        <v>内容已验收</v>
      </c>
      <c r="AK4" s="125" t="str">
        <f aca="false">IF(COUNTIF($A$2:$A$6,A4)=1,"唯一","重复或缺失")</f>
        <v>唯一</v>
      </c>
      <c r="AL4" s="125" t="s">
        <v>3835</v>
      </c>
      <c r="AM4" s="125" t="s">
        <v>3836</v>
      </c>
    </row>
    <row r="5" customFormat="false" ht="110" hidden="false" customHeight="true" outlineLevel="0" collapsed="false">
      <c r="A5" s="125" t="s">
        <v>3850</v>
      </c>
      <c r="B5" s="125" t="s">
        <v>3824</v>
      </c>
      <c r="C5" s="125" t="s">
        <v>1690</v>
      </c>
      <c r="D5" s="125" t="s">
        <v>1013</v>
      </c>
      <c r="E5" s="125" t="s">
        <v>2050</v>
      </c>
      <c r="F5" s="125" t="s">
        <v>3772</v>
      </c>
      <c r="G5" s="125" t="s">
        <v>3775</v>
      </c>
      <c r="H5" s="125" t="s">
        <v>3776</v>
      </c>
      <c r="I5" s="126" t="n">
        <v>40</v>
      </c>
      <c r="J5" s="126" t="n">
        <v>40</v>
      </c>
      <c r="K5" s="126" t="n">
        <v>20</v>
      </c>
      <c r="L5" s="126" t="n">
        <v>40</v>
      </c>
      <c r="M5" s="126" t="n">
        <v>20</v>
      </c>
      <c r="N5" s="126" t="n">
        <v>20</v>
      </c>
      <c r="O5" s="127" t="s">
        <v>3851</v>
      </c>
      <c r="P5" s="127" t="s">
        <v>3838</v>
      </c>
      <c r="Q5" s="127" t="s">
        <v>3827</v>
      </c>
      <c r="R5" s="128" t="n">
        <v>46321.442534294</v>
      </c>
      <c r="S5" s="126" t="n">
        <f aca="false">IF(AND(AND(Q5="已通过",ISNUMBER(R5),R5&gt;0,A5&lt;&gt;"",G5&lt;&gt;"",H5&lt;&gt;"",AF5&lt;&gt;"",AG5&lt;&gt;"",COUNTIF($A$2:$A$6,A5)=1,COUNT(I5:N5)=6,I5&gt;0,J5=I5,L5=I5,K5=M5),O5="现存页全审",M5=I5,N5=0),1,0)</f>
        <v>0</v>
      </c>
      <c r="T5" s="126" t="n">
        <f aca="false">IF(AND(AND(Q5="已通过",ISNUMBER(R5),R5&gt;0,A5&lt;&gt;"",G5&lt;&gt;"",H5&lt;&gt;"",AF5&lt;&gt;"",AG5&lt;&gt;"",COUNTIF($A$2:$A$6,A5)=1,COUNT(I5:N5)=6,I5&gt;0,J5=I5,L5=I5,K5=M5),O5="部分语义审读",M5&gt;0,M5&lt;I5,N5=I5-M5),1,0)</f>
        <v>1</v>
      </c>
      <c r="U5" s="126" t="n">
        <f aca="false">IF(AND(S5=1,P5="verified"),1,0)</f>
        <v>0</v>
      </c>
      <c r="V5" s="126" t="n">
        <v>0</v>
      </c>
      <c r="W5" s="126" t="n">
        <f aca="false">I5*S5</f>
        <v>0</v>
      </c>
      <c r="X5" s="125" t="str">
        <f aca="false">HYPERLINK("https://chatgpt.com/api/library/files/libfile_f5852bc3c2ec8191adeaa0cb46e749c3/download","下载B19私有内容元数据包")</f>
        <v>下载B19私有内容元数据包</v>
      </c>
      <c r="Y5" s="125" t="s">
        <v>3780</v>
      </c>
      <c r="Z5" s="125" t="s">
        <v>3781</v>
      </c>
      <c r="AA5" s="125" t="s">
        <v>3852</v>
      </c>
      <c r="AB5" s="125" t="s">
        <v>3853</v>
      </c>
      <c r="AC5" s="125" t="s">
        <v>3854</v>
      </c>
      <c r="AD5" s="125" t="s">
        <v>3855</v>
      </c>
      <c r="AE5" s="125" t="s">
        <v>3856</v>
      </c>
      <c r="AF5" s="125" t="s">
        <v>3857</v>
      </c>
      <c r="AG5" s="125" t="s">
        <v>3858</v>
      </c>
      <c r="AH5" s="128" t="n">
        <v>46321.4215190046</v>
      </c>
      <c r="AI5" s="128" t="n">
        <v>46321.432183669</v>
      </c>
      <c r="AJ5" s="125" t="str">
        <f aca="false">IF(S5+T5=1,"内容已验收","缺证据或范围冲突")</f>
        <v>内容已验收</v>
      </c>
      <c r="AK5" s="125" t="str">
        <f aca="false">IF(COUNTIF($A$2:$A$6,A5)=1,"唯一","重复或缺失")</f>
        <v>唯一</v>
      </c>
      <c r="AL5" s="125" t="s">
        <v>3859</v>
      </c>
      <c r="AM5" s="125" t="s">
        <v>3836</v>
      </c>
    </row>
    <row r="6" customFormat="false" ht="110" hidden="false" customHeight="true" outlineLevel="0" collapsed="false">
      <c r="A6" s="125" t="s">
        <v>3860</v>
      </c>
      <c r="B6" s="125" t="s">
        <v>3824</v>
      </c>
      <c r="C6" s="125" t="s">
        <v>1690</v>
      </c>
      <c r="D6" s="125" t="s">
        <v>948</v>
      </c>
      <c r="E6" s="125" t="s">
        <v>1430</v>
      </c>
      <c r="F6" s="125" t="s">
        <v>3783</v>
      </c>
      <c r="G6" s="125" t="s">
        <v>3787</v>
      </c>
      <c r="H6" s="125" t="s">
        <v>3788</v>
      </c>
      <c r="I6" s="126" t="n">
        <v>18</v>
      </c>
      <c r="J6" s="126" t="n">
        <v>18</v>
      </c>
      <c r="K6" s="126" t="n">
        <v>18</v>
      </c>
      <c r="L6" s="126" t="n">
        <v>18</v>
      </c>
      <c r="M6" s="126" t="n">
        <v>18</v>
      </c>
      <c r="N6" s="126" t="n">
        <v>0</v>
      </c>
      <c r="O6" s="127" t="s">
        <v>3825</v>
      </c>
      <c r="P6" s="127" t="s">
        <v>3838</v>
      </c>
      <c r="Q6" s="127" t="s">
        <v>3827</v>
      </c>
      <c r="R6" s="128" t="n">
        <v>46321.442534294</v>
      </c>
      <c r="S6" s="126" t="n">
        <f aca="false">IF(AND(AND(Q6="已通过",ISNUMBER(R6),R6&gt;0,A6&lt;&gt;"",G6&lt;&gt;"",H6&lt;&gt;"",AF6&lt;&gt;"",AG6&lt;&gt;"",COUNTIF($A$2:$A$6,A6)=1,COUNT(I6:N6)=6,I6&gt;0,J6=I6,L6=I6,K6=M6),O6="现存页全审",M6=I6,N6=0),1,0)</f>
        <v>1</v>
      </c>
      <c r="T6" s="126" t="n">
        <f aca="false">IF(AND(AND(Q6="已通过",ISNUMBER(R6),R6&gt;0,A6&lt;&gt;"",G6&lt;&gt;"",H6&lt;&gt;"",AF6&lt;&gt;"",AG6&lt;&gt;"",COUNTIF($A$2:$A$6,A6)=1,COUNT(I6:N6)=6,I6&gt;0,J6=I6,L6=I6,K6=M6),O6="部分语义审读",M6&gt;0,M6&lt;I6,N6=I6-M6),1,0)</f>
        <v>0</v>
      </c>
      <c r="U6" s="126" t="n">
        <f aca="false">IF(AND(S6=1,P6="verified"),1,0)</f>
        <v>0</v>
      </c>
      <c r="V6" s="126" t="n">
        <v>0</v>
      </c>
      <c r="W6" s="126" t="n">
        <f aca="false">I6*S6</f>
        <v>18</v>
      </c>
      <c r="X6" s="125" t="str">
        <f aca="false">HYPERLINK("https://chatgpt.com/api/library/files/libfile_f5852bc3c2ec8191adeaa0cb46e749c3/download","下载B19私有内容元数据包")</f>
        <v>下载B19私有内容元数据包</v>
      </c>
      <c r="Y6" s="125" t="s">
        <v>3792</v>
      </c>
      <c r="Z6" s="125" t="s">
        <v>3793</v>
      </c>
      <c r="AA6" s="125" t="s">
        <v>3861</v>
      </c>
      <c r="AB6" s="125" t="s">
        <v>3862</v>
      </c>
      <c r="AC6" s="125" t="s">
        <v>3863</v>
      </c>
      <c r="AD6" s="125" t="s">
        <v>3864</v>
      </c>
      <c r="AE6" s="125" t="s">
        <v>3865</v>
      </c>
      <c r="AF6" s="125" t="s">
        <v>3866</v>
      </c>
      <c r="AG6" s="125" t="s">
        <v>3858</v>
      </c>
      <c r="AH6" s="128" t="n">
        <v>46321.4215190046</v>
      </c>
      <c r="AI6" s="128" t="n">
        <v>46321.432183669</v>
      </c>
      <c r="AJ6" s="125" t="str">
        <f aca="false">IF(S6+T6=1,"内容已验收","缺证据或范围冲突")</f>
        <v>内容已验收</v>
      </c>
      <c r="AK6" s="125" t="str">
        <f aca="false">IF(COUNTIF($A$2:$A$6,A6)=1,"唯一","重复或缺失")</f>
        <v>唯一</v>
      </c>
      <c r="AL6" s="125" t="s">
        <v>3859</v>
      </c>
      <c r="AM6" s="125" t="s">
        <v>3836</v>
      </c>
    </row>
  </sheetData>
  <conditionalFormatting sqref="AJ2:AJ6">
    <cfRule type="containsText" priority="2" operator="containsText" aboveAverage="0" equalAverage="0" bottom="0" percent="0" rank="0" text="缺证据" dxfId="29">
      <formula>NOT(ISERROR(SEARCH("缺证据",AJ2)))</formula>
    </cfRule>
  </conditionalFormatting>
  <conditionalFormatting sqref="AK2:AK6">
    <cfRule type="containsText" priority="3" operator="containsText" aboveAverage="0" equalAverage="0" bottom="0" percent="0" rank="0" text="重复" dxfId="30">
      <formula>NOT(ISERROR(SEARCH("重复",AK2)))</formula>
    </cfRule>
  </conditionalFormatting>
  <dataValidations count="3">
    <dataValidation allowBlank="false" errorStyle="stop" operator="between" showDropDown="false" showErrorMessage="false" showInputMessage="false" sqref="O2:O6" type="list">
      <formula1>"现存页全审,部分语义审读,待核"</formula1>
      <formula2>0</formula2>
    </dataValidation>
    <dataValidation allowBlank="false" errorStyle="stop" operator="between" showDropDown="false" showErrorMessage="false" showInputMessage="false" sqref="P2:P6" type="list">
      <formula1>"verified,needs_review"</formula1>
      <formula2>0</formula2>
    </dataValidation>
    <dataValidation allowBlank="false" errorStyle="stop" operator="between" showDropDown="false" showErrorMessage="false" showInputMessage="false" sqref="Q2:Q6" type="list">
      <formula1>"已通过,待复核"</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3" min="2" style="0" width="8"/>
    <col collapsed="false" customWidth="true" hidden="false" outlineLevel="0" max="4" min="4" style="0" width="34"/>
    <col collapsed="false" customWidth="true" hidden="false" outlineLevel="0" max="5" min="5" style="0" width="43"/>
    <col collapsed="false" customWidth="true" hidden="false" outlineLevel="0" max="6" min="6" style="0" width="26"/>
    <col collapsed="false" customWidth="true" hidden="false" outlineLevel="0" max="7" min="7" style="0" width="68"/>
    <col collapsed="false" customWidth="true" hidden="false" outlineLevel="0" max="8" min="8" style="0" width="42"/>
    <col collapsed="false" customWidth="true" hidden="false" outlineLevel="0" max="9" min="9" style="0" width="38"/>
    <col collapsed="false" customWidth="true" hidden="false" outlineLevel="0" max="12" min="10" style="0" width="14"/>
    <col collapsed="false" customWidth="true" hidden="false" outlineLevel="0" max="13" min="13" style="0" width="18"/>
    <col collapsed="false" customWidth="true" hidden="false" outlineLevel="0" max="16" min="14" style="0" width="14"/>
    <col collapsed="false" customWidth="true" hidden="false" outlineLevel="0" max="17" min="17" style="0" width="20"/>
    <col collapsed="false" customWidth="true" hidden="false" outlineLevel="0" max="21" min="18" style="0" width="14"/>
    <col collapsed="false" customWidth="true" hidden="false" outlineLevel="0" max="22" min="22" style="0" width="16"/>
    <col collapsed="false" customWidth="true" hidden="false" outlineLevel="0" max="23" min="23" style="0" width="25"/>
    <col collapsed="false" customWidth="true" hidden="false" outlineLevel="0" max="24" min="24" style="0" width="14"/>
    <col collapsed="false" customWidth="true" hidden="false" outlineLevel="0" max="25" min="25" style="0" width="58"/>
    <col collapsed="false" customWidth="true" hidden="false" outlineLevel="0" max="27" min="26" style="0" width="68"/>
    <col collapsed="false" customWidth="true" hidden="false" outlineLevel="0" max="28" min="28" style="0" width="62"/>
    <col collapsed="false" customWidth="true" hidden="false" outlineLevel="0" max="29" min="29" style="0" width="28"/>
    <col collapsed="false" customWidth="true" hidden="false" outlineLevel="0" max="30" min="30" style="0" width="43"/>
    <col collapsed="false" customWidth="true" hidden="false" outlineLevel="0" max="31" min="31" style="0" width="33"/>
    <col collapsed="false" customWidth="true" hidden="false" outlineLevel="0" max="32" min="32" style="0" width="30"/>
    <col collapsed="false" customWidth="true" hidden="false" outlineLevel="0" max="33" min="33" style="0" width="32"/>
  </cols>
  <sheetData>
    <row r="1" customFormat="false" ht="54" hidden="false" customHeight="true" outlineLevel="0" collapsed="false">
      <c r="A1" s="129" t="s">
        <v>2799</v>
      </c>
      <c r="B1" s="129" t="s">
        <v>52</v>
      </c>
      <c r="C1" s="129" t="s">
        <v>797</v>
      </c>
      <c r="D1" s="129" t="s">
        <v>3867</v>
      </c>
      <c r="E1" s="129" t="s">
        <v>3868</v>
      </c>
      <c r="F1" s="129" t="s">
        <v>3869</v>
      </c>
      <c r="G1" s="129" t="s">
        <v>3870</v>
      </c>
      <c r="H1" s="129" t="s">
        <v>3871</v>
      </c>
      <c r="I1" s="129" t="s">
        <v>3872</v>
      </c>
      <c r="J1" s="129" t="s">
        <v>3873</v>
      </c>
      <c r="K1" s="129" t="s">
        <v>3874</v>
      </c>
      <c r="L1" s="129" t="s">
        <v>3875</v>
      </c>
      <c r="M1" s="129" t="s">
        <v>3876</v>
      </c>
      <c r="N1" s="129" t="s">
        <v>707</v>
      </c>
      <c r="O1" s="129" t="s">
        <v>711</v>
      </c>
      <c r="P1" s="129" t="s">
        <v>754</v>
      </c>
      <c r="Q1" s="129" t="s">
        <v>756</v>
      </c>
      <c r="R1" s="129" t="s">
        <v>758</v>
      </c>
      <c r="S1" s="129" t="s">
        <v>3877</v>
      </c>
      <c r="T1" s="129" t="s">
        <v>3878</v>
      </c>
      <c r="U1" s="129" t="s">
        <v>3879</v>
      </c>
      <c r="V1" s="129" t="s">
        <v>3880</v>
      </c>
      <c r="W1" s="129" t="s">
        <v>3881</v>
      </c>
      <c r="X1" s="129" t="s">
        <v>3882</v>
      </c>
      <c r="Y1" s="129" t="s">
        <v>3883</v>
      </c>
      <c r="Z1" s="129" t="s">
        <v>3884</v>
      </c>
      <c r="AA1" s="129" t="s">
        <v>3885</v>
      </c>
      <c r="AB1" s="129" t="s">
        <v>3886</v>
      </c>
      <c r="AC1" s="129" t="s">
        <v>238</v>
      </c>
      <c r="AD1" s="129" t="s">
        <v>3887</v>
      </c>
      <c r="AE1" s="129" t="s">
        <v>3888</v>
      </c>
      <c r="AF1" s="129" t="s">
        <v>3889</v>
      </c>
      <c r="AG1" s="129" t="s">
        <v>3890</v>
      </c>
    </row>
    <row r="2" customFormat="false" ht="90" hidden="false" customHeight="true" outlineLevel="0" collapsed="false">
      <c r="A2" s="130" t="s">
        <v>3891</v>
      </c>
      <c r="B2" s="130" t="s">
        <v>3892</v>
      </c>
      <c r="C2" s="130" t="s">
        <v>1677</v>
      </c>
      <c r="D2" s="130" t="s">
        <v>3893</v>
      </c>
      <c r="E2" s="130" t="s">
        <v>3894</v>
      </c>
      <c r="F2" s="130" t="s">
        <v>3895</v>
      </c>
      <c r="G2" s="130" t="s">
        <v>3896</v>
      </c>
      <c r="H2" s="130" t="s">
        <v>3897</v>
      </c>
      <c r="I2" s="130" t="s">
        <v>3898</v>
      </c>
      <c r="J2" s="130" t="b">
        <f aca="false">FALSE()</f>
        <v>0</v>
      </c>
      <c r="K2" s="130" t="b">
        <f aca="false">FALSE()</f>
        <v>0</v>
      </c>
      <c r="L2" s="130" t="b">
        <f aca="false">FALSE()</f>
        <v>0</v>
      </c>
      <c r="M2" s="130" t="s">
        <v>3899</v>
      </c>
      <c r="N2" s="131" t="n">
        <v>0</v>
      </c>
      <c r="O2" s="131" t="n">
        <v>0</v>
      </c>
      <c r="P2" s="131" t="n">
        <v>0</v>
      </c>
      <c r="Q2" s="131" t="n">
        <v>0</v>
      </c>
      <c r="R2" s="131" t="n">
        <v>0</v>
      </c>
      <c r="S2" s="131" t="n">
        <v>0</v>
      </c>
      <c r="T2" s="131" t="n">
        <v>0</v>
      </c>
      <c r="U2" s="131" t="n">
        <f aca="false">IF(AND(W2="范围已验收",J2=FALSE(),K2=TRUE()),1,0)</f>
        <v>0</v>
      </c>
      <c r="V2" s="131" t="n">
        <f aca="false">IF(AND(A2&lt;&gt;"",COUNTIF($A$2:$A$8,A2)=1,OR(B2="B20",B2="B21")),1,0)</f>
        <v>1</v>
      </c>
      <c r="W2" s="131" t="str">
        <f aca="false">IF(AND(V2=1,COUNT(N2:T2)=7,SUM(N2:T2)=0,COUNTIF(N2:T2,0)=7,G2&lt;&gt;"",H2&lt;&gt;"",I2&lt;&gt;"",AD2&lt;&gt;"",J2=FALSE(),OR(AND(F2="既存主文标记纠正",K2=TRUE(),M2="needs_review",L2=TRUE()),AND(F2="未取得主文",K2=FALSE()))),"范围已验收","范围冲突或重复")</f>
        <v>范围已验收</v>
      </c>
      <c r="X2" s="131" t="n">
        <v>5</v>
      </c>
      <c r="Y2" s="130" t="s">
        <v>3900</v>
      </c>
      <c r="Z2" s="130" t="s">
        <v>3901</v>
      </c>
      <c r="AA2" s="130" t="s">
        <v>3902</v>
      </c>
      <c r="AB2" s="130" t="s">
        <v>3903</v>
      </c>
      <c r="AC2" s="130" t="str">
        <f aca="false">HYPERLINK("https://chatgpt.com/api/library/files/libfile_8e1c01162e948191882edfe0b896b03b/download","下载B20–B21私有元数据包")</f>
        <v>下载B20–B21私有元数据包</v>
      </c>
      <c r="AD2" s="130" t="s">
        <v>3904</v>
      </c>
      <c r="AE2" s="132"/>
      <c r="AF2" s="130" t="s">
        <v>3905</v>
      </c>
      <c r="AG2" s="130" t="s">
        <v>3906</v>
      </c>
    </row>
    <row r="3" customFormat="false" ht="90" hidden="false" customHeight="true" outlineLevel="0" collapsed="false">
      <c r="A3" s="130" t="s">
        <v>3907</v>
      </c>
      <c r="B3" s="130" t="s">
        <v>3892</v>
      </c>
      <c r="C3" s="130" t="s">
        <v>1677</v>
      </c>
      <c r="D3" s="130" t="s">
        <v>3893</v>
      </c>
      <c r="E3" s="130" t="s">
        <v>3908</v>
      </c>
      <c r="F3" s="130" t="s">
        <v>3895</v>
      </c>
      <c r="G3" s="130" t="s">
        <v>3909</v>
      </c>
      <c r="H3" s="130" t="s">
        <v>3910</v>
      </c>
      <c r="I3" s="130" t="s">
        <v>3911</v>
      </c>
      <c r="J3" s="130" t="b">
        <f aca="false">FALSE()</f>
        <v>0</v>
      </c>
      <c r="K3" s="130" t="b">
        <f aca="false">FALSE()</f>
        <v>0</v>
      </c>
      <c r="L3" s="130" t="b">
        <f aca="false">TRUE()</f>
        <v>1</v>
      </c>
      <c r="M3" s="130" t="s">
        <v>3838</v>
      </c>
      <c r="N3" s="131" t="n">
        <v>0</v>
      </c>
      <c r="O3" s="131" t="n">
        <v>0</v>
      </c>
      <c r="P3" s="131" t="n">
        <v>0</v>
      </c>
      <c r="Q3" s="131" t="n">
        <v>0</v>
      </c>
      <c r="R3" s="131" t="n">
        <v>0</v>
      </c>
      <c r="S3" s="131" t="n">
        <v>0</v>
      </c>
      <c r="T3" s="131" t="n">
        <v>0</v>
      </c>
      <c r="U3" s="131" t="n">
        <f aca="false">IF(AND(W3="范围已验收",J3=FALSE(),K3=TRUE()),1,0)</f>
        <v>0</v>
      </c>
      <c r="V3" s="131" t="n">
        <f aca="false">IF(AND(A3&lt;&gt;"",COUNTIF($A$2:$A$8,A3)=1,OR(B3="B20",B3="B21")),1,0)</f>
        <v>1</v>
      </c>
      <c r="W3" s="131" t="str">
        <f aca="false">IF(AND(V3=1,COUNT(N3:T3)=7,SUM(N3:T3)=0,COUNTIF(N3:T3,0)=7,G3&lt;&gt;"",H3&lt;&gt;"",I3&lt;&gt;"",AD3&lt;&gt;"",J3=FALSE(),OR(AND(F3="既存主文标记纠正",K3=TRUE(),M3="needs_review",L3=TRUE()),AND(F3="未取得主文",K3=FALSE()))),"范围已验收","范围冲突或重复")</f>
        <v>范围已验收</v>
      </c>
      <c r="X3" s="131" t="n">
        <v>4</v>
      </c>
      <c r="Y3" s="130" t="s">
        <v>3912</v>
      </c>
      <c r="Z3" s="130" t="s">
        <v>3913</v>
      </c>
      <c r="AA3" s="130" t="s">
        <v>3914</v>
      </c>
      <c r="AB3" s="130" t="s">
        <v>3915</v>
      </c>
      <c r="AC3" s="130" t="str">
        <f aca="false">HYPERLINK("https://chatgpt.com/api/library/files/libfile_8e1c01162e948191882edfe0b896b03b/download","下载B20–B21私有元数据包")</f>
        <v>下载B20–B21私有元数据包</v>
      </c>
      <c r="AD3" s="130" t="s">
        <v>3904</v>
      </c>
      <c r="AE3" s="132" t="n">
        <v>46318.6666898148</v>
      </c>
      <c r="AF3" s="130" t="s">
        <v>3905</v>
      </c>
      <c r="AG3" s="130" t="s">
        <v>3906</v>
      </c>
    </row>
    <row r="4" customFormat="false" ht="90" hidden="false" customHeight="true" outlineLevel="0" collapsed="false">
      <c r="A4" s="130" t="s">
        <v>3916</v>
      </c>
      <c r="B4" s="130" t="s">
        <v>3892</v>
      </c>
      <c r="C4" s="130" t="s">
        <v>1686</v>
      </c>
      <c r="D4" s="130" t="s">
        <v>3917</v>
      </c>
      <c r="E4" s="130" t="s">
        <v>3918</v>
      </c>
      <c r="F4" s="130" t="s">
        <v>3919</v>
      </c>
      <c r="G4" s="130" t="s">
        <v>3920</v>
      </c>
      <c r="H4" s="130" t="s">
        <v>3921</v>
      </c>
      <c r="I4" s="130" t="s">
        <v>3922</v>
      </c>
      <c r="J4" s="130" t="b">
        <f aca="false">FALSE()</f>
        <v>0</v>
      </c>
      <c r="K4" s="130" t="b">
        <f aca="false">TRUE()</f>
        <v>1</v>
      </c>
      <c r="L4" s="130" t="b">
        <f aca="false">TRUE()</f>
        <v>1</v>
      </c>
      <c r="M4" s="130" t="s">
        <v>3838</v>
      </c>
      <c r="N4" s="131" t="n">
        <v>0</v>
      </c>
      <c r="O4" s="131" t="n">
        <v>0</v>
      </c>
      <c r="P4" s="131" t="n">
        <v>0</v>
      </c>
      <c r="Q4" s="131" t="n">
        <v>0</v>
      </c>
      <c r="R4" s="131" t="n">
        <v>0</v>
      </c>
      <c r="S4" s="131" t="n">
        <v>0</v>
      </c>
      <c r="T4" s="131" t="n">
        <v>0</v>
      </c>
      <c r="U4" s="131" t="n">
        <f aca="false">IF(AND(W4="范围已验收",J4=FALSE(),K4=TRUE()),1,0)</f>
        <v>1</v>
      </c>
      <c r="V4" s="131" t="n">
        <f aca="false">IF(AND(A4&lt;&gt;"",COUNTIF($A$2:$A$8,A4)=1,OR(B4="B20",B4="B21")),1,0)</f>
        <v>1</v>
      </c>
      <c r="W4" s="131" t="str">
        <f aca="false">IF(AND(V4=1,COUNT(N4:T4)=7,SUM(N4:T4)=0,COUNTIF(N4:T4,0)=7,G4&lt;&gt;"",H4&lt;&gt;"",I4&lt;&gt;"",AD4&lt;&gt;"",J4=FALSE(),OR(AND(F4="既存主文标记纠正",K4=TRUE(),M4="needs_review",L4=TRUE()),AND(F4="未取得主文",K4=FALSE()))),"范围已验收","范围冲突或重复")</f>
        <v>范围已验收</v>
      </c>
      <c r="X4" s="131" t="n">
        <v>20</v>
      </c>
      <c r="Y4" s="130" t="s">
        <v>3923</v>
      </c>
      <c r="Z4" s="130" t="s">
        <v>3924</v>
      </c>
      <c r="AA4" s="130" t="s">
        <v>3925</v>
      </c>
      <c r="AB4" s="130" t="s">
        <v>3926</v>
      </c>
      <c r="AC4" s="130" t="str">
        <f aca="false">HYPERLINK("https://chatgpt.com/api/library/files/libfile_8e1c01162e948191882edfe0b896b03b/download","下载B20–B21私有元数据包")</f>
        <v>下载B20–B21私有元数据包</v>
      </c>
      <c r="AD4" s="130" t="s">
        <v>3904</v>
      </c>
      <c r="AE4" s="132" t="n">
        <v>46318.673125</v>
      </c>
      <c r="AF4" s="130" t="s">
        <v>3905</v>
      </c>
      <c r="AG4" s="130" t="s">
        <v>3906</v>
      </c>
    </row>
    <row r="5" customFormat="false" ht="90" hidden="false" customHeight="true" outlineLevel="0" collapsed="false">
      <c r="A5" s="130" t="s">
        <v>3927</v>
      </c>
      <c r="B5" s="130" t="s">
        <v>3892</v>
      </c>
      <c r="C5" s="130" t="s">
        <v>1686</v>
      </c>
      <c r="D5" s="130" t="s">
        <v>3928</v>
      </c>
      <c r="E5" s="130" t="s">
        <v>3929</v>
      </c>
      <c r="F5" s="130" t="s">
        <v>3895</v>
      </c>
      <c r="G5" s="130" t="s">
        <v>3930</v>
      </c>
      <c r="H5" s="130" t="s">
        <v>3931</v>
      </c>
      <c r="I5" s="130" t="s">
        <v>3932</v>
      </c>
      <c r="J5" s="130" t="b">
        <f aca="false">FALSE()</f>
        <v>0</v>
      </c>
      <c r="K5" s="130" t="b">
        <f aca="false">FALSE()</f>
        <v>0</v>
      </c>
      <c r="L5" s="130" t="b">
        <f aca="false">TRUE()</f>
        <v>1</v>
      </c>
      <c r="M5" s="130" t="s">
        <v>3826</v>
      </c>
      <c r="N5" s="131" t="n">
        <v>0</v>
      </c>
      <c r="O5" s="131" t="n">
        <v>0</v>
      </c>
      <c r="P5" s="131" t="n">
        <v>0</v>
      </c>
      <c r="Q5" s="131" t="n">
        <v>0</v>
      </c>
      <c r="R5" s="131" t="n">
        <v>0</v>
      </c>
      <c r="S5" s="131" t="n">
        <v>0</v>
      </c>
      <c r="T5" s="131" t="n">
        <v>0</v>
      </c>
      <c r="U5" s="131" t="n">
        <f aca="false">IF(AND(W5="范围已验收",J5=FALSE(),K5=TRUE()),1,0)</f>
        <v>0</v>
      </c>
      <c r="V5" s="131" t="n">
        <f aca="false">IF(AND(A5&lt;&gt;"",COUNTIF($A$2:$A$8,A5)=1,OR(B5="B20",B5="B21")),1,0)</f>
        <v>1</v>
      </c>
      <c r="W5" s="131" t="str">
        <f aca="false">IF(AND(V5=1,COUNT(N5:T5)=7,SUM(N5:T5)=0,COUNTIF(N5:T5,0)=7,G5&lt;&gt;"",H5&lt;&gt;"",I5&lt;&gt;"",AD5&lt;&gt;"",J5=FALSE(),OR(AND(F5="既存主文标记纠正",K5=TRUE(),M5="needs_review",L5=TRUE()),AND(F5="未取得主文",K5=FALSE()))),"范围已验收","范围冲突或重复")</f>
        <v>范围已验收</v>
      </c>
      <c r="X5" s="131" t="n">
        <v>3</v>
      </c>
      <c r="Y5" s="130" t="s">
        <v>3933</v>
      </c>
      <c r="Z5" s="130" t="s">
        <v>3934</v>
      </c>
      <c r="AA5" s="130" t="s">
        <v>3935</v>
      </c>
      <c r="AB5" s="130" t="s">
        <v>3936</v>
      </c>
      <c r="AC5" s="130" t="str">
        <f aca="false">HYPERLINK("https://chatgpt.com/api/library/files/libfile_8e1c01162e948191882edfe0b896b03b/download","下载B20–B21私有元数据包")</f>
        <v>下载B20–B21私有元数据包</v>
      </c>
      <c r="AD5" s="130" t="s">
        <v>3904</v>
      </c>
      <c r="AE5" s="132" t="n">
        <v>46318.6532407407</v>
      </c>
      <c r="AF5" s="130" t="s">
        <v>3905</v>
      </c>
      <c r="AG5" s="130" t="s">
        <v>3906</v>
      </c>
    </row>
    <row r="6" customFormat="false" ht="90" hidden="false" customHeight="true" outlineLevel="0" collapsed="false">
      <c r="A6" s="130" t="s">
        <v>3937</v>
      </c>
      <c r="B6" s="130" t="s">
        <v>3892</v>
      </c>
      <c r="C6" s="130" t="s">
        <v>1681</v>
      </c>
      <c r="D6" s="130" t="s">
        <v>3938</v>
      </c>
      <c r="E6" s="130" t="s">
        <v>3939</v>
      </c>
      <c r="F6" s="130" t="s">
        <v>3895</v>
      </c>
      <c r="G6" s="130" t="s">
        <v>3940</v>
      </c>
      <c r="H6" s="130" t="s">
        <v>3941</v>
      </c>
      <c r="I6" s="130" t="s">
        <v>3942</v>
      </c>
      <c r="J6" s="130" t="b">
        <f aca="false">FALSE()</f>
        <v>0</v>
      </c>
      <c r="K6" s="130" t="b">
        <f aca="false">FALSE()</f>
        <v>0</v>
      </c>
      <c r="L6" s="130" t="b">
        <f aca="false">FALSE()</f>
        <v>0</v>
      </c>
      <c r="M6" s="130" t="s">
        <v>3899</v>
      </c>
      <c r="N6" s="131" t="n">
        <v>0</v>
      </c>
      <c r="O6" s="131" t="n">
        <v>0</v>
      </c>
      <c r="P6" s="131" t="n">
        <v>0</v>
      </c>
      <c r="Q6" s="131" t="n">
        <v>0</v>
      </c>
      <c r="R6" s="131" t="n">
        <v>0</v>
      </c>
      <c r="S6" s="131" t="n">
        <v>0</v>
      </c>
      <c r="T6" s="131" t="n">
        <v>0</v>
      </c>
      <c r="U6" s="131" t="n">
        <f aca="false">IF(AND(W6="范围已验收",J6=FALSE(),K6=TRUE()),1,0)</f>
        <v>0</v>
      </c>
      <c r="V6" s="131" t="n">
        <f aca="false">IF(AND(A6&lt;&gt;"",COUNTIF($A$2:$A$8,A6)=1,OR(B6="B20",B6="B21")),1,0)</f>
        <v>1</v>
      </c>
      <c r="W6" s="131" t="str">
        <f aca="false">IF(AND(V6=1,COUNT(N6:T6)=7,SUM(N6:T6)=0,COUNTIF(N6:T6,0)=7,G6&lt;&gt;"",H6&lt;&gt;"",I6&lt;&gt;"",AD6&lt;&gt;"",J6=FALSE(),OR(AND(F6="既存主文标记纠正",K6=TRUE(),M6="needs_review",L6=TRUE()),AND(F6="未取得主文",K6=FALSE()))),"范围已验收","范围冲突或重复")</f>
        <v>范围已验收</v>
      </c>
      <c r="X6" s="131" t="n">
        <v>3</v>
      </c>
      <c r="Y6" s="130" t="s">
        <v>3943</v>
      </c>
      <c r="Z6" s="130" t="s">
        <v>3944</v>
      </c>
      <c r="AA6" s="130" t="s">
        <v>3945</v>
      </c>
      <c r="AB6" s="130" t="s">
        <v>3946</v>
      </c>
      <c r="AC6" s="130" t="str">
        <f aca="false">HYPERLINK("https://chatgpt.com/api/library/files/libfile_8e1c01162e948191882edfe0b896b03b/download","下载B20–B21私有元数据包")</f>
        <v>下载B20–B21私有元数据包</v>
      </c>
      <c r="AD6" s="130" t="s">
        <v>3904</v>
      </c>
      <c r="AE6" s="132"/>
      <c r="AF6" s="130" t="s">
        <v>3905</v>
      </c>
      <c r="AG6" s="130" t="s">
        <v>3906</v>
      </c>
    </row>
    <row r="7" customFormat="false" ht="90" hidden="false" customHeight="true" outlineLevel="0" collapsed="false">
      <c r="A7" s="130" t="s">
        <v>3947</v>
      </c>
      <c r="B7" s="130" t="s">
        <v>3892</v>
      </c>
      <c r="C7" s="130" t="s">
        <v>1681</v>
      </c>
      <c r="D7" s="130" t="s">
        <v>3938</v>
      </c>
      <c r="E7" s="130" t="s">
        <v>3948</v>
      </c>
      <c r="F7" s="130" t="s">
        <v>3895</v>
      </c>
      <c r="G7" s="130" t="s">
        <v>3949</v>
      </c>
      <c r="H7" s="130" t="s">
        <v>3950</v>
      </c>
      <c r="I7" s="130" t="s">
        <v>3951</v>
      </c>
      <c r="J7" s="130" t="b">
        <f aca="false">FALSE()</f>
        <v>0</v>
      </c>
      <c r="K7" s="130" t="b">
        <f aca="false">FALSE()</f>
        <v>0</v>
      </c>
      <c r="L7" s="130" t="b">
        <f aca="false">TRUE()</f>
        <v>1</v>
      </c>
      <c r="M7" s="130" t="s">
        <v>3826</v>
      </c>
      <c r="N7" s="131" t="n">
        <v>0</v>
      </c>
      <c r="O7" s="131" t="n">
        <v>0</v>
      </c>
      <c r="P7" s="131" t="n">
        <v>0</v>
      </c>
      <c r="Q7" s="131" t="n">
        <v>0</v>
      </c>
      <c r="R7" s="131" t="n">
        <v>0</v>
      </c>
      <c r="S7" s="131" t="n">
        <v>0</v>
      </c>
      <c r="T7" s="131" t="n">
        <v>0</v>
      </c>
      <c r="U7" s="131" t="n">
        <f aca="false">IF(AND(W7="范围已验收",J7=FALSE(),K7=TRUE()),1,0)</f>
        <v>0</v>
      </c>
      <c r="V7" s="131" t="n">
        <f aca="false">IF(AND(A7&lt;&gt;"",COUNTIF($A$2:$A$8,A7)=1,OR(B7="B20",B7="B21")),1,0)</f>
        <v>1</v>
      </c>
      <c r="W7" s="131" t="str">
        <f aca="false">IF(AND(V7=1,COUNT(N7:T7)=7,SUM(N7:T7)=0,COUNTIF(N7:T7,0)=7,G7&lt;&gt;"",H7&lt;&gt;"",I7&lt;&gt;"",AD7&lt;&gt;"",J7=FALSE(),OR(AND(F7="既存主文标记纠正",K7=TRUE(),M7="needs_review",L7=TRUE()),AND(F7="未取得主文",K7=FALSE()))),"范围已验收","范围冲突或重复")</f>
        <v>范围已验收</v>
      </c>
      <c r="X7" s="131" t="n">
        <v>2</v>
      </c>
      <c r="Y7" s="130" t="s">
        <v>3952</v>
      </c>
      <c r="Z7" s="130" t="s">
        <v>3953</v>
      </c>
      <c r="AA7" s="130" t="s">
        <v>3954</v>
      </c>
      <c r="AB7" s="130" t="s">
        <v>3946</v>
      </c>
      <c r="AC7" s="130" t="str">
        <f aca="false">HYPERLINK("https://chatgpt.com/api/library/files/libfile_8e1c01162e948191882edfe0b896b03b/download","下载B20–B21私有元数据包")</f>
        <v>下载B20–B21私有元数据包</v>
      </c>
      <c r="AD7" s="130" t="s">
        <v>3904</v>
      </c>
      <c r="AE7" s="132" t="n">
        <v>46318.6978472222</v>
      </c>
      <c r="AF7" s="130" t="s">
        <v>3905</v>
      </c>
      <c r="AG7" s="130" t="s">
        <v>3906</v>
      </c>
    </row>
    <row r="8" customFormat="false" ht="90" hidden="false" customHeight="true" outlineLevel="0" collapsed="false">
      <c r="A8" s="130" t="s">
        <v>3955</v>
      </c>
      <c r="B8" s="130" t="s">
        <v>3956</v>
      </c>
      <c r="C8" s="130" t="s">
        <v>1686</v>
      </c>
      <c r="D8" s="130" t="s">
        <v>3957</v>
      </c>
      <c r="E8" s="130" t="s">
        <v>3958</v>
      </c>
      <c r="F8" s="130" t="s">
        <v>3919</v>
      </c>
      <c r="G8" s="130" t="s">
        <v>3959</v>
      </c>
      <c r="H8" s="130" t="s">
        <v>3960</v>
      </c>
      <c r="I8" s="130" t="s">
        <v>3961</v>
      </c>
      <c r="J8" s="130" t="b">
        <f aca="false">FALSE()</f>
        <v>0</v>
      </c>
      <c r="K8" s="130" t="b">
        <f aca="false">TRUE()</f>
        <v>1</v>
      </c>
      <c r="L8" s="130" t="b">
        <f aca="false">TRUE()</f>
        <v>1</v>
      </c>
      <c r="M8" s="130" t="s">
        <v>3838</v>
      </c>
      <c r="N8" s="131" t="n">
        <v>0</v>
      </c>
      <c r="O8" s="131" t="n">
        <v>0</v>
      </c>
      <c r="P8" s="131" t="n">
        <v>0</v>
      </c>
      <c r="Q8" s="131" t="n">
        <v>0</v>
      </c>
      <c r="R8" s="131" t="n">
        <v>0</v>
      </c>
      <c r="S8" s="131" t="n">
        <v>0</v>
      </c>
      <c r="T8" s="131" t="n">
        <v>0</v>
      </c>
      <c r="U8" s="131" t="n">
        <f aca="false">IF(AND(W8="范围已验收",J8=FALSE(),K8=TRUE()),1,0)</f>
        <v>1</v>
      </c>
      <c r="V8" s="131" t="n">
        <f aca="false">IF(AND(A8&lt;&gt;"",COUNTIF($A$2:$A$8,A8)=1,OR(B8="B20",B8="B21")),1,0)</f>
        <v>1</v>
      </c>
      <c r="W8" s="131" t="str">
        <f aca="false">IF(AND(V8=1,COUNT(N8:T8)=7,SUM(N8:T8)=0,COUNTIF(N8:T8,0)=7,G8&lt;&gt;"",H8&lt;&gt;"",I8&lt;&gt;"",AD8&lt;&gt;"",J8=FALSE(),OR(AND(F8="既存主文标记纠正",K8=TRUE(),M8="needs_review",L8=TRUE()),AND(F8="未取得主文",K8=FALSE()))),"范围已验收","范围冲突或重复")</f>
        <v>范围已验收</v>
      </c>
      <c r="X8" s="131" t="n">
        <v>12</v>
      </c>
      <c r="Y8" s="130" t="s">
        <v>3962</v>
      </c>
      <c r="Z8" s="130" t="s">
        <v>3963</v>
      </c>
      <c r="AA8" s="130" t="s">
        <v>3964</v>
      </c>
      <c r="AB8" s="130" t="s">
        <v>3965</v>
      </c>
      <c r="AC8" s="130" t="str">
        <f aca="false">HYPERLINK("https://chatgpt.com/api/library/files/libfile_8e1c01162e948191882edfe0b896b03b/download","下载B20–B21私有元数据包")</f>
        <v>下载B20–B21私有元数据包</v>
      </c>
      <c r="AD8" s="130" t="s">
        <v>3966</v>
      </c>
      <c r="AE8" s="132" t="n">
        <v>46318.673125</v>
      </c>
      <c r="AF8" s="130" t="s">
        <v>3905</v>
      </c>
      <c r="AG8" s="130" t="s">
        <v>3906</v>
      </c>
    </row>
    <row r="12" customFormat="false" ht="45" hidden="false" customHeight="true" outlineLevel="0" collapsed="false">
      <c r="J12" s="133" t="s">
        <v>783</v>
      </c>
      <c r="K12" s="133" t="s">
        <v>3967</v>
      </c>
      <c r="L12" s="133" t="s">
        <v>3968</v>
      </c>
      <c r="M12" s="133" t="s">
        <v>3969</v>
      </c>
      <c r="N12" s="133" t="s">
        <v>3970</v>
      </c>
      <c r="O12" s="133" t="s">
        <v>3971</v>
      </c>
      <c r="P12" s="133" t="s">
        <v>3972</v>
      </c>
      <c r="Q12" s="133" t="s">
        <v>3973</v>
      </c>
    </row>
    <row r="13" customFormat="false" ht="28" hidden="false" customHeight="true" outlineLevel="0" collapsed="false">
      <c r="J13" s="134" t="s">
        <v>3974</v>
      </c>
      <c r="K13" s="135" t="n">
        <v>1273</v>
      </c>
      <c r="L13" s="135" t="n">
        <v>1376</v>
      </c>
      <c r="M13" s="135" t="n">
        <v>1378</v>
      </c>
      <c r="N13" s="135" t="n">
        <f aca="false">L13-K13</f>
        <v>103</v>
      </c>
      <c r="O13" s="135" t="n">
        <f aca="false">M13-L13</f>
        <v>2</v>
      </c>
      <c r="P13" s="135" t="n">
        <f aca="false">SUM($U$2:$U$8)</f>
        <v>2</v>
      </c>
      <c r="Q13" s="134" t="str">
        <f aca="false">IF(AND(O13=P13,M13=L13+P13),"一致","增量冲突")</f>
        <v>一致</v>
      </c>
    </row>
    <row r="14" customFormat="false" ht="28" hidden="false" customHeight="true" outlineLevel="0" collapsed="false">
      <c r="J14" s="134" t="s">
        <v>1665</v>
      </c>
      <c r="K14" s="135" t="n">
        <v>234</v>
      </c>
      <c r="L14" s="135" t="n">
        <v>234</v>
      </c>
      <c r="M14" s="135" t="n">
        <v>234</v>
      </c>
      <c r="N14" s="135" t="n">
        <f aca="false">L14-K14</f>
        <v>0</v>
      </c>
      <c r="O14" s="135" t="n">
        <f aca="false">M14-L14</f>
        <v>0</v>
      </c>
      <c r="P14" s="135" t="n">
        <f aca="false">SUMIF($C$2:$C$8,J14,$U$2:$U$8)</f>
        <v>0</v>
      </c>
      <c r="Q14" s="134" t="str">
        <f aca="false">IF(AND(O14=P14,M14=L14+P14),"一致","增量冲突")</f>
        <v>一致</v>
      </c>
    </row>
    <row r="15" customFormat="false" ht="28" hidden="false" customHeight="true" outlineLevel="0" collapsed="false">
      <c r="J15" s="134" t="s">
        <v>1669</v>
      </c>
      <c r="K15" s="135" t="n">
        <v>295</v>
      </c>
      <c r="L15" s="135" t="n">
        <v>396</v>
      </c>
      <c r="M15" s="135" t="n">
        <v>396</v>
      </c>
      <c r="N15" s="135" t="n">
        <f aca="false">L15-K15</f>
        <v>101</v>
      </c>
      <c r="O15" s="135" t="n">
        <f aca="false">M15-L15</f>
        <v>0</v>
      </c>
      <c r="P15" s="135" t="n">
        <f aca="false">SUMIF($C$2:$C$8,J15,$U$2:$U$8)</f>
        <v>0</v>
      </c>
      <c r="Q15" s="134" t="str">
        <f aca="false">IF(AND(O15=P15,M15=L15+P15),"一致","增量冲突")</f>
        <v>一致</v>
      </c>
    </row>
    <row r="16" customFormat="false" ht="28" hidden="false" customHeight="true" outlineLevel="0" collapsed="false">
      <c r="J16" s="134" t="s">
        <v>1677</v>
      </c>
      <c r="K16" s="135" t="n">
        <v>21</v>
      </c>
      <c r="L16" s="135" t="n">
        <v>21</v>
      </c>
      <c r="M16" s="135" t="n">
        <v>21</v>
      </c>
      <c r="N16" s="135" t="n">
        <f aca="false">L16-K16</f>
        <v>0</v>
      </c>
      <c r="O16" s="135" t="n">
        <f aca="false">M16-L16</f>
        <v>0</v>
      </c>
      <c r="P16" s="135" t="n">
        <f aca="false">SUMIF($C$2:$C$8,J16,$U$2:$U$8)</f>
        <v>0</v>
      </c>
      <c r="Q16" s="134" t="str">
        <f aca="false">IF(AND(O16=P16,M16=L16+P16),"一致","增量冲突")</f>
        <v>一致</v>
      </c>
    </row>
    <row r="17" customFormat="false" ht="28" hidden="false" customHeight="true" outlineLevel="0" collapsed="false">
      <c r="J17" s="134" t="s">
        <v>1681</v>
      </c>
      <c r="K17" s="135" t="n">
        <v>141</v>
      </c>
      <c r="L17" s="135" t="n">
        <v>141</v>
      </c>
      <c r="M17" s="135" t="n">
        <v>141</v>
      </c>
      <c r="N17" s="135" t="n">
        <f aca="false">L17-K17</f>
        <v>0</v>
      </c>
      <c r="O17" s="135" t="n">
        <f aca="false">M17-L17</f>
        <v>0</v>
      </c>
      <c r="P17" s="135" t="n">
        <f aca="false">SUMIF($C$2:$C$8,J17,$U$2:$U$8)</f>
        <v>0</v>
      </c>
      <c r="Q17" s="134" t="str">
        <f aca="false">IF(AND(O17=P17,M17=L17+P17),"一致","增量冲突")</f>
        <v>一致</v>
      </c>
    </row>
    <row r="18" customFormat="false" ht="28" hidden="false" customHeight="true" outlineLevel="0" collapsed="false">
      <c r="J18" s="134" t="s">
        <v>1686</v>
      </c>
      <c r="K18" s="135" t="n">
        <v>29</v>
      </c>
      <c r="L18" s="135" t="n">
        <v>29</v>
      </c>
      <c r="M18" s="135" t="n">
        <v>31</v>
      </c>
      <c r="N18" s="135" t="n">
        <f aca="false">L18-K18</f>
        <v>0</v>
      </c>
      <c r="O18" s="135" t="n">
        <f aca="false">M18-L18</f>
        <v>2</v>
      </c>
      <c r="P18" s="135" t="n">
        <f aca="false">SUMIF($C$2:$C$8,J18,$U$2:$U$8)</f>
        <v>2</v>
      </c>
      <c r="Q18" s="134" t="str">
        <f aca="false">IF(AND(O18=P18,M18=L18+P18),"一致","增量冲突")</f>
        <v>一致</v>
      </c>
    </row>
    <row r="19" customFormat="false" ht="28" hidden="false" customHeight="true" outlineLevel="0" collapsed="false">
      <c r="J19" s="134" t="s">
        <v>1673</v>
      </c>
      <c r="K19" s="135" t="n">
        <v>398</v>
      </c>
      <c r="L19" s="135" t="n">
        <v>397</v>
      </c>
      <c r="M19" s="135" t="n">
        <v>397</v>
      </c>
      <c r="N19" s="135" t="n">
        <f aca="false">L19-K19</f>
        <v>-1</v>
      </c>
      <c r="O19" s="135" t="n">
        <f aca="false">M19-L19</f>
        <v>0</v>
      </c>
      <c r="P19" s="135" t="n">
        <f aca="false">SUMIF($C$2:$C$8,J19,$U$2:$U$8)</f>
        <v>0</v>
      </c>
      <c r="Q19" s="134" t="str">
        <f aca="false">IF(AND(O19=P19,M19=L19+P19),"一致","增量冲突")</f>
        <v>一致</v>
      </c>
    </row>
    <row r="20" customFormat="false" ht="28" hidden="false" customHeight="true" outlineLevel="0" collapsed="false">
      <c r="J20" s="134" t="s">
        <v>1694</v>
      </c>
      <c r="K20" s="135" t="n">
        <v>27</v>
      </c>
      <c r="L20" s="135" t="n">
        <v>27</v>
      </c>
      <c r="M20" s="135" t="n">
        <v>27</v>
      </c>
      <c r="N20" s="135" t="n">
        <f aca="false">L20-K20</f>
        <v>0</v>
      </c>
      <c r="O20" s="135" t="n">
        <f aca="false">M20-L20</f>
        <v>0</v>
      </c>
      <c r="P20" s="135" t="n">
        <f aca="false">SUMIF($C$2:$C$8,J20,$U$2:$U$8)</f>
        <v>0</v>
      </c>
      <c r="Q20" s="134" t="str">
        <f aca="false">IF(AND(O20=P20,M20=L20+P20),"一致","增量冲突")</f>
        <v>一致</v>
      </c>
    </row>
    <row r="21" customFormat="false" ht="28" hidden="false" customHeight="true" outlineLevel="0" collapsed="false">
      <c r="J21" s="134" t="s">
        <v>1690</v>
      </c>
      <c r="K21" s="135" t="n">
        <v>72</v>
      </c>
      <c r="L21" s="135" t="n">
        <v>75</v>
      </c>
      <c r="M21" s="135" t="n">
        <v>75</v>
      </c>
      <c r="N21" s="135" t="n">
        <f aca="false">L21-K21</f>
        <v>3</v>
      </c>
      <c r="O21" s="135" t="n">
        <f aca="false">M21-L21</f>
        <v>0</v>
      </c>
      <c r="P21" s="135" t="n">
        <f aca="false">SUMIF($C$2:$C$8,J21,$U$2:$U$8)</f>
        <v>0</v>
      </c>
      <c r="Q21" s="134" t="str">
        <f aca="false">IF(AND(O21=P21,M21=L21+P21),"一致","增量冲突")</f>
        <v>一致</v>
      </c>
    </row>
    <row r="22" customFormat="false" ht="28" hidden="false" customHeight="true" outlineLevel="0" collapsed="false">
      <c r="J22" s="134" t="s">
        <v>1699</v>
      </c>
      <c r="K22" s="135" t="n">
        <v>27</v>
      </c>
      <c r="L22" s="135" t="n">
        <v>27</v>
      </c>
      <c r="M22" s="135" t="n">
        <v>27</v>
      </c>
      <c r="N22" s="135" t="n">
        <f aca="false">L22-K22</f>
        <v>0</v>
      </c>
      <c r="O22" s="135" t="n">
        <f aca="false">M22-L22</f>
        <v>0</v>
      </c>
      <c r="P22" s="135" t="n">
        <f aca="false">SUMIF($C$2:$C$8,J22,$U$2:$U$8)</f>
        <v>0</v>
      </c>
      <c r="Q22" s="134" t="str">
        <f aca="false">IF(AND(O22=P22,M22=L22+P22),"一致","增量冲突")</f>
        <v>一致</v>
      </c>
    </row>
    <row r="23" customFormat="false" ht="28" hidden="false" customHeight="true" outlineLevel="0" collapsed="false">
      <c r="J23" s="134" t="s">
        <v>1704</v>
      </c>
      <c r="K23" s="135" t="n">
        <v>29</v>
      </c>
      <c r="L23" s="135" t="n">
        <v>29</v>
      </c>
      <c r="M23" s="135" t="n">
        <v>29</v>
      </c>
      <c r="N23" s="135" t="n">
        <f aca="false">L23-K23</f>
        <v>0</v>
      </c>
      <c r="O23" s="135" t="n">
        <f aca="false">M23-L23</f>
        <v>0</v>
      </c>
      <c r="P23" s="135" t="n">
        <f aca="false">SUMIF($C$2:$C$8,J23,$U$2:$U$8)</f>
        <v>0</v>
      </c>
      <c r="Q23" s="134" t="str">
        <f aca="false">IF(AND(O23=P23,M23=L23+P23),"一致","增量冲突")</f>
        <v>一致</v>
      </c>
    </row>
    <row r="24" customFormat="false" ht="28" hidden="false" customHeight="true" outlineLevel="0" collapsed="false">
      <c r="J24" s="134" t="s">
        <v>1708</v>
      </c>
      <c r="K24" s="135" t="n">
        <v>0</v>
      </c>
      <c r="L24" s="135" t="n">
        <v>0</v>
      </c>
      <c r="M24" s="135" t="n">
        <v>0</v>
      </c>
      <c r="N24" s="135" t="n">
        <f aca="false">L24-K24</f>
        <v>0</v>
      </c>
      <c r="O24" s="135" t="n">
        <f aca="false">M24-L24</f>
        <v>0</v>
      </c>
      <c r="P24" s="135" t="n">
        <f aca="false">SUMIF($C$2:$C$8,J24,$U$2:$U$8)</f>
        <v>0</v>
      </c>
      <c r="Q24" s="134" t="str">
        <f aca="false">IF(AND(O24=P24,M24=L24+P24),"一致","增量冲突")</f>
        <v>一致</v>
      </c>
    </row>
  </sheetData>
  <conditionalFormatting sqref="W2:W8">
    <cfRule type="containsText" priority="2" operator="containsText" aboveAverage="0" equalAverage="0" bottom="0" percent="0" rank="0" text="冲突" dxfId="31">
      <formula>NOT(ISERROR(SEARCH("冲突",W2)))</formula>
    </cfRule>
  </conditionalFormatting>
  <conditionalFormatting sqref="Q13:Q24">
    <cfRule type="containsText" priority="3" operator="containsText" aboveAverage="0" equalAverage="0" bottom="0" percent="0" rank="0" text="冲突" dxfId="32">
      <formula>NOT(ISERROR(SEARCH("冲突",Q13)))</formula>
    </cfRule>
  </conditionalFormatting>
  <dataValidations count="1">
    <dataValidation allowBlank="false" errorStyle="stop" operator="between" showDropDown="false" showErrorMessage="false" showInputMessage="false" sqref="J2:L8" type="list">
      <formula1>"TRUE,FALSE"</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Q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8"/>
    <col collapsed="false" customWidth="true" hidden="false" outlineLevel="0" max="3" min="3" style="0" width="34"/>
    <col collapsed="false" customWidth="true" hidden="false" outlineLevel="0" max="4" min="4" style="0" width="43"/>
    <col collapsed="false" customWidth="true" hidden="false" outlineLevel="0" max="5" min="5" style="0" width="44"/>
    <col collapsed="false" customWidth="true" hidden="false" outlineLevel="0" max="6" min="6" style="0" width="68"/>
    <col collapsed="false" customWidth="true" hidden="false" outlineLevel="0" max="7" min="7" style="0" width="19"/>
    <col collapsed="false" customWidth="true" hidden="false" outlineLevel="0" max="8" min="8" style="0" width="15"/>
    <col collapsed="false" customWidth="true" hidden="false" outlineLevel="0" max="9" min="9" style="0" width="17"/>
    <col collapsed="false" customWidth="true" hidden="false" outlineLevel="0" max="10" min="10" style="0" width="16"/>
    <col collapsed="false" customWidth="true" hidden="false" outlineLevel="0" max="11" min="11" style="0" width="18"/>
    <col collapsed="false" customWidth="true" hidden="false" outlineLevel="0" max="12" min="12" style="0" width="14"/>
    <col collapsed="false" customWidth="true" hidden="false" outlineLevel="0" max="13" min="13" style="0" width="17"/>
    <col collapsed="false" customWidth="true" hidden="false" outlineLevel="0" max="14" min="14" style="0" width="19"/>
    <col collapsed="false" customWidth="true" hidden="false" outlineLevel="0" max="15" min="15" style="0" width="22"/>
    <col collapsed="false" customWidth="true" hidden="false" outlineLevel="0" max="16" min="16" style="0" width="17"/>
    <col collapsed="false" customWidth="true" hidden="false" outlineLevel="0" max="17" min="17" style="0" width="15"/>
    <col collapsed="false" customWidth="true" hidden="false" outlineLevel="0" max="19" min="18" style="0" width="18"/>
    <col collapsed="false" customWidth="true" hidden="false" outlineLevel="0" max="20" min="20" style="0" width="17"/>
    <col collapsed="false" customWidth="true" hidden="false" outlineLevel="0" max="21" min="21" style="0" width="18"/>
    <col collapsed="false" customWidth="true" hidden="false" outlineLevel="0" max="23" min="22" style="0" width="15"/>
    <col collapsed="false" customWidth="true" hidden="false" outlineLevel="0" max="24" min="24" style="0" width="17"/>
    <col collapsed="false" customWidth="true" hidden="false" outlineLevel="0" max="25" min="25" style="0" width="15"/>
    <col collapsed="false" customWidth="true" hidden="false" outlineLevel="0" max="27" min="26" style="0" width="18"/>
    <col collapsed="false" customWidth="true" hidden="false" outlineLevel="0" max="28" min="28" style="0" width="25"/>
    <col collapsed="false" customWidth="true" hidden="false" outlineLevel="0" max="29" min="29" style="0" width="33"/>
    <col collapsed="false" customWidth="true" hidden="false" outlineLevel="0" max="30" min="30" style="0" width="29"/>
    <col collapsed="false" customWidth="true" hidden="false" outlineLevel="0" max="32" min="31" style="0" width="62"/>
    <col collapsed="false" customWidth="true" hidden="false" outlineLevel="0" max="33" min="33" style="0" width="68"/>
    <col collapsed="false" customWidth="true" hidden="false" outlineLevel="0" max="34" min="34" style="0" width="67"/>
    <col collapsed="false" customWidth="true" hidden="false" outlineLevel="0" max="35" min="35" style="0" width="66"/>
    <col collapsed="false" customWidth="true" hidden="false" outlineLevel="0" max="36" min="36" style="0" width="72"/>
    <col collapsed="false" customWidth="true" hidden="false" outlineLevel="0" max="37" min="37" style="0" width="73"/>
    <col collapsed="false" customWidth="true" hidden="false" outlineLevel="0" max="38" min="38" style="0" width="68"/>
    <col collapsed="false" customWidth="true" hidden="false" outlineLevel="0" max="40" min="39" style="0" width="33"/>
    <col collapsed="false" customWidth="true" hidden="false" outlineLevel="0" max="41" min="41" style="0" width="95"/>
    <col collapsed="false" customWidth="true" hidden="false" outlineLevel="0" max="42" min="42" style="0" width="68"/>
    <col collapsed="false" customWidth="true" hidden="false" outlineLevel="0" max="43" min="43" style="0" width="37"/>
  </cols>
  <sheetData>
    <row r="1" customFormat="false" ht="54" hidden="false" customHeight="true" outlineLevel="0" collapsed="false">
      <c r="A1" s="136" t="s">
        <v>2799</v>
      </c>
      <c r="B1" s="136" t="s">
        <v>797</v>
      </c>
      <c r="C1" s="136" t="s">
        <v>809</v>
      </c>
      <c r="D1" s="136" t="s">
        <v>3975</v>
      </c>
      <c r="E1" s="136" t="s">
        <v>3976</v>
      </c>
      <c r="F1" s="136" t="s">
        <v>3870</v>
      </c>
      <c r="G1" s="136" t="s">
        <v>3977</v>
      </c>
      <c r="H1" s="136" t="s">
        <v>3978</v>
      </c>
      <c r="I1" s="136" t="s">
        <v>3979</v>
      </c>
      <c r="J1" s="136" t="s">
        <v>3980</v>
      </c>
      <c r="K1" s="136" t="s">
        <v>3981</v>
      </c>
      <c r="L1" s="136" t="s">
        <v>3982</v>
      </c>
      <c r="M1" s="136" t="s">
        <v>3983</v>
      </c>
      <c r="N1" s="136" t="s">
        <v>3984</v>
      </c>
      <c r="O1" s="136" t="s">
        <v>2810</v>
      </c>
      <c r="P1" s="136" t="s">
        <v>3985</v>
      </c>
      <c r="Q1" s="136" t="s">
        <v>754</v>
      </c>
      <c r="R1" s="136" t="s">
        <v>756</v>
      </c>
      <c r="S1" s="136" t="s">
        <v>758</v>
      </c>
      <c r="T1" s="136" t="s">
        <v>3877</v>
      </c>
      <c r="U1" s="136" t="s">
        <v>762</v>
      </c>
      <c r="V1" s="136" t="s">
        <v>3986</v>
      </c>
      <c r="W1" s="136" t="s">
        <v>711</v>
      </c>
      <c r="X1" s="136" t="s">
        <v>713</v>
      </c>
      <c r="Y1" s="136" t="s">
        <v>707</v>
      </c>
      <c r="Z1" s="136" t="s">
        <v>3987</v>
      </c>
      <c r="AA1" s="136" t="s">
        <v>3880</v>
      </c>
      <c r="AB1" s="136" t="s">
        <v>3988</v>
      </c>
      <c r="AC1" s="136" t="s">
        <v>3989</v>
      </c>
      <c r="AD1" s="136" t="s">
        <v>238</v>
      </c>
      <c r="AE1" s="136" t="s">
        <v>3990</v>
      </c>
      <c r="AF1" s="136" t="s">
        <v>3886</v>
      </c>
      <c r="AG1" s="136" t="s">
        <v>3991</v>
      </c>
      <c r="AH1" s="136" t="s">
        <v>3992</v>
      </c>
      <c r="AI1" s="136" t="s">
        <v>3993</v>
      </c>
      <c r="AJ1" s="136" t="s">
        <v>3994</v>
      </c>
      <c r="AK1" s="136" t="s">
        <v>3995</v>
      </c>
      <c r="AL1" s="136" t="s">
        <v>3996</v>
      </c>
      <c r="AM1" s="136" t="s">
        <v>3997</v>
      </c>
      <c r="AN1" s="136" t="s">
        <v>2827</v>
      </c>
      <c r="AO1" s="136" t="s">
        <v>3998</v>
      </c>
      <c r="AP1" s="136" t="s">
        <v>3999</v>
      </c>
      <c r="AQ1" s="136" t="s">
        <v>3890</v>
      </c>
    </row>
    <row r="2" customFormat="false" ht="106" hidden="false" customHeight="true" outlineLevel="0" collapsed="false">
      <c r="A2" s="137" t="s">
        <v>4000</v>
      </c>
      <c r="B2" s="137" t="s">
        <v>1669</v>
      </c>
      <c r="C2" s="137" t="s">
        <v>883</v>
      </c>
      <c r="D2" s="137" t="s">
        <v>3549</v>
      </c>
      <c r="E2" s="137" t="s">
        <v>3552</v>
      </c>
      <c r="F2" s="137" t="s">
        <v>3553</v>
      </c>
      <c r="G2" s="137" t="s">
        <v>3548</v>
      </c>
      <c r="H2" s="138" t="n">
        <v>85</v>
      </c>
      <c r="I2" s="138" t="n">
        <v>85</v>
      </c>
      <c r="J2" s="138" t="n">
        <v>85</v>
      </c>
      <c r="K2" s="138" t="n">
        <v>85</v>
      </c>
      <c r="L2" s="138" t="n">
        <v>0</v>
      </c>
      <c r="M2" s="137" t="s">
        <v>4001</v>
      </c>
      <c r="N2" s="137" t="s">
        <v>3838</v>
      </c>
      <c r="O2" s="137" t="s">
        <v>4002</v>
      </c>
      <c r="P2" s="137" t="b">
        <f aca="false">TRUE()</f>
        <v>1</v>
      </c>
      <c r="Q2" s="138" t="n">
        <v>0</v>
      </c>
      <c r="R2" s="138" t="n">
        <v>0</v>
      </c>
      <c r="S2" s="138" t="n">
        <v>0</v>
      </c>
      <c r="T2" s="138" t="n">
        <v>0</v>
      </c>
      <c r="U2" s="138" t="n">
        <v>0</v>
      </c>
      <c r="V2" s="138" t="n">
        <v>0</v>
      </c>
      <c r="W2" s="138" t="n">
        <v>0</v>
      </c>
      <c r="X2" s="138" t="n">
        <v>0</v>
      </c>
      <c r="Y2" s="138" t="n">
        <f aca="false">IF(AB2="范围已验收",1,0)</f>
        <v>1</v>
      </c>
      <c r="Z2" s="138" t="n">
        <f aca="false">H2*Y2</f>
        <v>85</v>
      </c>
      <c r="AA2" s="138" t="n">
        <f aca="false">IF(AND(A2&lt;&gt;"",COUNTIF($A$2:$A$9,A2)=1),1,0)</f>
        <v>1</v>
      </c>
      <c r="AB2" s="137" t="str">
        <f aca="false">IF(AND(AA2=1,H2&gt;0,I2=H2,J2=H2,K2=H2,L2=0,M2="已接受",N2="needs_review",O2="full_present_file",P2=TRUE(),COUNT(Q2:X2)=8,COUNTIF(Q2:X2,0)=8,F2&lt;&gt;"",G2&lt;&gt;"",AE2&lt;&gt;"",AK2&lt;&gt;""),"范围已验收","范围冲突或重复")</f>
        <v>范围已验收</v>
      </c>
      <c r="AC2" s="139" t="n">
        <v>46321.5836226852</v>
      </c>
      <c r="AD2" s="137" t="str">
        <f aca="false">HYPERLINK("https://chatgpt.com/api/library/files/libfile_c73df2b707e48191921be9794e06632c/download","下载B22私有元数据包")</f>
        <v>下载B22私有元数据包</v>
      </c>
      <c r="AE2" s="137" t="s">
        <v>4003</v>
      </c>
      <c r="AF2" s="137" t="s">
        <v>2842</v>
      </c>
      <c r="AG2" s="137" t="s">
        <v>4004</v>
      </c>
      <c r="AH2" s="137" t="s">
        <v>4005</v>
      </c>
      <c r="AI2" s="137" t="s">
        <v>4006</v>
      </c>
      <c r="AJ2" s="137" t="s">
        <v>4007</v>
      </c>
      <c r="AK2" s="137" t="s">
        <v>4008</v>
      </c>
      <c r="AL2" s="137" t="s">
        <v>4009</v>
      </c>
      <c r="AM2" s="139" t="n">
        <v>46321.5119097222</v>
      </c>
      <c r="AN2" s="139" t="n">
        <v>46321.5522685185</v>
      </c>
      <c r="AO2" s="137" t="s">
        <v>4010</v>
      </c>
      <c r="AP2" s="137" t="s">
        <v>4011</v>
      </c>
      <c r="AQ2" s="137" t="s">
        <v>4012</v>
      </c>
    </row>
    <row r="3" customFormat="false" ht="106" hidden="false" customHeight="true" outlineLevel="0" collapsed="false">
      <c r="A3" s="137" t="s">
        <v>4013</v>
      </c>
      <c r="B3" s="137" t="s">
        <v>1669</v>
      </c>
      <c r="C3" s="137" t="s">
        <v>883</v>
      </c>
      <c r="D3" s="137" t="s">
        <v>3560</v>
      </c>
      <c r="E3" s="137" t="s">
        <v>3563</v>
      </c>
      <c r="F3" s="137" t="s">
        <v>3564</v>
      </c>
      <c r="G3" s="137" t="s">
        <v>3559</v>
      </c>
      <c r="H3" s="138" t="n">
        <v>98</v>
      </c>
      <c r="I3" s="138" t="n">
        <v>98</v>
      </c>
      <c r="J3" s="138" t="n">
        <v>98</v>
      </c>
      <c r="K3" s="138" t="n">
        <v>98</v>
      </c>
      <c r="L3" s="138" t="n">
        <v>0</v>
      </c>
      <c r="M3" s="137" t="s">
        <v>4001</v>
      </c>
      <c r="N3" s="137" t="s">
        <v>3838</v>
      </c>
      <c r="O3" s="137" t="s">
        <v>4002</v>
      </c>
      <c r="P3" s="137" t="b">
        <f aca="false">TRUE()</f>
        <v>1</v>
      </c>
      <c r="Q3" s="138" t="n">
        <v>0</v>
      </c>
      <c r="R3" s="138" t="n">
        <v>0</v>
      </c>
      <c r="S3" s="138" t="n">
        <v>0</v>
      </c>
      <c r="T3" s="138" t="n">
        <v>0</v>
      </c>
      <c r="U3" s="138" t="n">
        <v>0</v>
      </c>
      <c r="V3" s="138" t="n">
        <v>0</v>
      </c>
      <c r="W3" s="138" t="n">
        <v>0</v>
      </c>
      <c r="X3" s="138" t="n">
        <v>0</v>
      </c>
      <c r="Y3" s="138" t="n">
        <f aca="false">IF(AB3="范围已验收",1,0)</f>
        <v>1</v>
      </c>
      <c r="Z3" s="138" t="n">
        <f aca="false">H3*Y3</f>
        <v>98</v>
      </c>
      <c r="AA3" s="138" t="n">
        <f aca="false">IF(AND(A3&lt;&gt;"",COUNTIF($A$2:$A$9,A3)=1),1,0)</f>
        <v>1</v>
      </c>
      <c r="AB3" s="137" t="str">
        <f aca="false">IF(AND(AA3=1,H3&gt;0,I3=H3,J3=H3,K3=H3,L3=0,M3="已接受",N3="needs_review",O3="full_present_file",P3=TRUE(),COUNT(Q3:X3)=8,COUNTIF(Q3:X3,0)=8,F3&lt;&gt;"",G3&lt;&gt;"",AE3&lt;&gt;"",AK3&lt;&gt;""),"范围已验收","范围冲突或重复")</f>
        <v>范围已验收</v>
      </c>
      <c r="AC3" s="139" t="n">
        <v>46321.5836226852</v>
      </c>
      <c r="AD3" s="137" t="str">
        <f aca="false">HYPERLINK("https://chatgpt.com/api/library/files/libfile_c73df2b707e48191921be9794e06632c/download","下载B22私有元数据包")</f>
        <v>下载B22私有元数据包</v>
      </c>
      <c r="AE3" s="137" t="s">
        <v>4014</v>
      </c>
      <c r="AF3" s="137" t="s">
        <v>2842</v>
      </c>
      <c r="AG3" s="137" t="s">
        <v>4015</v>
      </c>
      <c r="AH3" s="137" t="s">
        <v>4016</v>
      </c>
      <c r="AI3" s="137" t="s">
        <v>4017</v>
      </c>
      <c r="AJ3" s="137" t="s">
        <v>4007</v>
      </c>
      <c r="AK3" s="137" t="s">
        <v>4018</v>
      </c>
      <c r="AL3" s="137" t="s">
        <v>4009</v>
      </c>
      <c r="AM3" s="139" t="n">
        <v>46321.5119097222</v>
      </c>
      <c r="AN3" s="139" t="n">
        <v>46321.5522685185</v>
      </c>
      <c r="AO3" s="137" t="s">
        <v>4019</v>
      </c>
      <c r="AP3" s="137" t="s">
        <v>4011</v>
      </c>
      <c r="AQ3" s="137" t="s">
        <v>4012</v>
      </c>
    </row>
    <row r="4" customFormat="false" ht="106" hidden="false" customHeight="true" outlineLevel="0" collapsed="false">
      <c r="A4" s="137" t="s">
        <v>4020</v>
      </c>
      <c r="B4" s="137" t="s">
        <v>1669</v>
      </c>
      <c r="C4" s="137" t="s">
        <v>883</v>
      </c>
      <c r="D4" s="137" t="s">
        <v>3571</v>
      </c>
      <c r="E4" s="137" t="s">
        <v>3574</v>
      </c>
      <c r="F4" s="137" t="s">
        <v>3575</v>
      </c>
      <c r="G4" s="137" t="s">
        <v>3570</v>
      </c>
      <c r="H4" s="138" t="n">
        <v>77</v>
      </c>
      <c r="I4" s="138" t="n">
        <v>77</v>
      </c>
      <c r="J4" s="138" t="n">
        <v>77</v>
      </c>
      <c r="K4" s="138" t="n">
        <v>77</v>
      </c>
      <c r="L4" s="138" t="n">
        <v>0</v>
      </c>
      <c r="M4" s="137" t="s">
        <v>4001</v>
      </c>
      <c r="N4" s="137" t="s">
        <v>3838</v>
      </c>
      <c r="O4" s="137" t="s">
        <v>4002</v>
      </c>
      <c r="P4" s="137" t="b">
        <f aca="false">TRUE()</f>
        <v>1</v>
      </c>
      <c r="Q4" s="138" t="n">
        <v>0</v>
      </c>
      <c r="R4" s="138" t="n">
        <v>0</v>
      </c>
      <c r="S4" s="138" t="n">
        <v>0</v>
      </c>
      <c r="T4" s="138" t="n">
        <v>0</v>
      </c>
      <c r="U4" s="138" t="n">
        <v>0</v>
      </c>
      <c r="V4" s="138" t="n">
        <v>0</v>
      </c>
      <c r="W4" s="138" t="n">
        <v>0</v>
      </c>
      <c r="X4" s="138" t="n">
        <v>0</v>
      </c>
      <c r="Y4" s="138" t="n">
        <f aca="false">IF(AB4="范围已验收",1,0)</f>
        <v>1</v>
      </c>
      <c r="Z4" s="138" t="n">
        <f aca="false">H4*Y4</f>
        <v>77</v>
      </c>
      <c r="AA4" s="138" t="n">
        <f aca="false">IF(AND(A4&lt;&gt;"",COUNTIF($A$2:$A$9,A4)=1),1,0)</f>
        <v>1</v>
      </c>
      <c r="AB4" s="137" t="str">
        <f aca="false">IF(AND(AA4=1,H4&gt;0,I4=H4,J4=H4,K4=H4,L4=0,M4="已接受",N4="needs_review",O4="full_present_file",P4=TRUE(),COUNT(Q4:X4)=8,COUNTIF(Q4:X4,0)=8,F4&lt;&gt;"",G4&lt;&gt;"",AE4&lt;&gt;"",AK4&lt;&gt;""),"范围已验收","范围冲突或重复")</f>
        <v>范围已验收</v>
      </c>
      <c r="AC4" s="139" t="n">
        <v>46321.5836226852</v>
      </c>
      <c r="AD4" s="137" t="str">
        <f aca="false">HYPERLINK("https://chatgpt.com/api/library/files/libfile_c73df2b707e48191921be9794e06632c/download","下载B22私有元数据包")</f>
        <v>下载B22私有元数据包</v>
      </c>
      <c r="AE4" s="137" t="s">
        <v>4021</v>
      </c>
      <c r="AF4" s="137" t="s">
        <v>2842</v>
      </c>
      <c r="AG4" s="137" t="s">
        <v>4022</v>
      </c>
      <c r="AH4" s="137" t="s">
        <v>4023</v>
      </c>
      <c r="AI4" s="137" t="s">
        <v>4024</v>
      </c>
      <c r="AJ4" s="137" t="s">
        <v>4007</v>
      </c>
      <c r="AK4" s="137" t="s">
        <v>4025</v>
      </c>
      <c r="AL4" s="137" t="s">
        <v>4009</v>
      </c>
      <c r="AM4" s="139" t="n">
        <v>46321.5119097222</v>
      </c>
      <c r="AN4" s="139" t="n">
        <v>46321.5522685185</v>
      </c>
      <c r="AO4" s="137" t="s">
        <v>4026</v>
      </c>
      <c r="AP4" s="137" t="s">
        <v>4011</v>
      </c>
      <c r="AQ4" s="137" t="s">
        <v>4012</v>
      </c>
    </row>
    <row r="5" customFormat="false" ht="106" hidden="false" customHeight="true" outlineLevel="0" collapsed="false">
      <c r="A5" s="137" t="s">
        <v>4027</v>
      </c>
      <c r="B5" s="137" t="s">
        <v>1669</v>
      </c>
      <c r="C5" s="137" t="s">
        <v>883</v>
      </c>
      <c r="D5" s="137" t="s">
        <v>3582</v>
      </c>
      <c r="E5" s="137" t="s">
        <v>3585</v>
      </c>
      <c r="F5" s="137" t="s">
        <v>3586</v>
      </c>
      <c r="G5" s="137" t="s">
        <v>3581</v>
      </c>
      <c r="H5" s="138" t="n">
        <v>80</v>
      </c>
      <c r="I5" s="138" t="n">
        <v>80</v>
      </c>
      <c r="J5" s="138" t="n">
        <v>80</v>
      </c>
      <c r="K5" s="138" t="n">
        <v>80</v>
      </c>
      <c r="L5" s="138" t="n">
        <v>0</v>
      </c>
      <c r="M5" s="137" t="s">
        <v>4001</v>
      </c>
      <c r="N5" s="137" t="s">
        <v>3838</v>
      </c>
      <c r="O5" s="137" t="s">
        <v>4002</v>
      </c>
      <c r="P5" s="137" t="b">
        <f aca="false">TRUE()</f>
        <v>1</v>
      </c>
      <c r="Q5" s="138" t="n">
        <v>0</v>
      </c>
      <c r="R5" s="138" t="n">
        <v>0</v>
      </c>
      <c r="S5" s="138" t="n">
        <v>0</v>
      </c>
      <c r="T5" s="138" t="n">
        <v>0</v>
      </c>
      <c r="U5" s="138" t="n">
        <v>0</v>
      </c>
      <c r="V5" s="138" t="n">
        <v>0</v>
      </c>
      <c r="W5" s="138" t="n">
        <v>0</v>
      </c>
      <c r="X5" s="138" t="n">
        <v>0</v>
      </c>
      <c r="Y5" s="138" t="n">
        <f aca="false">IF(AB5="范围已验收",1,0)</f>
        <v>1</v>
      </c>
      <c r="Z5" s="138" t="n">
        <f aca="false">H5*Y5</f>
        <v>80</v>
      </c>
      <c r="AA5" s="138" t="n">
        <f aca="false">IF(AND(A5&lt;&gt;"",COUNTIF($A$2:$A$9,A5)=1),1,0)</f>
        <v>1</v>
      </c>
      <c r="AB5" s="137" t="str">
        <f aca="false">IF(AND(AA5=1,H5&gt;0,I5=H5,J5=H5,K5=H5,L5=0,M5="已接受",N5="needs_review",O5="full_present_file",P5=TRUE(),COUNT(Q5:X5)=8,COUNTIF(Q5:X5,0)=8,F5&lt;&gt;"",G5&lt;&gt;"",AE5&lt;&gt;"",AK5&lt;&gt;""),"范围已验收","范围冲突或重复")</f>
        <v>范围已验收</v>
      </c>
      <c r="AC5" s="139" t="n">
        <v>46321.5836226852</v>
      </c>
      <c r="AD5" s="137" t="str">
        <f aca="false">HYPERLINK("https://chatgpt.com/api/library/files/libfile_c73df2b707e48191921be9794e06632c/download","下载B22私有元数据包")</f>
        <v>下载B22私有元数据包</v>
      </c>
      <c r="AE5" s="137" t="s">
        <v>4028</v>
      </c>
      <c r="AF5" s="137" t="s">
        <v>2842</v>
      </c>
      <c r="AG5" s="137" t="s">
        <v>4029</v>
      </c>
      <c r="AH5" s="137" t="s">
        <v>4030</v>
      </c>
      <c r="AI5" s="137" t="s">
        <v>4031</v>
      </c>
      <c r="AJ5" s="137" t="s">
        <v>4007</v>
      </c>
      <c r="AK5" s="137" t="s">
        <v>4032</v>
      </c>
      <c r="AL5" s="137" t="s">
        <v>4009</v>
      </c>
      <c r="AM5" s="139" t="n">
        <v>46321.5119097222</v>
      </c>
      <c r="AN5" s="139" t="n">
        <v>46321.5522685185</v>
      </c>
      <c r="AO5" s="137" t="s">
        <v>4033</v>
      </c>
      <c r="AP5" s="137" t="s">
        <v>4011</v>
      </c>
      <c r="AQ5" s="137" t="s">
        <v>4012</v>
      </c>
    </row>
    <row r="6" customFormat="false" ht="106" hidden="false" customHeight="true" outlineLevel="0" collapsed="false">
      <c r="A6" s="137" t="s">
        <v>4034</v>
      </c>
      <c r="B6" s="137" t="s">
        <v>1669</v>
      </c>
      <c r="C6" s="137" t="s">
        <v>883</v>
      </c>
      <c r="D6" s="137" t="s">
        <v>3263</v>
      </c>
      <c r="E6" s="137" t="s">
        <v>3267</v>
      </c>
      <c r="F6" s="137" t="s">
        <v>3268</v>
      </c>
      <c r="G6" s="137" t="s">
        <v>3262</v>
      </c>
      <c r="H6" s="138" t="n">
        <v>74</v>
      </c>
      <c r="I6" s="138" t="n">
        <v>74</v>
      </c>
      <c r="J6" s="138" t="n">
        <v>74</v>
      </c>
      <c r="K6" s="138" t="n">
        <v>74</v>
      </c>
      <c r="L6" s="138" t="n">
        <v>0</v>
      </c>
      <c r="M6" s="137" t="s">
        <v>4001</v>
      </c>
      <c r="N6" s="137" t="s">
        <v>3838</v>
      </c>
      <c r="O6" s="137" t="s">
        <v>4002</v>
      </c>
      <c r="P6" s="137" t="b">
        <f aca="false">TRUE()</f>
        <v>1</v>
      </c>
      <c r="Q6" s="138" t="n">
        <v>0</v>
      </c>
      <c r="R6" s="138" t="n">
        <v>0</v>
      </c>
      <c r="S6" s="138" t="n">
        <v>0</v>
      </c>
      <c r="T6" s="138" t="n">
        <v>0</v>
      </c>
      <c r="U6" s="138" t="n">
        <v>0</v>
      </c>
      <c r="V6" s="138" t="n">
        <v>0</v>
      </c>
      <c r="W6" s="138" t="n">
        <v>0</v>
      </c>
      <c r="X6" s="138" t="n">
        <v>0</v>
      </c>
      <c r="Y6" s="138" t="n">
        <f aca="false">IF(AB6="范围已验收",1,0)</f>
        <v>1</v>
      </c>
      <c r="Z6" s="138" t="n">
        <f aca="false">H6*Y6</f>
        <v>74</v>
      </c>
      <c r="AA6" s="138" t="n">
        <f aca="false">IF(AND(A6&lt;&gt;"",COUNTIF($A$2:$A$9,A6)=1),1,0)</f>
        <v>1</v>
      </c>
      <c r="AB6" s="137" t="str">
        <f aca="false">IF(AND(AA6=1,H6&gt;0,I6=H6,J6=H6,K6=H6,L6=0,M6="已接受",N6="needs_review",O6="full_present_file",P6=TRUE(),COUNT(Q6:X6)=8,COUNTIF(Q6:X6,0)=8,F6&lt;&gt;"",G6&lt;&gt;"",AE6&lt;&gt;"",AK6&lt;&gt;""),"范围已验收","范围冲突或重复")</f>
        <v>范围已验收</v>
      </c>
      <c r="AC6" s="139" t="n">
        <v>46321.5836226852</v>
      </c>
      <c r="AD6" s="137" t="str">
        <f aca="false">HYPERLINK("https://chatgpt.com/api/library/files/libfile_c73df2b707e48191921be9794e06632c/download","下载B22私有元数据包")</f>
        <v>下载B22私有元数据包</v>
      </c>
      <c r="AE6" s="137" t="s">
        <v>4035</v>
      </c>
      <c r="AF6" s="137" t="s">
        <v>2842</v>
      </c>
      <c r="AG6" s="137" t="s">
        <v>4036</v>
      </c>
      <c r="AH6" s="137" t="s">
        <v>4037</v>
      </c>
      <c r="AI6" s="137" t="s">
        <v>4038</v>
      </c>
      <c r="AJ6" s="137" t="s">
        <v>4007</v>
      </c>
      <c r="AK6" s="137" t="s">
        <v>4039</v>
      </c>
      <c r="AL6" s="137" t="s">
        <v>4009</v>
      </c>
      <c r="AM6" s="139" t="n">
        <v>46321.5119097222</v>
      </c>
      <c r="AN6" s="139" t="n">
        <v>46321.5522685185</v>
      </c>
      <c r="AO6" s="137" t="s">
        <v>4040</v>
      </c>
      <c r="AP6" s="137" t="s">
        <v>4011</v>
      </c>
      <c r="AQ6" s="137" t="s">
        <v>4012</v>
      </c>
    </row>
    <row r="7" customFormat="false" ht="106" hidden="false" customHeight="true" outlineLevel="0" collapsed="false">
      <c r="A7" s="137" t="s">
        <v>4041</v>
      </c>
      <c r="B7" s="137" t="s">
        <v>1669</v>
      </c>
      <c r="C7" s="137" t="s">
        <v>883</v>
      </c>
      <c r="D7" s="137" t="s">
        <v>3275</v>
      </c>
      <c r="E7" s="137" t="s">
        <v>3278</v>
      </c>
      <c r="F7" s="137" t="s">
        <v>3279</v>
      </c>
      <c r="G7" s="137" t="s">
        <v>3274</v>
      </c>
      <c r="H7" s="138" t="n">
        <v>70</v>
      </c>
      <c r="I7" s="138" t="n">
        <v>70</v>
      </c>
      <c r="J7" s="138" t="n">
        <v>70</v>
      </c>
      <c r="K7" s="138" t="n">
        <v>70</v>
      </c>
      <c r="L7" s="138" t="n">
        <v>0</v>
      </c>
      <c r="M7" s="137" t="s">
        <v>4001</v>
      </c>
      <c r="N7" s="137" t="s">
        <v>3838</v>
      </c>
      <c r="O7" s="137" t="s">
        <v>4002</v>
      </c>
      <c r="P7" s="137" t="b">
        <f aca="false">TRUE()</f>
        <v>1</v>
      </c>
      <c r="Q7" s="138" t="n">
        <v>0</v>
      </c>
      <c r="R7" s="138" t="n">
        <v>0</v>
      </c>
      <c r="S7" s="138" t="n">
        <v>0</v>
      </c>
      <c r="T7" s="138" t="n">
        <v>0</v>
      </c>
      <c r="U7" s="138" t="n">
        <v>0</v>
      </c>
      <c r="V7" s="138" t="n">
        <v>0</v>
      </c>
      <c r="W7" s="138" t="n">
        <v>0</v>
      </c>
      <c r="X7" s="138" t="n">
        <v>0</v>
      </c>
      <c r="Y7" s="138" t="n">
        <f aca="false">IF(AB7="范围已验收",1,0)</f>
        <v>1</v>
      </c>
      <c r="Z7" s="138" t="n">
        <f aca="false">H7*Y7</f>
        <v>70</v>
      </c>
      <c r="AA7" s="138" t="n">
        <f aca="false">IF(AND(A7&lt;&gt;"",COUNTIF($A$2:$A$9,A7)=1),1,0)</f>
        <v>1</v>
      </c>
      <c r="AB7" s="137" t="str">
        <f aca="false">IF(AND(AA7=1,H7&gt;0,I7=H7,J7=H7,K7=H7,L7=0,M7="已接受",N7="needs_review",O7="full_present_file",P7=TRUE(),COUNT(Q7:X7)=8,COUNTIF(Q7:X7,0)=8,F7&lt;&gt;"",G7&lt;&gt;"",AE7&lt;&gt;"",AK7&lt;&gt;""),"范围已验收","范围冲突或重复")</f>
        <v>范围已验收</v>
      </c>
      <c r="AC7" s="139" t="n">
        <v>46321.5836226852</v>
      </c>
      <c r="AD7" s="137" t="str">
        <f aca="false">HYPERLINK("https://chatgpt.com/api/library/files/libfile_c73df2b707e48191921be9794e06632c/download","下载B22私有元数据包")</f>
        <v>下载B22私有元数据包</v>
      </c>
      <c r="AE7" s="137" t="s">
        <v>4042</v>
      </c>
      <c r="AF7" s="137" t="s">
        <v>2842</v>
      </c>
      <c r="AG7" s="137" t="s">
        <v>4043</v>
      </c>
      <c r="AH7" s="137" t="s">
        <v>4044</v>
      </c>
      <c r="AI7" s="137" t="s">
        <v>4045</v>
      </c>
      <c r="AJ7" s="137" t="s">
        <v>4007</v>
      </c>
      <c r="AK7" s="137" t="s">
        <v>4046</v>
      </c>
      <c r="AL7" s="137" t="s">
        <v>4009</v>
      </c>
      <c r="AM7" s="139" t="n">
        <v>46321.5119097222</v>
      </c>
      <c r="AN7" s="139" t="n">
        <v>46321.5522685185</v>
      </c>
      <c r="AO7" s="137" t="s">
        <v>4047</v>
      </c>
      <c r="AP7" s="137" t="s">
        <v>4011</v>
      </c>
      <c r="AQ7" s="137" t="s">
        <v>4012</v>
      </c>
    </row>
    <row r="8" customFormat="false" ht="106" hidden="false" customHeight="true" outlineLevel="0" collapsed="false">
      <c r="A8" s="137" t="s">
        <v>4048</v>
      </c>
      <c r="B8" s="137" t="s">
        <v>1669</v>
      </c>
      <c r="C8" s="137" t="s">
        <v>883</v>
      </c>
      <c r="D8" s="137" t="s">
        <v>3286</v>
      </c>
      <c r="E8" s="137" t="s">
        <v>3289</v>
      </c>
      <c r="F8" s="137" t="s">
        <v>3290</v>
      </c>
      <c r="G8" s="137" t="s">
        <v>3285</v>
      </c>
      <c r="H8" s="138" t="n">
        <v>73</v>
      </c>
      <c r="I8" s="138" t="n">
        <v>73</v>
      </c>
      <c r="J8" s="138" t="n">
        <v>73</v>
      </c>
      <c r="K8" s="138" t="n">
        <v>73</v>
      </c>
      <c r="L8" s="138" t="n">
        <v>0</v>
      </c>
      <c r="M8" s="137" t="s">
        <v>4001</v>
      </c>
      <c r="N8" s="137" t="s">
        <v>3838</v>
      </c>
      <c r="O8" s="137" t="s">
        <v>4002</v>
      </c>
      <c r="P8" s="137" t="b">
        <f aca="false">TRUE()</f>
        <v>1</v>
      </c>
      <c r="Q8" s="138" t="n">
        <v>0</v>
      </c>
      <c r="R8" s="138" t="n">
        <v>0</v>
      </c>
      <c r="S8" s="138" t="n">
        <v>0</v>
      </c>
      <c r="T8" s="138" t="n">
        <v>0</v>
      </c>
      <c r="U8" s="138" t="n">
        <v>0</v>
      </c>
      <c r="V8" s="138" t="n">
        <v>0</v>
      </c>
      <c r="W8" s="138" t="n">
        <v>0</v>
      </c>
      <c r="X8" s="138" t="n">
        <v>0</v>
      </c>
      <c r="Y8" s="138" t="n">
        <f aca="false">IF(AB8="范围已验收",1,0)</f>
        <v>1</v>
      </c>
      <c r="Z8" s="138" t="n">
        <f aca="false">H8*Y8</f>
        <v>73</v>
      </c>
      <c r="AA8" s="138" t="n">
        <f aca="false">IF(AND(A8&lt;&gt;"",COUNTIF($A$2:$A$9,A8)=1),1,0)</f>
        <v>1</v>
      </c>
      <c r="AB8" s="137" t="str">
        <f aca="false">IF(AND(AA8=1,H8&gt;0,I8=H8,J8=H8,K8=H8,L8=0,M8="已接受",N8="needs_review",O8="full_present_file",P8=TRUE(),COUNT(Q8:X8)=8,COUNTIF(Q8:X8,0)=8,F8&lt;&gt;"",G8&lt;&gt;"",AE8&lt;&gt;"",AK8&lt;&gt;""),"范围已验收","范围冲突或重复")</f>
        <v>范围已验收</v>
      </c>
      <c r="AC8" s="139" t="n">
        <v>46321.5836226852</v>
      </c>
      <c r="AD8" s="137" t="str">
        <f aca="false">HYPERLINK("https://chatgpt.com/api/library/files/libfile_c73df2b707e48191921be9794e06632c/download","下载B22私有元数据包")</f>
        <v>下载B22私有元数据包</v>
      </c>
      <c r="AE8" s="137" t="s">
        <v>4049</v>
      </c>
      <c r="AF8" s="137" t="s">
        <v>2842</v>
      </c>
      <c r="AG8" s="137" t="s">
        <v>4050</v>
      </c>
      <c r="AH8" s="137" t="s">
        <v>4051</v>
      </c>
      <c r="AI8" s="137" t="s">
        <v>4052</v>
      </c>
      <c r="AJ8" s="137" t="s">
        <v>4007</v>
      </c>
      <c r="AK8" s="137" t="s">
        <v>4053</v>
      </c>
      <c r="AL8" s="137" t="s">
        <v>4009</v>
      </c>
      <c r="AM8" s="139" t="n">
        <v>46321.5119097222</v>
      </c>
      <c r="AN8" s="139" t="n">
        <v>46321.5522685185</v>
      </c>
      <c r="AO8" s="137" t="s">
        <v>4054</v>
      </c>
      <c r="AP8" s="137" t="s">
        <v>4011</v>
      </c>
      <c r="AQ8" s="137" t="s">
        <v>4012</v>
      </c>
    </row>
    <row r="9" customFormat="false" ht="106" hidden="false" customHeight="true" outlineLevel="0" collapsed="false">
      <c r="A9" s="137" t="s">
        <v>4055</v>
      </c>
      <c r="B9" s="137" t="s">
        <v>1669</v>
      </c>
      <c r="C9" s="137" t="s">
        <v>883</v>
      </c>
      <c r="D9" s="137" t="s">
        <v>3361</v>
      </c>
      <c r="E9" s="137" t="s">
        <v>3364</v>
      </c>
      <c r="F9" s="137" t="s">
        <v>3365</v>
      </c>
      <c r="G9" s="137" t="s">
        <v>3360</v>
      </c>
      <c r="H9" s="138" t="n">
        <v>79</v>
      </c>
      <c r="I9" s="138" t="n">
        <v>79</v>
      </c>
      <c r="J9" s="138" t="n">
        <v>79</v>
      </c>
      <c r="K9" s="138" t="n">
        <v>79</v>
      </c>
      <c r="L9" s="138" t="n">
        <v>0</v>
      </c>
      <c r="M9" s="137" t="s">
        <v>4001</v>
      </c>
      <c r="N9" s="137" t="s">
        <v>3838</v>
      </c>
      <c r="O9" s="137" t="s">
        <v>4002</v>
      </c>
      <c r="P9" s="137" t="b">
        <f aca="false">TRUE()</f>
        <v>1</v>
      </c>
      <c r="Q9" s="138" t="n">
        <v>0</v>
      </c>
      <c r="R9" s="138" t="n">
        <v>0</v>
      </c>
      <c r="S9" s="138" t="n">
        <v>0</v>
      </c>
      <c r="T9" s="138" t="n">
        <v>0</v>
      </c>
      <c r="U9" s="138" t="n">
        <v>0</v>
      </c>
      <c r="V9" s="138" t="n">
        <v>0</v>
      </c>
      <c r="W9" s="138" t="n">
        <v>0</v>
      </c>
      <c r="X9" s="138" t="n">
        <v>0</v>
      </c>
      <c r="Y9" s="138" t="n">
        <f aca="false">IF(AB9="范围已验收",1,0)</f>
        <v>1</v>
      </c>
      <c r="Z9" s="138" t="n">
        <f aca="false">H9*Y9</f>
        <v>79</v>
      </c>
      <c r="AA9" s="138" t="n">
        <f aca="false">IF(AND(A9&lt;&gt;"",COUNTIF($A$2:$A$9,A9)=1),1,0)</f>
        <v>1</v>
      </c>
      <c r="AB9" s="137" t="str">
        <f aca="false">IF(AND(AA9=1,H9&gt;0,I9=H9,J9=H9,K9=H9,L9=0,M9="已接受",N9="needs_review",O9="full_present_file",P9=TRUE(),COUNT(Q9:X9)=8,COUNTIF(Q9:X9,0)=8,F9&lt;&gt;"",G9&lt;&gt;"",AE9&lt;&gt;"",AK9&lt;&gt;""),"范围已验收","范围冲突或重复")</f>
        <v>范围已验收</v>
      </c>
      <c r="AC9" s="139" t="n">
        <v>46321.5836226852</v>
      </c>
      <c r="AD9" s="137" t="str">
        <f aca="false">HYPERLINK("https://chatgpt.com/api/library/files/libfile_c73df2b707e48191921be9794e06632c/download","下载B22私有元数据包")</f>
        <v>下载B22私有元数据包</v>
      </c>
      <c r="AE9" s="137" t="s">
        <v>4056</v>
      </c>
      <c r="AF9" s="137" t="s">
        <v>2842</v>
      </c>
      <c r="AG9" s="137" t="s">
        <v>4057</v>
      </c>
      <c r="AH9" s="137" t="s">
        <v>4058</v>
      </c>
      <c r="AI9" s="137" t="s">
        <v>4059</v>
      </c>
      <c r="AJ9" s="137" t="s">
        <v>4007</v>
      </c>
      <c r="AK9" s="137" t="s">
        <v>4060</v>
      </c>
      <c r="AL9" s="137" t="s">
        <v>4009</v>
      </c>
      <c r="AM9" s="139" t="n">
        <v>46321.5119097222</v>
      </c>
      <c r="AN9" s="139" t="n">
        <v>46321.5522685185</v>
      </c>
      <c r="AO9" s="137" t="s">
        <v>4061</v>
      </c>
      <c r="AP9" s="137" t="s">
        <v>4011</v>
      </c>
      <c r="AQ9" s="137" t="s">
        <v>4012</v>
      </c>
    </row>
  </sheetData>
  <conditionalFormatting sqref="AB2:AB9">
    <cfRule type="containsText" priority="2" operator="containsText" aboveAverage="0" equalAverage="0" bottom="0" percent="0" rank="0" text="冲突" dxfId="33">
      <formula>NOT(ISERROR(SEARCH("冲突",AB2)))</formula>
    </cfRule>
  </conditionalFormatting>
  <dataValidations count="2">
    <dataValidation allowBlank="false" errorStyle="stop" operator="between" showDropDown="false" showErrorMessage="false" showInputMessage="false" sqref="M2:M9" type="list">
      <formula1>"已接受,待QA"</formula1>
      <formula2>0</formula2>
    </dataValidation>
    <dataValidation allowBlank="false" errorStyle="stop" operator="between" showDropDown="false" showErrorMessage="false" showInputMessage="false" sqref="N2:N9" type="list">
      <formula1>"needs_review,verified"</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H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8"/>
    <col collapsed="false" customWidth="true" hidden="false" outlineLevel="0" max="3" min="3" style="0" width="34"/>
    <col collapsed="false" customWidth="true" hidden="false" outlineLevel="0" max="4" min="4" style="0" width="46"/>
    <col collapsed="false" customWidth="true" hidden="false" outlineLevel="0" max="5" min="5" style="0" width="44"/>
    <col collapsed="false" customWidth="true" hidden="false" outlineLevel="0" max="6" min="6" style="0" width="68"/>
    <col collapsed="false" customWidth="true" hidden="false" outlineLevel="0" max="7" min="7" style="0" width="19"/>
    <col collapsed="false" customWidth="true" hidden="false" outlineLevel="0" max="8" min="8" style="0" width="15"/>
    <col collapsed="false" customWidth="true" hidden="false" outlineLevel="0" max="9" min="9" style="0" width="17"/>
    <col collapsed="false" customWidth="true" hidden="false" outlineLevel="0" max="10" min="10" style="0" width="16"/>
    <col collapsed="false" customWidth="true" hidden="false" outlineLevel="0" max="11" min="11" style="0" width="18"/>
    <col collapsed="false" customWidth="true" hidden="false" outlineLevel="0" max="12" min="12" style="0" width="14"/>
    <col collapsed="false" customWidth="true" hidden="false" outlineLevel="0" max="13" min="13" style="0" width="17"/>
    <col collapsed="false" customWidth="true" hidden="false" outlineLevel="0" max="14" min="14" style="0" width="19"/>
    <col collapsed="false" customWidth="true" hidden="false" outlineLevel="0" max="15" min="15" style="0" width="22"/>
    <col collapsed="false" customWidth="true" hidden="false" outlineLevel="0" max="16" min="16" style="0" width="17"/>
    <col collapsed="false" customWidth="true" hidden="false" outlineLevel="0" max="17" min="17" style="0" width="15"/>
    <col collapsed="false" customWidth="true" hidden="false" outlineLevel="0" max="19" min="18" style="0" width="18"/>
    <col collapsed="false" customWidth="true" hidden="false" outlineLevel="0" max="20" min="20" style="0" width="17"/>
    <col collapsed="false" customWidth="true" hidden="false" outlineLevel="0" max="21" min="21" style="0" width="18"/>
    <col collapsed="false" customWidth="true" hidden="false" outlineLevel="0" max="23" min="22" style="0" width="15"/>
    <col collapsed="false" customWidth="true" hidden="false" outlineLevel="0" max="24" min="24" style="0" width="17"/>
    <col collapsed="false" customWidth="true" hidden="false" outlineLevel="0" max="25" min="25" style="0" width="15"/>
    <col collapsed="false" customWidth="true" hidden="false" outlineLevel="0" max="27" min="26" style="0" width="18"/>
    <col collapsed="false" customWidth="true" hidden="false" outlineLevel="0" max="28" min="28" style="0" width="25"/>
    <col collapsed="false" customWidth="true" hidden="false" outlineLevel="0" max="29" min="29" style="0" width="33"/>
    <col collapsed="false" customWidth="true" hidden="false" outlineLevel="0" max="30" min="30" style="0" width="34"/>
    <col collapsed="false" customWidth="true" hidden="false" outlineLevel="0" max="31" min="31" style="0" width="64"/>
    <col collapsed="false" customWidth="true" hidden="false" outlineLevel="0" max="32" min="32" style="0" width="62"/>
    <col collapsed="false" customWidth="true" hidden="false" outlineLevel="0" max="33" min="33" style="0" width="104"/>
    <col collapsed="false" customWidth="true" hidden="false" outlineLevel="0" max="34" min="34" style="0" width="65"/>
    <col collapsed="false" customWidth="true" hidden="false" outlineLevel="0" max="35" min="35" style="0" width="96"/>
    <col collapsed="false" customWidth="true" hidden="false" outlineLevel="0" max="36" min="36" style="0" width="72"/>
    <col collapsed="false" customWidth="true" hidden="false" outlineLevel="0" max="37" min="37" style="0" width="75"/>
    <col collapsed="false" customWidth="true" hidden="false" outlineLevel="0" max="38" min="38" style="0" width="68"/>
    <col collapsed="false" customWidth="true" hidden="false" outlineLevel="0" max="40" min="39" style="0" width="33"/>
    <col collapsed="false" customWidth="true" hidden="false" outlineLevel="0" max="41" min="41" style="0" width="100"/>
    <col collapsed="false" customWidth="true" hidden="false" outlineLevel="0" max="42" min="42" style="0" width="68"/>
    <col collapsed="false" customWidth="true" hidden="false" outlineLevel="0" max="43" min="43" style="0" width="40"/>
    <col collapsed="false" customWidth="true" hidden="false" outlineLevel="0" max="44" min="44" style="0" width="22"/>
    <col collapsed="false" customWidth="true" hidden="false" outlineLevel="0" max="45" min="45" style="0" width="47"/>
    <col collapsed="false" customWidth="true" hidden="false" outlineLevel="0" max="46" min="46" style="0" width="104"/>
    <col collapsed="false" customWidth="true" hidden="false" outlineLevel="0" max="47" min="47" style="0" width="120"/>
    <col collapsed="false" customWidth="true" hidden="false" outlineLevel="0" max="48" min="48" style="0" width="95"/>
    <col collapsed="false" customWidth="true" hidden="false" outlineLevel="0" max="49" min="49" style="0" width="80"/>
    <col collapsed="false" customWidth="true" hidden="false" outlineLevel="0" max="50" min="50" style="0" width="92"/>
    <col collapsed="false" customWidth="true" hidden="false" outlineLevel="0" max="51" min="51" style="0" width="34"/>
    <col collapsed="false" customWidth="true" hidden="false" outlineLevel="0" max="52" min="52" style="0" width="52"/>
    <col collapsed="false" customWidth="true" hidden="false" outlineLevel="0" max="53" min="53" style="0" width="24"/>
    <col collapsed="false" customWidth="true" hidden="false" outlineLevel="0" max="55" min="54" style="0" width="76"/>
    <col collapsed="false" customWidth="true" hidden="false" outlineLevel="0" max="56" min="56" style="0" width="84"/>
    <col collapsed="false" customWidth="true" hidden="false" outlineLevel="0" max="57" min="57" style="0" width="68"/>
    <col collapsed="false" customWidth="true" hidden="false" outlineLevel="0" max="58" min="58" style="0" width="100"/>
    <col collapsed="false" customWidth="true" hidden="false" outlineLevel="0" max="59" min="59" style="0" width="90"/>
    <col collapsed="false" customWidth="true" hidden="false" outlineLevel="0" max="60" min="60" style="0" width="70"/>
  </cols>
  <sheetData>
    <row r="1" customFormat="false" ht="54" hidden="false" customHeight="true" outlineLevel="0" collapsed="false">
      <c r="A1" s="140" t="s">
        <v>2799</v>
      </c>
      <c r="B1" s="140" t="s">
        <v>797</v>
      </c>
      <c r="C1" s="140" t="s">
        <v>4062</v>
      </c>
      <c r="D1" s="140" t="s">
        <v>3975</v>
      </c>
      <c r="E1" s="140" t="s">
        <v>3976</v>
      </c>
      <c r="F1" s="140" t="s">
        <v>3870</v>
      </c>
      <c r="G1" s="140" t="s">
        <v>3977</v>
      </c>
      <c r="H1" s="140" t="s">
        <v>3978</v>
      </c>
      <c r="I1" s="140" t="s">
        <v>3979</v>
      </c>
      <c r="J1" s="140" t="s">
        <v>3980</v>
      </c>
      <c r="K1" s="140" t="s">
        <v>3981</v>
      </c>
      <c r="L1" s="140" t="s">
        <v>3982</v>
      </c>
      <c r="M1" s="140" t="s">
        <v>3983</v>
      </c>
      <c r="N1" s="140" t="s">
        <v>3984</v>
      </c>
      <c r="O1" s="140" t="s">
        <v>2810</v>
      </c>
      <c r="P1" s="140" t="s">
        <v>3985</v>
      </c>
      <c r="Q1" s="140" t="s">
        <v>754</v>
      </c>
      <c r="R1" s="140" t="s">
        <v>756</v>
      </c>
      <c r="S1" s="140" t="s">
        <v>758</v>
      </c>
      <c r="T1" s="140" t="s">
        <v>3877</v>
      </c>
      <c r="U1" s="140" t="s">
        <v>762</v>
      </c>
      <c r="V1" s="140" t="s">
        <v>3986</v>
      </c>
      <c r="W1" s="140" t="s">
        <v>711</v>
      </c>
      <c r="X1" s="140" t="s">
        <v>713</v>
      </c>
      <c r="Y1" s="140" t="s">
        <v>707</v>
      </c>
      <c r="Z1" s="140" t="s">
        <v>3987</v>
      </c>
      <c r="AA1" s="140" t="s">
        <v>3880</v>
      </c>
      <c r="AB1" s="140" t="s">
        <v>3988</v>
      </c>
      <c r="AC1" s="140" t="s">
        <v>4063</v>
      </c>
      <c r="AD1" s="140" t="s">
        <v>238</v>
      </c>
      <c r="AE1" s="140" t="s">
        <v>4064</v>
      </c>
      <c r="AF1" s="140" t="s">
        <v>3886</v>
      </c>
      <c r="AG1" s="140" t="s">
        <v>4065</v>
      </c>
      <c r="AH1" s="140" t="s">
        <v>4066</v>
      </c>
      <c r="AI1" s="140" t="s">
        <v>4067</v>
      </c>
      <c r="AJ1" s="140" t="s">
        <v>3994</v>
      </c>
      <c r="AK1" s="140" t="s">
        <v>4068</v>
      </c>
      <c r="AL1" s="140" t="s">
        <v>3996</v>
      </c>
      <c r="AM1" s="140" t="s">
        <v>3997</v>
      </c>
      <c r="AN1" s="140" t="s">
        <v>2827</v>
      </c>
      <c r="AO1" s="140" t="s">
        <v>3998</v>
      </c>
      <c r="AP1" s="140" t="s">
        <v>4069</v>
      </c>
      <c r="AQ1" s="140" t="s">
        <v>3890</v>
      </c>
      <c r="AR1" s="140" t="s">
        <v>4070</v>
      </c>
      <c r="AS1" s="140" t="s">
        <v>4071</v>
      </c>
      <c r="AT1" s="140" t="s">
        <v>4072</v>
      </c>
      <c r="AU1" s="140" t="s">
        <v>4073</v>
      </c>
      <c r="AV1" s="140" t="s">
        <v>4074</v>
      </c>
      <c r="AW1" s="140" t="s">
        <v>4075</v>
      </c>
      <c r="AX1" s="140" t="s">
        <v>4076</v>
      </c>
      <c r="AY1" s="140" t="s">
        <v>4077</v>
      </c>
      <c r="AZ1" s="140" t="s">
        <v>4078</v>
      </c>
      <c r="BA1" s="140" t="s">
        <v>4079</v>
      </c>
      <c r="BB1" s="140" t="s">
        <v>4080</v>
      </c>
      <c r="BC1" s="140" t="s">
        <v>4081</v>
      </c>
      <c r="BD1" s="140" t="s">
        <v>4082</v>
      </c>
      <c r="BE1" s="140" t="s">
        <v>4083</v>
      </c>
      <c r="BF1" s="140" t="s">
        <v>4084</v>
      </c>
      <c r="BG1" s="140" t="s">
        <v>4085</v>
      </c>
      <c r="BH1" s="140" t="s">
        <v>4086</v>
      </c>
    </row>
    <row r="2" customFormat="false" ht="145" hidden="false" customHeight="true" outlineLevel="0" collapsed="false">
      <c r="A2" s="141" t="s">
        <v>4087</v>
      </c>
      <c r="B2" s="141" t="s">
        <v>1669</v>
      </c>
      <c r="C2" s="141" t="s">
        <v>876</v>
      </c>
      <c r="D2" s="141" t="s">
        <v>2923</v>
      </c>
      <c r="E2" s="141" t="s">
        <v>2927</v>
      </c>
      <c r="F2" s="141" t="s">
        <v>2928</v>
      </c>
      <c r="G2" s="141" t="s">
        <v>2922</v>
      </c>
      <c r="H2" s="142" t="n">
        <v>40</v>
      </c>
      <c r="I2" s="142" t="n">
        <v>40</v>
      </c>
      <c r="J2" s="142" t="n">
        <v>40</v>
      </c>
      <c r="K2" s="142" t="n">
        <v>40</v>
      </c>
      <c r="L2" s="142" t="n">
        <v>0</v>
      </c>
      <c r="M2" s="141" t="s">
        <v>4001</v>
      </c>
      <c r="N2" s="141" t="s">
        <v>3838</v>
      </c>
      <c r="O2" s="141" t="s">
        <v>4002</v>
      </c>
      <c r="P2" s="141" t="b">
        <f aca="false">TRUE()</f>
        <v>1</v>
      </c>
      <c r="Q2" s="142" t="n">
        <v>0</v>
      </c>
      <c r="R2" s="142" t="n">
        <v>0</v>
      </c>
      <c r="S2" s="142" t="n">
        <v>0</v>
      </c>
      <c r="T2" s="142" t="n">
        <v>0</v>
      </c>
      <c r="U2" s="142" t="n">
        <v>0</v>
      </c>
      <c r="V2" s="142" t="n">
        <v>0</v>
      </c>
      <c r="W2" s="142" t="n">
        <f aca="false">IF(AND(AB2="范围已验收",N2="verified"),1,0)</f>
        <v>0</v>
      </c>
      <c r="X2" s="142" t="n">
        <v>0</v>
      </c>
      <c r="Y2" s="142" t="n">
        <f aca="false">IF(AB2="范围已验收",1,0)</f>
        <v>1</v>
      </c>
      <c r="Z2" s="142" t="n">
        <f aca="false">H2*Y2</f>
        <v>40</v>
      </c>
      <c r="AA2" s="142" t="n">
        <f aca="false">IF(AND(A2&lt;&gt;"",COUNTIF($A$2:$A$21,A2)=1),1,0)</f>
        <v>1</v>
      </c>
      <c r="AB2" s="141" t="str">
        <f aca="false">IF(AND(AA2=1,H2&gt;0,I2=H2,J2=H2,K2=H2,L2=0,M2="已接受",N2=AR2,OR(AR2="needs_review",AR2="verified"),O2="full_present_file",P2=TRUE(),COUNT(Q2:V2)=6,COUNTIF(Q2:V2,0)=6,X2=0,F2&lt;&gt;"",G2&lt;&gt;"",AE2&lt;&gt;"",AW2&lt;&gt;"",BG2&lt;&gt;""),"范围已验收","范围冲突或重复")</f>
        <v>范围已验收</v>
      </c>
      <c r="AC2" s="143" t="n">
        <v>46321.7494328704</v>
      </c>
      <c r="AD2" s="141" t="str">
        <f aca="false">HYPERLINK("https://chatgpt.com/api/library/files/libfile_82152ed46a9c8191a5fa91df691ec379/download","下载B23修订1私有元数据包")</f>
        <v>下载B23修订1私有元数据包</v>
      </c>
      <c r="AE2" s="141" t="s">
        <v>4003</v>
      </c>
      <c r="AF2" s="141" t="s">
        <v>2842</v>
      </c>
      <c r="AG2" s="141" t="s">
        <v>4088</v>
      </c>
      <c r="AH2" s="141" t="s">
        <v>4089</v>
      </c>
      <c r="AI2" s="141" t="s">
        <v>4090</v>
      </c>
      <c r="AJ2" s="141" t="s">
        <v>4091</v>
      </c>
      <c r="AK2" s="141" t="s">
        <v>4092</v>
      </c>
      <c r="AL2" s="141" t="s">
        <v>4009</v>
      </c>
      <c r="AM2" s="143" t="n">
        <v>46321.6249537037</v>
      </c>
      <c r="AN2" s="143" t="n">
        <v>46321.684837963</v>
      </c>
      <c r="AO2" s="141" t="s">
        <v>4093</v>
      </c>
      <c r="AP2" s="141" t="s">
        <v>4094</v>
      </c>
      <c r="AQ2" s="141" t="s">
        <v>4095</v>
      </c>
      <c r="AR2" s="141" t="s">
        <v>3838</v>
      </c>
      <c r="AS2" s="141" t="s">
        <v>4096</v>
      </c>
      <c r="AT2" s="141" t="s">
        <v>4097</v>
      </c>
      <c r="AU2" s="141" t="s">
        <v>4098</v>
      </c>
      <c r="AV2" s="141" t="s">
        <v>4099</v>
      </c>
      <c r="AW2" s="141" t="s">
        <v>4100</v>
      </c>
      <c r="AX2" s="141" t="s">
        <v>4101</v>
      </c>
      <c r="AY2" s="141" t="s">
        <v>4102</v>
      </c>
      <c r="AZ2" s="141" t="s">
        <v>4103</v>
      </c>
      <c r="BA2" s="141" t="s">
        <v>4104</v>
      </c>
      <c r="BB2" s="141" t="s">
        <v>876</v>
      </c>
      <c r="BC2" s="141" t="s">
        <v>4105</v>
      </c>
      <c r="BD2" s="141" t="s">
        <v>4106</v>
      </c>
      <c r="BE2" s="141" t="s">
        <v>4107</v>
      </c>
      <c r="BF2" s="141" t="s">
        <v>4108</v>
      </c>
      <c r="BG2" s="141" t="s">
        <v>4109</v>
      </c>
      <c r="BH2" s="141" t="s">
        <v>4110</v>
      </c>
    </row>
    <row r="3" customFormat="false" ht="145" hidden="false" customHeight="true" outlineLevel="0" collapsed="false">
      <c r="A3" s="141" t="s">
        <v>4111</v>
      </c>
      <c r="B3" s="141" t="s">
        <v>1669</v>
      </c>
      <c r="C3" s="141" t="s">
        <v>876</v>
      </c>
      <c r="D3" s="141" t="s">
        <v>2935</v>
      </c>
      <c r="E3" s="141" t="s">
        <v>2938</v>
      </c>
      <c r="F3" s="141" t="s">
        <v>2939</v>
      </c>
      <c r="G3" s="141" t="s">
        <v>2934</v>
      </c>
      <c r="H3" s="142" t="n">
        <v>42</v>
      </c>
      <c r="I3" s="142" t="n">
        <v>42</v>
      </c>
      <c r="J3" s="142" t="n">
        <v>42</v>
      </c>
      <c r="K3" s="142" t="n">
        <v>42</v>
      </c>
      <c r="L3" s="142" t="n">
        <v>0</v>
      </c>
      <c r="M3" s="141" t="s">
        <v>4001</v>
      </c>
      <c r="N3" s="141" t="s">
        <v>3838</v>
      </c>
      <c r="O3" s="141" t="s">
        <v>4002</v>
      </c>
      <c r="P3" s="141" t="b">
        <f aca="false">TRUE()</f>
        <v>1</v>
      </c>
      <c r="Q3" s="142" t="n">
        <v>0</v>
      </c>
      <c r="R3" s="142" t="n">
        <v>0</v>
      </c>
      <c r="S3" s="142" t="n">
        <v>0</v>
      </c>
      <c r="T3" s="142" t="n">
        <v>0</v>
      </c>
      <c r="U3" s="142" t="n">
        <v>0</v>
      </c>
      <c r="V3" s="142" t="n">
        <v>0</v>
      </c>
      <c r="W3" s="142" t="n">
        <f aca="false">IF(AND(AB3="范围已验收",N3="verified"),1,0)</f>
        <v>0</v>
      </c>
      <c r="X3" s="142" t="n">
        <v>0</v>
      </c>
      <c r="Y3" s="142" t="n">
        <f aca="false">IF(AB3="范围已验收",1,0)</f>
        <v>1</v>
      </c>
      <c r="Z3" s="142" t="n">
        <f aca="false">H3*Y3</f>
        <v>42</v>
      </c>
      <c r="AA3" s="142" t="n">
        <f aca="false">IF(AND(A3&lt;&gt;"",COUNTIF($A$2:$A$21,A3)=1),1,0)</f>
        <v>1</v>
      </c>
      <c r="AB3" s="141" t="str">
        <f aca="false">IF(AND(AA3=1,H3&gt;0,I3=H3,J3=H3,K3=H3,L3=0,M3="已接受",N3=AR3,OR(AR3="needs_review",AR3="verified"),O3="full_present_file",P3=TRUE(),COUNT(Q3:V3)=6,COUNTIF(Q3:V3,0)=6,X3=0,F3&lt;&gt;"",G3&lt;&gt;"",AE3&lt;&gt;"",AW3&lt;&gt;"",BG3&lt;&gt;""),"范围已验收","范围冲突或重复")</f>
        <v>范围已验收</v>
      </c>
      <c r="AC3" s="143" t="n">
        <v>46321.7494328704</v>
      </c>
      <c r="AD3" s="141" t="str">
        <f aca="false">HYPERLINK("https://chatgpt.com/api/library/files/libfile_82152ed46a9c8191a5fa91df691ec379/download","下载B23修订1私有元数据包")</f>
        <v>下载B23修订1私有元数据包</v>
      </c>
      <c r="AE3" s="141" t="s">
        <v>4014</v>
      </c>
      <c r="AF3" s="141" t="s">
        <v>2842</v>
      </c>
      <c r="AG3" s="141" t="s">
        <v>4112</v>
      </c>
      <c r="AH3" s="141" t="s">
        <v>4113</v>
      </c>
      <c r="AI3" s="141" t="s">
        <v>4114</v>
      </c>
      <c r="AJ3" s="141" t="s">
        <v>4091</v>
      </c>
      <c r="AK3" s="141" t="s">
        <v>4115</v>
      </c>
      <c r="AL3" s="141" t="s">
        <v>4009</v>
      </c>
      <c r="AM3" s="143" t="n">
        <v>46321.6249537037</v>
      </c>
      <c r="AN3" s="143" t="n">
        <v>46321.684837963</v>
      </c>
      <c r="AO3" s="141" t="s">
        <v>4116</v>
      </c>
      <c r="AP3" s="141" t="s">
        <v>4094</v>
      </c>
      <c r="AQ3" s="141" t="s">
        <v>4095</v>
      </c>
      <c r="AR3" s="141" t="s">
        <v>3838</v>
      </c>
      <c r="AS3" s="141" t="s">
        <v>4117</v>
      </c>
      <c r="AT3" s="141" t="s">
        <v>4097</v>
      </c>
      <c r="AU3" s="141" t="s">
        <v>4118</v>
      </c>
      <c r="AV3" s="141" t="s">
        <v>4119</v>
      </c>
      <c r="AW3" s="141" t="s">
        <v>4120</v>
      </c>
      <c r="AX3" s="141" t="s">
        <v>4121</v>
      </c>
      <c r="AY3" s="141" t="s">
        <v>4122</v>
      </c>
      <c r="AZ3" s="141" t="s">
        <v>4123</v>
      </c>
      <c r="BA3" s="141" t="s">
        <v>4104</v>
      </c>
      <c r="BB3" s="141" t="s">
        <v>876</v>
      </c>
      <c r="BC3" s="141" t="s">
        <v>4124</v>
      </c>
      <c r="BD3" s="141" t="s">
        <v>4125</v>
      </c>
      <c r="BE3" s="141" t="s">
        <v>4126</v>
      </c>
      <c r="BF3" s="141" t="s">
        <v>4127</v>
      </c>
      <c r="BG3" s="141" t="s">
        <v>4128</v>
      </c>
      <c r="BH3" s="141" t="s">
        <v>4110</v>
      </c>
    </row>
    <row r="4" customFormat="false" ht="249" hidden="false" customHeight="true" outlineLevel="0" collapsed="false">
      <c r="A4" s="141" t="s">
        <v>4129</v>
      </c>
      <c r="B4" s="141" t="s">
        <v>1669</v>
      </c>
      <c r="C4" s="141" t="s">
        <v>876</v>
      </c>
      <c r="D4" s="141" t="s">
        <v>2945</v>
      </c>
      <c r="E4" s="141" t="s">
        <v>2949</v>
      </c>
      <c r="F4" s="141" t="s">
        <v>2950</v>
      </c>
      <c r="G4" s="141" t="s">
        <v>2944</v>
      </c>
      <c r="H4" s="142" t="n">
        <v>44</v>
      </c>
      <c r="I4" s="142" t="n">
        <v>44</v>
      </c>
      <c r="J4" s="142" t="n">
        <v>44</v>
      </c>
      <c r="K4" s="142" t="n">
        <v>44</v>
      </c>
      <c r="L4" s="142" t="n">
        <v>0</v>
      </c>
      <c r="M4" s="141" t="s">
        <v>4001</v>
      </c>
      <c r="N4" s="141" t="s">
        <v>3826</v>
      </c>
      <c r="O4" s="141" t="s">
        <v>4002</v>
      </c>
      <c r="P4" s="141" t="b">
        <f aca="false">TRUE()</f>
        <v>1</v>
      </c>
      <c r="Q4" s="142" t="n">
        <v>0</v>
      </c>
      <c r="R4" s="142" t="n">
        <v>0</v>
      </c>
      <c r="S4" s="142" t="n">
        <v>0</v>
      </c>
      <c r="T4" s="142" t="n">
        <v>0</v>
      </c>
      <c r="U4" s="142" t="n">
        <v>0</v>
      </c>
      <c r="V4" s="142" t="n">
        <v>0</v>
      </c>
      <c r="W4" s="142" t="n">
        <f aca="false">IF(AND(AB4="范围已验收",N4="verified"),1,0)</f>
        <v>1</v>
      </c>
      <c r="X4" s="142" t="n">
        <v>0</v>
      </c>
      <c r="Y4" s="142" t="n">
        <f aca="false">IF(AB4="范围已验收",1,0)</f>
        <v>1</v>
      </c>
      <c r="Z4" s="142" t="n">
        <f aca="false">H4*Y4</f>
        <v>44</v>
      </c>
      <c r="AA4" s="142" t="n">
        <f aca="false">IF(AND(A4&lt;&gt;"",COUNTIF($A$2:$A$21,A4)=1),1,0)</f>
        <v>1</v>
      </c>
      <c r="AB4" s="141" t="str">
        <f aca="false">IF(AND(AA4=1,H4&gt;0,I4=H4,J4=H4,K4=H4,L4=0,M4="已接受",N4=AR4,OR(AR4="needs_review",AR4="verified"),O4="full_present_file",P4=TRUE(),COUNT(Q4:V4)=6,COUNTIF(Q4:V4,0)=6,X4=0,F4&lt;&gt;"",G4&lt;&gt;"",AE4&lt;&gt;"",AW4&lt;&gt;"",BG4&lt;&gt;""),"范围已验收","范围冲突或重复")</f>
        <v>范围已验收</v>
      </c>
      <c r="AC4" s="143" t="n">
        <v>46321.7494328704</v>
      </c>
      <c r="AD4" s="141" t="str">
        <f aca="false">HYPERLINK("https://chatgpt.com/api/library/files/libfile_82152ed46a9c8191a5fa91df691ec379/download","下载B23修订1私有元数据包")</f>
        <v>下载B23修订1私有元数据包</v>
      </c>
      <c r="AE4" s="141" t="s">
        <v>4021</v>
      </c>
      <c r="AF4" s="141" t="s">
        <v>2842</v>
      </c>
      <c r="AG4" s="141" t="s">
        <v>4130</v>
      </c>
      <c r="AH4" s="141" t="s">
        <v>4089</v>
      </c>
      <c r="AI4" s="141" t="s">
        <v>4131</v>
      </c>
      <c r="AJ4" s="141" t="s">
        <v>4091</v>
      </c>
      <c r="AK4" s="141" t="s">
        <v>4132</v>
      </c>
      <c r="AL4" s="141" t="s">
        <v>4009</v>
      </c>
      <c r="AM4" s="143" t="n">
        <v>46321.6249537037</v>
      </c>
      <c r="AN4" s="143" t="n">
        <v>46321.684837963</v>
      </c>
      <c r="AO4" s="141" t="s">
        <v>4133</v>
      </c>
      <c r="AP4" s="141" t="s">
        <v>4094</v>
      </c>
      <c r="AQ4" s="141" t="s">
        <v>4095</v>
      </c>
      <c r="AR4" s="141" t="s">
        <v>3826</v>
      </c>
      <c r="AS4" s="141" t="s">
        <v>4134</v>
      </c>
      <c r="AT4" s="141" t="s">
        <v>4097</v>
      </c>
      <c r="AU4" s="141" t="s">
        <v>4135</v>
      </c>
      <c r="AV4" s="141" t="s">
        <v>4136</v>
      </c>
      <c r="AW4" s="141" t="s">
        <v>4137</v>
      </c>
      <c r="AX4" s="141" t="s">
        <v>4138</v>
      </c>
      <c r="AY4" s="141" t="s">
        <v>4139</v>
      </c>
      <c r="AZ4" s="141" t="s">
        <v>4104</v>
      </c>
      <c r="BA4" s="141" t="s">
        <v>4104</v>
      </c>
      <c r="BB4" s="141" t="s">
        <v>876</v>
      </c>
      <c r="BC4" s="141" t="s">
        <v>4140</v>
      </c>
      <c r="BD4" s="141" t="s">
        <v>4141</v>
      </c>
      <c r="BE4" s="141" t="s">
        <v>4142</v>
      </c>
      <c r="BF4" s="141" t="s">
        <v>4143</v>
      </c>
      <c r="BG4" s="141" t="s">
        <v>4144</v>
      </c>
      <c r="BH4" s="141" t="s">
        <v>4145</v>
      </c>
    </row>
    <row r="5" customFormat="false" ht="132" hidden="false" customHeight="true" outlineLevel="0" collapsed="false">
      <c r="A5" s="141" t="s">
        <v>4146</v>
      </c>
      <c r="B5" s="141" t="s">
        <v>1669</v>
      </c>
      <c r="C5" s="141" t="s">
        <v>876</v>
      </c>
      <c r="D5" s="141" t="s">
        <v>2970</v>
      </c>
      <c r="E5" s="141" t="s">
        <v>2973</v>
      </c>
      <c r="F5" s="141" t="s">
        <v>2974</v>
      </c>
      <c r="G5" s="141" t="s">
        <v>2969</v>
      </c>
      <c r="H5" s="142" t="n">
        <v>38</v>
      </c>
      <c r="I5" s="142" t="n">
        <v>38</v>
      </c>
      <c r="J5" s="142" t="n">
        <v>38</v>
      </c>
      <c r="K5" s="142" t="n">
        <v>38</v>
      </c>
      <c r="L5" s="142" t="n">
        <v>0</v>
      </c>
      <c r="M5" s="141" t="s">
        <v>4001</v>
      </c>
      <c r="N5" s="141" t="s">
        <v>3838</v>
      </c>
      <c r="O5" s="141" t="s">
        <v>4002</v>
      </c>
      <c r="P5" s="141" t="b">
        <f aca="false">TRUE()</f>
        <v>1</v>
      </c>
      <c r="Q5" s="142" t="n">
        <v>0</v>
      </c>
      <c r="R5" s="142" t="n">
        <v>0</v>
      </c>
      <c r="S5" s="142" t="n">
        <v>0</v>
      </c>
      <c r="T5" s="142" t="n">
        <v>0</v>
      </c>
      <c r="U5" s="142" t="n">
        <v>0</v>
      </c>
      <c r="V5" s="142" t="n">
        <v>0</v>
      </c>
      <c r="W5" s="142" t="n">
        <f aca="false">IF(AND(AB5="范围已验收",N5="verified"),1,0)</f>
        <v>0</v>
      </c>
      <c r="X5" s="142" t="n">
        <v>0</v>
      </c>
      <c r="Y5" s="142" t="n">
        <f aca="false">IF(AB5="范围已验收",1,0)</f>
        <v>1</v>
      </c>
      <c r="Z5" s="142" t="n">
        <f aca="false">H5*Y5</f>
        <v>38</v>
      </c>
      <c r="AA5" s="142" t="n">
        <f aca="false">IF(AND(A5&lt;&gt;"",COUNTIF($A$2:$A$21,A5)=1),1,0)</f>
        <v>1</v>
      </c>
      <c r="AB5" s="141" t="str">
        <f aca="false">IF(AND(AA5=1,H5&gt;0,I5=H5,J5=H5,K5=H5,L5=0,M5="已接受",N5=AR5,OR(AR5="needs_review",AR5="verified"),O5="full_present_file",P5=TRUE(),COUNT(Q5:V5)=6,COUNTIF(Q5:V5,0)=6,X5=0,F5&lt;&gt;"",G5&lt;&gt;"",AE5&lt;&gt;"",AW5&lt;&gt;"",BG5&lt;&gt;""),"范围已验收","范围冲突或重复")</f>
        <v>范围已验收</v>
      </c>
      <c r="AC5" s="143" t="n">
        <v>46321.7494328704</v>
      </c>
      <c r="AD5" s="141" t="str">
        <f aca="false">HYPERLINK("https://chatgpt.com/api/library/files/libfile_82152ed46a9c8191a5fa91df691ec379/download","下载B23修订1私有元数据包")</f>
        <v>下载B23修订1私有元数据包</v>
      </c>
      <c r="AE5" s="141" t="s">
        <v>4028</v>
      </c>
      <c r="AF5" s="141" t="s">
        <v>2842</v>
      </c>
      <c r="AG5" s="141" t="s">
        <v>4147</v>
      </c>
      <c r="AH5" s="141" t="s">
        <v>4113</v>
      </c>
      <c r="AI5" s="141" t="s">
        <v>4148</v>
      </c>
      <c r="AJ5" s="141" t="s">
        <v>4091</v>
      </c>
      <c r="AK5" s="141" t="s">
        <v>4149</v>
      </c>
      <c r="AL5" s="141" t="s">
        <v>4009</v>
      </c>
      <c r="AM5" s="143" t="n">
        <v>46321.6249537037</v>
      </c>
      <c r="AN5" s="143" t="n">
        <v>46321.684837963</v>
      </c>
      <c r="AO5" s="141" t="s">
        <v>4150</v>
      </c>
      <c r="AP5" s="141" t="s">
        <v>4094</v>
      </c>
      <c r="AQ5" s="141" t="s">
        <v>4095</v>
      </c>
      <c r="AR5" s="141" t="s">
        <v>3838</v>
      </c>
      <c r="AS5" s="141" t="s">
        <v>4151</v>
      </c>
      <c r="AT5" s="141" t="s">
        <v>4152</v>
      </c>
      <c r="AU5" s="141" t="s">
        <v>4153</v>
      </c>
      <c r="AV5" s="141" t="s">
        <v>4119</v>
      </c>
      <c r="AW5" s="141" t="s">
        <v>4154</v>
      </c>
      <c r="AX5" s="141" t="s">
        <v>4155</v>
      </c>
      <c r="AY5" s="141" t="s">
        <v>4156</v>
      </c>
      <c r="AZ5" s="141" t="s">
        <v>4157</v>
      </c>
      <c r="BA5" s="141" t="s">
        <v>4104</v>
      </c>
      <c r="BB5" s="141" t="s">
        <v>876</v>
      </c>
      <c r="BC5" s="141" t="s">
        <v>4158</v>
      </c>
      <c r="BD5" s="141" t="s">
        <v>4159</v>
      </c>
      <c r="BE5" s="141" t="s">
        <v>4160</v>
      </c>
      <c r="BF5" s="141" t="s">
        <v>4161</v>
      </c>
      <c r="BG5" s="141" t="s">
        <v>4162</v>
      </c>
      <c r="BH5" s="141" t="s">
        <v>4145</v>
      </c>
    </row>
    <row r="6" customFormat="false" ht="145" hidden="false" customHeight="true" outlineLevel="0" collapsed="false">
      <c r="A6" s="141" t="s">
        <v>4163</v>
      </c>
      <c r="B6" s="141" t="s">
        <v>1669</v>
      </c>
      <c r="C6" s="141" t="s">
        <v>876</v>
      </c>
      <c r="D6" s="141" t="s">
        <v>2981</v>
      </c>
      <c r="E6" s="141" t="s">
        <v>2984</v>
      </c>
      <c r="F6" s="141" t="s">
        <v>2985</v>
      </c>
      <c r="G6" s="141" t="s">
        <v>2980</v>
      </c>
      <c r="H6" s="142" t="n">
        <v>42</v>
      </c>
      <c r="I6" s="142" t="n">
        <v>42</v>
      </c>
      <c r="J6" s="142" t="n">
        <v>42</v>
      </c>
      <c r="K6" s="142" t="n">
        <v>42</v>
      </c>
      <c r="L6" s="142" t="n">
        <v>0</v>
      </c>
      <c r="M6" s="141" t="s">
        <v>4001</v>
      </c>
      <c r="N6" s="141" t="s">
        <v>3826</v>
      </c>
      <c r="O6" s="141" t="s">
        <v>4002</v>
      </c>
      <c r="P6" s="141" t="b">
        <f aca="false">TRUE()</f>
        <v>1</v>
      </c>
      <c r="Q6" s="142" t="n">
        <v>0</v>
      </c>
      <c r="R6" s="142" t="n">
        <v>0</v>
      </c>
      <c r="S6" s="142" t="n">
        <v>0</v>
      </c>
      <c r="T6" s="142" t="n">
        <v>0</v>
      </c>
      <c r="U6" s="142" t="n">
        <v>0</v>
      </c>
      <c r="V6" s="142" t="n">
        <v>0</v>
      </c>
      <c r="W6" s="142" t="n">
        <f aca="false">IF(AND(AB6="范围已验收",N6="verified"),1,0)</f>
        <v>1</v>
      </c>
      <c r="X6" s="142" t="n">
        <v>0</v>
      </c>
      <c r="Y6" s="142" t="n">
        <f aca="false">IF(AB6="范围已验收",1,0)</f>
        <v>1</v>
      </c>
      <c r="Z6" s="142" t="n">
        <f aca="false">H6*Y6</f>
        <v>42</v>
      </c>
      <c r="AA6" s="142" t="n">
        <f aca="false">IF(AND(A6&lt;&gt;"",COUNTIF($A$2:$A$21,A6)=1),1,0)</f>
        <v>1</v>
      </c>
      <c r="AB6" s="141" t="str">
        <f aca="false">IF(AND(AA6=1,H6&gt;0,I6=H6,J6=H6,K6=H6,L6=0,M6="已接受",N6=AR6,OR(AR6="needs_review",AR6="verified"),O6="full_present_file",P6=TRUE(),COUNT(Q6:V6)=6,COUNTIF(Q6:V6,0)=6,X6=0,F6&lt;&gt;"",G6&lt;&gt;"",AE6&lt;&gt;"",AW6&lt;&gt;"",BG6&lt;&gt;""),"范围已验收","范围冲突或重复")</f>
        <v>范围已验收</v>
      </c>
      <c r="AC6" s="143" t="n">
        <v>46321.7494328704</v>
      </c>
      <c r="AD6" s="141" t="str">
        <f aca="false">HYPERLINK("https://chatgpt.com/api/library/files/libfile_82152ed46a9c8191a5fa91df691ec379/download","下载B23修订1私有元数据包")</f>
        <v>下载B23修订1私有元数据包</v>
      </c>
      <c r="AE6" s="141" t="s">
        <v>4035</v>
      </c>
      <c r="AF6" s="141" t="s">
        <v>2842</v>
      </c>
      <c r="AG6" s="141" t="s">
        <v>4130</v>
      </c>
      <c r="AH6" s="141" t="s">
        <v>4164</v>
      </c>
      <c r="AI6" s="141" t="s">
        <v>4165</v>
      </c>
      <c r="AJ6" s="141" t="s">
        <v>4091</v>
      </c>
      <c r="AK6" s="141" t="s">
        <v>4166</v>
      </c>
      <c r="AL6" s="141" t="s">
        <v>4009</v>
      </c>
      <c r="AM6" s="143" t="n">
        <v>46321.6249537037</v>
      </c>
      <c r="AN6" s="143" t="n">
        <v>46321.684837963</v>
      </c>
      <c r="AO6" s="141" t="s">
        <v>4167</v>
      </c>
      <c r="AP6" s="141" t="s">
        <v>4094</v>
      </c>
      <c r="AQ6" s="141" t="s">
        <v>4095</v>
      </c>
      <c r="AR6" s="141" t="s">
        <v>3826</v>
      </c>
      <c r="AS6" s="141" t="s">
        <v>4134</v>
      </c>
      <c r="AT6" s="141" t="s">
        <v>4168</v>
      </c>
      <c r="AU6" s="141" t="s">
        <v>4169</v>
      </c>
      <c r="AV6" s="141" t="s">
        <v>4170</v>
      </c>
      <c r="AW6" s="141" t="s">
        <v>4171</v>
      </c>
      <c r="AX6" s="141" t="s">
        <v>4172</v>
      </c>
      <c r="AY6" s="141" t="s">
        <v>4173</v>
      </c>
      <c r="AZ6" s="141" t="s">
        <v>4103</v>
      </c>
      <c r="BA6" s="141" t="s">
        <v>4104</v>
      </c>
      <c r="BB6" s="141" t="s">
        <v>876</v>
      </c>
      <c r="BC6" s="141" t="s">
        <v>4174</v>
      </c>
      <c r="BD6" s="141" t="s">
        <v>4175</v>
      </c>
      <c r="BE6" s="141" t="s">
        <v>4176</v>
      </c>
      <c r="BF6" s="141" t="s">
        <v>4177</v>
      </c>
      <c r="BG6" s="141" t="s">
        <v>4178</v>
      </c>
      <c r="BH6" s="141" t="s">
        <v>4145</v>
      </c>
    </row>
    <row r="7" customFormat="false" ht="145" hidden="false" customHeight="true" outlineLevel="0" collapsed="false">
      <c r="A7" s="141" t="s">
        <v>4179</v>
      </c>
      <c r="B7" s="141" t="s">
        <v>1669</v>
      </c>
      <c r="C7" s="141" t="s">
        <v>876</v>
      </c>
      <c r="D7" s="141" t="s">
        <v>2991</v>
      </c>
      <c r="E7" s="141" t="s">
        <v>2994</v>
      </c>
      <c r="F7" s="141" t="s">
        <v>2995</v>
      </c>
      <c r="G7" s="141" t="s">
        <v>2990</v>
      </c>
      <c r="H7" s="142" t="n">
        <v>58</v>
      </c>
      <c r="I7" s="142" t="n">
        <v>58</v>
      </c>
      <c r="J7" s="142" t="n">
        <v>58</v>
      </c>
      <c r="K7" s="142" t="n">
        <v>58</v>
      </c>
      <c r="L7" s="142" t="n">
        <v>0</v>
      </c>
      <c r="M7" s="141" t="s">
        <v>4001</v>
      </c>
      <c r="N7" s="141" t="s">
        <v>3838</v>
      </c>
      <c r="O7" s="141" t="s">
        <v>4002</v>
      </c>
      <c r="P7" s="141" t="b">
        <f aca="false">TRUE()</f>
        <v>1</v>
      </c>
      <c r="Q7" s="142" t="n">
        <v>0</v>
      </c>
      <c r="R7" s="142" t="n">
        <v>0</v>
      </c>
      <c r="S7" s="142" t="n">
        <v>0</v>
      </c>
      <c r="T7" s="142" t="n">
        <v>0</v>
      </c>
      <c r="U7" s="142" t="n">
        <v>0</v>
      </c>
      <c r="V7" s="142" t="n">
        <v>0</v>
      </c>
      <c r="W7" s="142" t="n">
        <f aca="false">IF(AND(AB7="范围已验收",N7="verified"),1,0)</f>
        <v>0</v>
      </c>
      <c r="X7" s="142" t="n">
        <v>0</v>
      </c>
      <c r="Y7" s="142" t="n">
        <f aca="false">IF(AB7="范围已验收",1,0)</f>
        <v>1</v>
      </c>
      <c r="Z7" s="142" t="n">
        <f aca="false">H7*Y7</f>
        <v>58</v>
      </c>
      <c r="AA7" s="142" t="n">
        <f aca="false">IF(AND(A7&lt;&gt;"",COUNTIF($A$2:$A$21,A7)=1),1,0)</f>
        <v>1</v>
      </c>
      <c r="AB7" s="141" t="str">
        <f aca="false">IF(AND(AA7=1,H7&gt;0,I7=H7,J7=H7,K7=H7,L7=0,M7="已接受",N7=AR7,OR(AR7="needs_review",AR7="verified"),O7="full_present_file",P7=TRUE(),COUNT(Q7:V7)=6,COUNTIF(Q7:V7,0)=6,X7=0,F7&lt;&gt;"",G7&lt;&gt;"",AE7&lt;&gt;"",AW7&lt;&gt;"",BG7&lt;&gt;""),"范围已验收","范围冲突或重复")</f>
        <v>范围已验收</v>
      </c>
      <c r="AC7" s="143" t="n">
        <v>46321.7494328704</v>
      </c>
      <c r="AD7" s="141" t="str">
        <f aca="false">HYPERLINK("https://chatgpt.com/api/library/files/libfile_82152ed46a9c8191a5fa91df691ec379/download","下载B23修订1私有元数据包")</f>
        <v>下载B23修订1私有元数据包</v>
      </c>
      <c r="AE7" s="141" t="s">
        <v>4042</v>
      </c>
      <c r="AF7" s="141" t="s">
        <v>2842</v>
      </c>
      <c r="AG7" s="141" t="s">
        <v>4180</v>
      </c>
      <c r="AH7" s="141" t="s">
        <v>4164</v>
      </c>
      <c r="AI7" s="141" t="s">
        <v>4181</v>
      </c>
      <c r="AJ7" s="141" t="s">
        <v>4091</v>
      </c>
      <c r="AK7" s="141" t="s">
        <v>4182</v>
      </c>
      <c r="AL7" s="141" t="s">
        <v>4009</v>
      </c>
      <c r="AM7" s="143" t="n">
        <v>46321.6249537037</v>
      </c>
      <c r="AN7" s="143" t="n">
        <v>46321.684837963</v>
      </c>
      <c r="AO7" s="141" t="s">
        <v>4183</v>
      </c>
      <c r="AP7" s="141" t="s">
        <v>4094</v>
      </c>
      <c r="AQ7" s="141" t="s">
        <v>4095</v>
      </c>
      <c r="AR7" s="141" t="s">
        <v>3838</v>
      </c>
      <c r="AS7" s="141" t="s">
        <v>4184</v>
      </c>
      <c r="AT7" s="141" t="s">
        <v>4185</v>
      </c>
      <c r="AU7" s="141" t="s">
        <v>4186</v>
      </c>
      <c r="AV7" s="141" t="s">
        <v>4187</v>
      </c>
      <c r="AW7" s="141" t="s">
        <v>4188</v>
      </c>
      <c r="AX7" s="141" t="s">
        <v>4189</v>
      </c>
      <c r="AY7" s="141" t="s">
        <v>4190</v>
      </c>
      <c r="AZ7" s="141" t="s">
        <v>4103</v>
      </c>
      <c r="BA7" s="141" t="s">
        <v>4104</v>
      </c>
      <c r="BB7" s="141" t="s">
        <v>876</v>
      </c>
      <c r="BC7" s="141" t="s">
        <v>4191</v>
      </c>
      <c r="BD7" s="141" t="s">
        <v>4192</v>
      </c>
      <c r="BE7" s="141" t="s">
        <v>4193</v>
      </c>
      <c r="BF7" s="141" t="s">
        <v>4194</v>
      </c>
      <c r="BG7" s="141" t="s">
        <v>4195</v>
      </c>
      <c r="BH7" s="141" t="s">
        <v>4145</v>
      </c>
    </row>
    <row r="8" customFormat="false" ht="132" hidden="false" customHeight="true" outlineLevel="0" collapsed="false">
      <c r="A8" s="141" t="s">
        <v>4196</v>
      </c>
      <c r="B8" s="141" t="s">
        <v>1669</v>
      </c>
      <c r="C8" s="141" t="s">
        <v>876</v>
      </c>
      <c r="D8" s="141" t="s">
        <v>3002</v>
      </c>
      <c r="E8" s="141" t="s">
        <v>3006</v>
      </c>
      <c r="F8" s="141" t="s">
        <v>3007</v>
      </c>
      <c r="G8" s="141" t="s">
        <v>3001</v>
      </c>
      <c r="H8" s="142" t="n">
        <v>32</v>
      </c>
      <c r="I8" s="142" t="n">
        <v>32</v>
      </c>
      <c r="J8" s="142" t="n">
        <v>32</v>
      </c>
      <c r="K8" s="142" t="n">
        <v>32</v>
      </c>
      <c r="L8" s="142" t="n">
        <v>0</v>
      </c>
      <c r="M8" s="141" t="s">
        <v>4001</v>
      </c>
      <c r="N8" s="141" t="s">
        <v>3826</v>
      </c>
      <c r="O8" s="141" t="s">
        <v>4002</v>
      </c>
      <c r="P8" s="141" t="b">
        <f aca="false">TRUE()</f>
        <v>1</v>
      </c>
      <c r="Q8" s="142" t="n">
        <v>0</v>
      </c>
      <c r="R8" s="142" t="n">
        <v>0</v>
      </c>
      <c r="S8" s="142" t="n">
        <v>0</v>
      </c>
      <c r="T8" s="142" t="n">
        <v>0</v>
      </c>
      <c r="U8" s="142" t="n">
        <v>0</v>
      </c>
      <c r="V8" s="142" t="n">
        <v>0</v>
      </c>
      <c r="W8" s="142" t="n">
        <f aca="false">IF(AND(AB8="范围已验收",N8="verified"),1,0)</f>
        <v>1</v>
      </c>
      <c r="X8" s="142" t="n">
        <v>0</v>
      </c>
      <c r="Y8" s="142" t="n">
        <f aca="false">IF(AB8="范围已验收",1,0)</f>
        <v>1</v>
      </c>
      <c r="Z8" s="142" t="n">
        <f aca="false">H8*Y8</f>
        <v>32</v>
      </c>
      <c r="AA8" s="142" t="n">
        <f aca="false">IF(AND(A8&lt;&gt;"",COUNTIF($A$2:$A$21,A8)=1),1,0)</f>
        <v>1</v>
      </c>
      <c r="AB8" s="141" t="str">
        <f aca="false">IF(AND(AA8=1,H8&gt;0,I8=H8,J8=H8,K8=H8,L8=0,M8="已接受",N8=AR8,OR(AR8="needs_review",AR8="verified"),O8="full_present_file",P8=TRUE(),COUNT(Q8:V8)=6,COUNTIF(Q8:V8,0)=6,X8=0,F8&lt;&gt;"",G8&lt;&gt;"",AE8&lt;&gt;"",AW8&lt;&gt;"",BG8&lt;&gt;""),"范围已验收","范围冲突或重复")</f>
        <v>范围已验收</v>
      </c>
      <c r="AC8" s="143" t="n">
        <v>46321.7494328704</v>
      </c>
      <c r="AD8" s="141" t="str">
        <f aca="false">HYPERLINK("https://chatgpt.com/api/library/files/libfile_82152ed46a9c8191a5fa91df691ec379/download","下载B23修订1私有元数据包")</f>
        <v>下载B23修订1私有元数据包</v>
      </c>
      <c r="AE8" s="141" t="s">
        <v>4049</v>
      </c>
      <c r="AF8" s="141" t="s">
        <v>2842</v>
      </c>
      <c r="AG8" s="141" t="s">
        <v>4130</v>
      </c>
      <c r="AH8" s="141" t="s">
        <v>4113</v>
      </c>
      <c r="AI8" s="141" t="s">
        <v>4197</v>
      </c>
      <c r="AJ8" s="141" t="s">
        <v>4091</v>
      </c>
      <c r="AK8" s="141" t="s">
        <v>4198</v>
      </c>
      <c r="AL8" s="141" t="s">
        <v>4009</v>
      </c>
      <c r="AM8" s="143" t="n">
        <v>46321.6249537037</v>
      </c>
      <c r="AN8" s="143" t="n">
        <v>46321.684837963</v>
      </c>
      <c r="AO8" s="141" t="s">
        <v>4199</v>
      </c>
      <c r="AP8" s="141" t="s">
        <v>4094</v>
      </c>
      <c r="AQ8" s="141" t="s">
        <v>4095</v>
      </c>
      <c r="AR8" s="141" t="s">
        <v>3826</v>
      </c>
      <c r="AS8" s="141" t="s">
        <v>4134</v>
      </c>
      <c r="AT8" s="141" t="s">
        <v>4200</v>
      </c>
      <c r="AU8" s="141" t="s">
        <v>4201</v>
      </c>
      <c r="AV8" s="141" t="s">
        <v>4202</v>
      </c>
      <c r="AW8" s="141" t="s">
        <v>4203</v>
      </c>
      <c r="AX8" s="141" t="s">
        <v>4204</v>
      </c>
      <c r="AY8" s="141" t="s">
        <v>4205</v>
      </c>
      <c r="AZ8" s="141" t="s">
        <v>4104</v>
      </c>
      <c r="BA8" s="141" t="s">
        <v>4104</v>
      </c>
      <c r="BB8" s="141" t="s">
        <v>876</v>
      </c>
      <c r="BC8" s="141" t="s">
        <v>4206</v>
      </c>
      <c r="BD8" s="141" t="s">
        <v>4207</v>
      </c>
      <c r="BE8" s="141" t="s">
        <v>4208</v>
      </c>
      <c r="BF8" s="141" t="s">
        <v>4209</v>
      </c>
      <c r="BG8" s="141" t="s">
        <v>4210</v>
      </c>
      <c r="BH8" s="141" t="s">
        <v>4145</v>
      </c>
    </row>
    <row r="9" customFormat="false" ht="130" hidden="false" customHeight="true" outlineLevel="0" collapsed="false">
      <c r="A9" s="141" t="s">
        <v>4211</v>
      </c>
      <c r="B9" s="141" t="s">
        <v>1669</v>
      </c>
      <c r="C9" s="141" t="s">
        <v>876</v>
      </c>
      <c r="D9" s="141" t="s">
        <v>3014</v>
      </c>
      <c r="E9" s="141" t="s">
        <v>3017</v>
      </c>
      <c r="F9" s="141" t="s">
        <v>3018</v>
      </c>
      <c r="G9" s="141" t="s">
        <v>3013</v>
      </c>
      <c r="H9" s="142" t="n">
        <v>22</v>
      </c>
      <c r="I9" s="142" t="n">
        <v>22</v>
      </c>
      <c r="J9" s="142" t="n">
        <v>22</v>
      </c>
      <c r="K9" s="142" t="n">
        <v>22</v>
      </c>
      <c r="L9" s="142" t="n">
        <v>0</v>
      </c>
      <c r="M9" s="141" t="s">
        <v>4001</v>
      </c>
      <c r="N9" s="141" t="s">
        <v>3826</v>
      </c>
      <c r="O9" s="141" t="s">
        <v>4002</v>
      </c>
      <c r="P9" s="141" t="b">
        <f aca="false">TRUE()</f>
        <v>1</v>
      </c>
      <c r="Q9" s="142" t="n">
        <v>0</v>
      </c>
      <c r="R9" s="142" t="n">
        <v>0</v>
      </c>
      <c r="S9" s="142" t="n">
        <v>0</v>
      </c>
      <c r="T9" s="142" t="n">
        <v>0</v>
      </c>
      <c r="U9" s="142" t="n">
        <v>0</v>
      </c>
      <c r="V9" s="142" t="n">
        <v>0</v>
      </c>
      <c r="W9" s="142" t="n">
        <f aca="false">IF(AND(AB9="范围已验收",N9="verified"),1,0)</f>
        <v>1</v>
      </c>
      <c r="X9" s="142" t="n">
        <v>0</v>
      </c>
      <c r="Y9" s="142" t="n">
        <f aca="false">IF(AB9="范围已验收",1,0)</f>
        <v>1</v>
      </c>
      <c r="Z9" s="142" t="n">
        <f aca="false">H9*Y9</f>
        <v>22</v>
      </c>
      <c r="AA9" s="142" t="n">
        <f aca="false">IF(AND(A9&lt;&gt;"",COUNTIF($A$2:$A$21,A9)=1),1,0)</f>
        <v>1</v>
      </c>
      <c r="AB9" s="141" t="str">
        <f aca="false">IF(AND(AA9=1,H9&gt;0,I9=H9,J9=H9,K9=H9,L9=0,M9="已接受",N9=AR9,OR(AR9="needs_review",AR9="verified"),O9="full_present_file",P9=TRUE(),COUNT(Q9:V9)=6,COUNTIF(Q9:V9,0)=6,X9=0,F9&lt;&gt;"",G9&lt;&gt;"",AE9&lt;&gt;"",AW9&lt;&gt;"",BG9&lt;&gt;""),"范围已验收","范围冲突或重复")</f>
        <v>范围已验收</v>
      </c>
      <c r="AC9" s="143" t="n">
        <v>46321.7494328704</v>
      </c>
      <c r="AD9" s="141" t="str">
        <f aca="false">HYPERLINK("https://chatgpt.com/api/library/files/libfile_82152ed46a9c8191a5fa91df691ec379/download","下载B23修订1私有元数据包")</f>
        <v>下载B23修订1私有元数据包</v>
      </c>
      <c r="AE9" s="141" t="s">
        <v>4056</v>
      </c>
      <c r="AF9" s="141" t="s">
        <v>2842</v>
      </c>
      <c r="AG9" s="141" t="s">
        <v>4130</v>
      </c>
      <c r="AH9" s="141" t="s">
        <v>4164</v>
      </c>
      <c r="AI9" s="141" t="s">
        <v>4212</v>
      </c>
      <c r="AJ9" s="141" t="s">
        <v>4091</v>
      </c>
      <c r="AK9" s="141" t="s">
        <v>4213</v>
      </c>
      <c r="AL9" s="141" t="s">
        <v>4009</v>
      </c>
      <c r="AM9" s="143" t="n">
        <v>46321.6249537037</v>
      </c>
      <c r="AN9" s="143" t="n">
        <v>46321.684837963</v>
      </c>
      <c r="AO9" s="141" t="s">
        <v>4214</v>
      </c>
      <c r="AP9" s="141" t="s">
        <v>4094</v>
      </c>
      <c r="AQ9" s="141" t="s">
        <v>4095</v>
      </c>
      <c r="AR9" s="141" t="s">
        <v>3826</v>
      </c>
      <c r="AS9" s="141" t="s">
        <v>4134</v>
      </c>
      <c r="AT9" s="141" t="s">
        <v>4215</v>
      </c>
      <c r="AU9" s="141" t="s">
        <v>4216</v>
      </c>
      <c r="AV9" s="141" t="s">
        <v>4217</v>
      </c>
      <c r="AW9" s="141" t="s">
        <v>4218</v>
      </c>
      <c r="AX9" s="141" t="s">
        <v>4219</v>
      </c>
      <c r="AY9" s="141" t="s">
        <v>4220</v>
      </c>
      <c r="AZ9" s="141" t="s">
        <v>4103</v>
      </c>
      <c r="BA9" s="141" t="s">
        <v>4104</v>
      </c>
      <c r="BB9" s="141" t="s">
        <v>4221</v>
      </c>
      <c r="BC9" s="141" t="s">
        <v>4206</v>
      </c>
      <c r="BD9" s="141" t="s">
        <v>4222</v>
      </c>
      <c r="BE9" s="141" t="s">
        <v>4223</v>
      </c>
      <c r="BF9" s="141" t="s">
        <v>4224</v>
      </c>
      <c r="BG9" s="141" t="s">
        <v>4225</v>
      </c>
      <c r="BH9" s="141" t="s">
        <v>4145</v>
      </c>
    </row>
    <row r="10" customFormat="false" ht="132" hidden="false" customHeight="true" outlineLevel="0" collapsed="false">
      <c r="A10" s="141" t="s">
        <v>4226</v>
      </c>
      <c r="B10" s="141" t="s">
        <v>1669</v>
      </c>
      <c r="C10" s="141" t="s">
        <v>876</v>
      </c>
      <c r="D10" s="141" t="s">
        <v>3025</v>
      </c>
      <c r="E10" s="141" t="s">
        <v>3027</v>
      </c>
      <c r="F10" s="141" t="s">
        <v>3028</v>
      </c>
      <c r="G10" s="141" t="s">
        <v>3024</v>
      </c>
      <c r="H10" s="142" t="n">
        <v>32</v>
      </c>
      <c r="I10" s="142" t="n">
        <v>32</v>
      </c>
      <c r="J10" s="142" t="n">
        <v>32</v>
      </c>
      <c r="K10" s="142" t="n">
        <v>32</v>
      </c>
      <c r="L10" s="142" t="n">
        <v>0</v>
      </c>
      <c r="M10" s="141" t="s">
        <v>4001</v>
      </c>
      <c r="N10" s="141" t="s">
        <v>3826</v>
      </c>
      <c r="O10" s="141" t="s">
        <v>4002</v>
      </c>
      <c r="P10" s="141" t="b">
        <f aca="false">TRUE()</f>
        <v>1</v>
      </c>
      <c r="Q10" s="142" t="n">
        <v>0</v>
      </c>
      <c r="R10" s="142" t="n">
        <v>0</v>
      </c>
      <c r="S10" s="142" t="n">
        <v>0</v>
      </c>
      <c r="T10" s="142" t="n">
        <v>0</v>
      </c>
      <c r="U10" s="142" t="n">
        <v>0</v>
      </c>
      <c r="V10" s="142" t="n">
        <v>0</v>
      </c>
      <c r="W10" s="142" t="n">
        <f aca="false">IF(AND(AB10="范围已验收",N10="verified"),1,0)</f>
        <v>1</v>
      </c>
      <c r="X10" s="142" t="n">
        <v>0</v>
      </c>
      <c r="Y10" s="142" t="n">
        <f aca="false">IF(AB10="范围已验收",1,0)</f>
        <v>1</v>
      </c>
      <c r="Z10" s="142" t="n">
        <f aca="false">H10*Y10</f>
        <v>32</v>
      </c>
      <c r="AA10" s="142" t="n">
        <f aca="false">IF(AND(A10&lt;&gt;"",COUNTIF($A$2:$A$21,A10)=1),1,0)</f>
        <v>1</v>
      </c>
      <c r="AB10" s="141" t="str">
        <f aca="false">IF(AND(AA10=1,H10&gt;0,I10=H10,J10=H10,K10=H10,L10=0,M10="已接受",N10=AR10,OR(AR10="needs_review",AR10="verified"),O10="full_present_file",P10=TRUE(),COUNT(Q10:V10)=6,COUNTIF(Q10:V10,0)=6,X10=0,F10&lt;&gt;"",G10&lt;&gt;"",AE10&lt;&gt;"",AW10&lt;&gt;"",BG10&lt;&gt;""),"范围已验收","范围冲突或重复")</f>
        <v>范围已验收</v>
      </c>
      <c r="AC10" s="143" t="n">
        <v>46321.7494328704</v>
      </c>
      <c r="AD10" s="141" t="str">
        <f aca="false">HYPERLINK("https://chatgpt.com/api/library/files/libfile_82152ed46a9c8191a5fa91df691ec379/download","下载B23修订1私有元数据包")</f>
        <v>下载B23修订1私有元数据包</v>
      </c>
      <c r="AE10" s="141" t="s">
        <v>4227</v>
      </c>
      <c r="AF10" s="141" t="s">
        <v>2842</v>
      </c>
      <c r="AG10" s="141" t="s">
        <v>4130</v>
      </c>
      <c r="AH10" s="141" t="s">
        <v>4164</v>
      </c>
      <c r="AI10" s="141" t="s">
        <v>4228</v>
      </c>
      <c r="AJ10" s="141" t="s">
        <v>4091</v>
      </c>
      <c r="AK10" s="141" t="s">
        <v>4229</v>
      </c>
      <c r="AL10" s="141" t="s">
        <v>4009</v>
      </c>
      <c r="AM10" s="143" t="n">
        <v>46321.6249537037</v>
      </c>
      <c r="AN10" s="143" t="n">
        <v>46321.684837963</v>
      </c>
      <c r="AO10" s="141" t="s">
        <v>4230</v>
      </c>
      <c r="AP10" s="141" t="s">
        <v>4094</v>
      </c>
      <c r="AQ10" s="141" t="s">
        <v>4095</v>
      </c>
      <c r="AR10" s="141" t="s">
        <v>3826</v>
      </c>
      <c r="AS10" s="141" t="s">
        <v>4134</v>
      </c>
      <c r="AT10" s="141" t="s">
        <v>4231</v>
      </c>
      <c r="AU10" s="141" t="s">
        <v>4232</v>
      </c>
      <c r="AV10" s="141" t="s">
        <v>4233</v>
      </c>
      <c r="AW10" s="141" t="s">
        <v>4234</v>
      </c>
      <c r="AX10" s="141" t="s">
        <v>4235</v>
      </c>
      <c r="AY10" s="141" t="s">
        <v>4236</v>
      </c>
      <c r="AZ10" s="141" t="s">
        <v>4104</v>
      </c>
      <c r="BA10" s="141" t="s">
        <v>4104</v>
      </c>
      <c r="BB10" s="141" t="s">
        <v>876</v>
      </c>
      <c r="BC10" s="141" t="s">
        <v>4237</v>
      </c>
      <c r="BD10" s="141" t="s">
        <v>4238</v>
      </c>
      <c r="BE10" s="141" t="s">
        <v>4239</v>
      </c>
      <c r="BF10" s="141" t="s">
        <v>4240</v>
      </c>
      <c r="BG10" s="141" t="s">
        <v>4241</v>
      </c>
      <c r="BH10" s="141" t="s">
        <v>4145</v>
      </c>
    </row>
    <row r="11" customFormat="false" ht="145" hidden="false" customHeight="true" outlineLevel="0" collapsed="false">
      <c r="A11" s="141" t="s">
        <v>4242</v>
      </c>
      <c r="B11" s="141" t="s">
        <v>1669</v>
      </c>
      <c r="C11" s="141" t="s">
        <v>876</v>
      </c>
      <c r="D11" s="141" t="s">
        <v>3035</v>
      </c>
      <c r="E11" s="141" t="s">
        <v>3038</v>
      </c>
      <c r="F11" s="141" t="s">
        <v>3039</v>
      </c>
      <c r="G11" s="141" t="s">
        <v>3034</v>
      </c>
      <c r="H11" s="142" t="n">
        <v>89</v>
      </c>
      <c r="I11" s="142" t="n">
        <v>89</v>
      </c>
      <c r="J11" s="142" t="n">
        <v>89</v>
      </c>
      <c r="K11" s="142" t="n">
        <v>89</v>
      </c>
      <c r="L11" s="142" t="n">
        <v>0</v>
      </c>
      <c r="M11" s="141" t="s">
        <v>4001</v>
      </c>
      <c r="N11" s="141" t="s">
        <v>3838</v>
      </c>
      <c r="O11" s="141" t="s">
        <v>4002</v>
      </c>
      <c r="P11" s="141" t="b">
        <f aca="false">TRUE()</f>
        <v>1</v>
      </c>
      <c r="Q11" s="142" t="n">
        <v>0</v>
      </c>
      <c r="R11" s="142" t="n">
        <v>0</v>
      </c>
      <c r="S11" s="142" t="n">
        <v>0</v>
      </c>
      <c r="T11" s="142" t="n">
        <v>0</v>
      </c>
      <c r="U11" s="142" t="n">
        <v>0</v>
      </c>
      <c r="V11" s="142" t="n">
        <v>0</v>
      </c>
      <c r="W11" s="142" t="n">
        <f aca="false">IF(AND(AB11="范围已验收",N11="verified"),1,0)</f>
        <v>0</v>
      </c>
      <c r="X11" s="142" t="n">
        <v>0</v>
      </c>
      <c r="Y11" s="142" t="n">
        <f aca="false">IF(AB11="范围已验收",1,0)</f>
        <v>1</v>
      </c>
      <c r="Z11" s="142" t="n">
        <f aca="false">H11*Y11</f>
        <v>89</v>
      </c>
      <c r="AA11" s="142" t="n">
        <f aca="false">IF(AND(A11&lt;&gt;"",COUNTIF($A$2:$A$21,A11)=1),1,0)</f>
        <v>1</v>
      </c>
      <c r="AB11" s="141" t="str">
        <f aca="false">IF(AND(AA11=1,H11&gt;0,I11=H11,J11=H11,K11=H11,L11=0,M11="已接受",N11=AR11,OR(AR11="needs_review",AR11="verified"),O11="full_present_file",P11=TRUE(),COUNT(Q11:V11)=6,COUNTIF(Q11:V11,0)=6,X11=0,F11&lt;&gt;"",G11&lt;&gt;"",AE11&lt;&gt;"",AW11&lt;&gt;"",BG11&lt;&gt;""),"范围已验收","范围冲突或重复")</f>
        <v>范围已验收</v>
      </c>
      <c r="AC11" s="143" t="n">
        <v>46321.7494328704</v>
      </c>
      <c r="AD11" s="141" t="str">
        <f aca="false">HYPERLINK("https://chatgpt.com/api/library/files/libfile_82152ed46a9c8191a5fa91df691ec379/download","下载B23修订1私有元数据包")</f>
        <v>下载B23修订1私有元数据包</v>
      </c>
      <c r="AE11" s="141" t="s">
        <v>4243</v>
      </c>
      <c r="AF11" s="141" t="s">
        <v>2842</v>
      </c>
      <c r="AG11" s="141" t="s">
        <v>4244</v>
      </c>
      <c r="AH11" s="141" t="s">
        <v>4164</v>
      </c>
      <c r="AI11" s="141" t="s">
        <v>4245</v>
      </c>
      <c r="AJ11" s="141" t="s">
        <v>4091</v>
      </c>
      <c r="AK11" s="141" t="s">
        <v>4246</v>
      </c>
      <c r="AL11" s="141" t="s">
        <v>4009</v>
      </c>
      <c r="AM11" s="143" t="n">
        <v>46321.6249537037</v>
      </c>
      <c r="AN11" s="143" t="n">
        <v>46321.684837963</v>
      </c>
      <c r="AO11" s="141" t="s">
        <v>4247</v>
      </c>
      <c r="AP11" s="141" t="s">
        <v>4094</v>
      </c>
      <c r="AQ11" s="141" t="s">
        <v>4095</v>
      </c>
      <c r="AR11" s="141" t="s">
        <v>3838</v>
      </c>
      <c r="AS11" s="141" t="s">
        <v>4248</v>
      </c>
      <c r="AT11" s="141" t="s">
        <v>4249</v>
      </c>
      <c r="AU11" s="141" t="s">
        <v>4250</v>
      </c>
      <c r="AV11" s="141" t="s">
        <v>4251</v>
      </c>
      <c r="AW11" s="141" t="s">
        <v>4252</v>
      </c>
      <c r="AX11" s="141" t="s">
        <v>4253</v>
      </c>
      <c r="AY11" s="141" t="s">
        <v>4254</v>
      </c>
      <c r="AZ11" s="141" t="s">
        <v>4104</v>
      </c>
      <c r="BA11" s="141" t="s">
        <v>4104</v>
      </c>
      <c r="BB11" s="141" t="s">
        <v>4221</v>
      </c>
      <c r="BC11" s="141" t="s">
        <v>4255</v>
      </c>
      <c r="BD11" s="141" t="s">
        <v>4256</v>
      </c>
      <c r="BE11" s="141" t="s">
        <v>4257</v>
      </c>
      <c r="BF11" s="141" t="s">
        <v>4258</v>
      </c>
      <c r="BG11" s="141" t="s">
        <v>4259</v>
      </c>
      <c r="BH11" s="141" t="s">
        <v>4145</v>
      </c>
    </row>
    <row r="12" customFormat="false" ht="301" hidden="false" customHeight="true" outlineLevel="0" collapsed="false">
      <c r="A12" s="141" t="s">
        <v>4260</v>
      </c>
      <c r="B12" s="141" t="s">
        <v>1669</v>
      </c>
      <c r="C12" s="141" t="s">
        <v>876</v>
      </c>
      <c r="D12" s="141" t="s">
        <v>3046</v>
      </c>
      <c r="E12" s="141" t="s">
        <v>3049</v>
      </c>
      <c r="F12" s="141" t="s">
        <v>3050</v>
      </c>
      <c r="G12" s="141" t="s">
        <v>3045</v>
      </c>
      <c r="H12" s="142" t="n">
        <v>158</v>
      </c>
      <c r="I12" s="142" t="n">
        <v>158</v>
      </c>
      <c r="J12" s="142" t="n">
        <v>158</v>
      </c>
      <c r="K12" s="142" t="n">
        <v>158</v>
      </c>
      <c r="L12" s="142" t="n">
        <v>0</v>
      </c>
      <c r="M12" s="141" t="s">
        <v>4001</v>
      </c>
      <c r="N12" s="141" t="s">
        <v>3838</v>
      </c>
      <c r="O12" s="141" t="s">
        <v>4002</v>
      </c>
      <c r="P12" s="141" t="b">
        <f aca="false">TRUE()</f>
        <v>1</v>
      </c>
      <c r="Q12" s="142" t="n">
        <v>0</v>
      </c>
      <c r="R12" s="142" t="n">
        <v>0</v>
      </c>
      <c r="S12" s="142" t="n">
        <v>0</v>
      </c>
      <c r="T12" s="142" t="n">
        <v>0</v>
      </c>
      <c r="U12" s="142" t="n">
        <v>0</v>
      </c>
      <c r="V12" s="142" t="n">
        <v>0</v>
      </c>
      <c r="W12" s="142" t="n">
        <f aca="false">IF(AND(AB12="范围已验收",N12="verified"),1,0)</f>
        <v>0</v>
      </c>
      <c r="X12" s="142" t="n">
        <v>0</v>
      </c>
      <c r="Y12" s="142" t="n">
        <f aca="false">IF(AB12="范围已验收",1,0)</f>
        <v>1</v>
      </c>
      <c r="Z12" s="142" t="n">
        <f aca="false">H12*Y12</f>
        <v>158</v>
      </c>
      <c r="AA12" s="142" t="n">
        <f aca="false">IF(AND(A12&lt;&gt;"",COUNTIF($A$2:$A$21,A12)=1),1,0)</f>
        <v>1</v>
      </c>
      <c r="AB12" s="141" t="str">
        <f aca="false">IF(AND(AA12=1,H12&gt;0,I12=H12,J12=H12,K12=H12,L12=0,M12="已接受",N12=AR12,OR(AR12="needs_review",AR12="verified"),O12="full_present_file",P12=TRUE(),COUNT(Q12:V12)=6,COUNTIF(Q12:V12,0)=6,X12=0,F12&lt;&gt;"",G12&lt;&gt;"",AE12&lt;&gt;"",AW12&lt;&gt;"",BG12&lt;&gt;""),"范围已验收","范围冲突或重复")</f>
        <v>范围已验收</v>
      </c>
      <c r="AC12" s="143" t="n">
        <v>46321.7494328704</v>
      </c>
      <c r="AD12" s="141" t="str">
        <f aca="false">HYPERLINK("https://chatgpt.com/api/library/files/libfile_82152ed46a9c8191a5fa91df691ec379/download","下载B23修订1私有元数据包")</f>
        <v>下载B23修订1私有元数据包</v>
      </c>
      <c r="AE12" s="141" t="s">
        <v>4261</v>
      </c>
      <c r="AF12" s="141" t="s">
        <v>2842</v>
      </c>
      <c r="AG12" s="141" t="s">
        <v>4262</v>
      </c>
      <c r="AH12" s="141" t="s">
        <v>4089</v>
      </c>
      <c r="AI12" s="141" t="s">
        <v>4263</v>
      </c>
      <c r="AJ12" s="141" t="s">
        <v>4091</v>
      </c>
      <c r="AK12" s="141" t="s">
        <v>4264</v>
      </c>
      <c r="AL12" s="141" t="s">
        <v>4009</v>
      </c>
      <c r="AM12" s="143" t="n">
        <v>46321.6249537037</v>
      </c>
      <c r="AN12" s="143" t="n">
        <v>46321.684837963</v>
      </c>
      <c r="AO12" s="141" t="s">
        <v>4265</v>
      </c>
      <c r="AP12" s="141" t="s">
        <v>4094</v>
      </c>
      <c r="AQ12" s="141" t="s">
        <v>4095</v>
      </c>
      <c r="AR12" s="141" t="s">
        <v>3838</v>
      </c>
      <c r="AS12" s="141" t="s">
        <v>4266</v>
      </c>
      <c r="AT12" s="141" t="s">
        <v>4097</v>
      </c>
      <c r="AU12" s="141" t="s">
        <v>4267</v>
      </c>
      <c r="AV12" s="141" t="s">
        <v>4099</v>
      </c>
      <c r="AW12" s="141" t="s">
        <v>4268</v>
      </c>
      <c r="AX12" s="141" t="s">
        <v>4269</v>
      </c>
      <c r="AY12" s="141" t="s">
        <v>4270</v>
      </c>
      <c r="AZ12" s="141" t="s">
        <v>4103</v>
      </c>
      <c r="BA12" s="141" t="s">
        <v>4104</v>
      </c>
      <c r="BB12" s="141" t="s">
        <v>876</v>
      </c>
      <c r="BC12" s="141" t="s">
        <v>4271</v>
      </c>
      <c r="BD12" s="141" t="s">
        <v>4272</v>
      </c>
      <c r="BE12" s="141" t="s">
        <v>4273</v>
      </c>
      <c r="BF12" s="141" t="s">
        <v>4274</v>
      </c>
      <c r="BG12" s="141" t="s">
        <v>4275</v>
      </c>
      <c r="BH12" s="141" t="s">
        <v>4145</v>
      </c>
    </row>
    <row r="13" customFormat="false" ht="132" hidden="false" customHeight="true" outlineLevel="0" collapsed="false">
      <c r="A13" s="141" t="s">
        <v>4276</v>
      </c>
      <c r="B13" s="141" t="s">
        <v>1669</v>
      </c>
      <c r="C13" s="141" t="s">
        <v>876</v>
      </c>
      <c r="D13" s="141" t="s">
        <v>3056</v>
      </c>
      <c r="E13" s="141" t="s">
        <v>3059</v>
      </c>
      <c r="F13" s="141" t="s">
        <v>3060</v>
      </c>
      <c r="G13" s="141" t="s">
        <v>3055</v>
      </c>
      <c r="H13" s="142" t="n">
        <v>82</v>
      </c>
      <c r="I13" s="142" t="n">
        <v>82</v>
      </c>
      <c r="J13" s="142" t="n">
        <v>82</v>
      </c>
      <c r="K13" s="142" t="n">
        <v>82</v>
      </c>
      <c r="L13" s="142" t="n">
        <v>0</v>
      </c>
      <c r="M13" s="141" t="s">
        <v>4001</v>
      </c>
      <c r="N13" s="141" t="s">
        <v>3838</v>
      </c>
      <c r="O13" s="141" t="s">
        <v>4002</v>
      </c>
      <c r="P13" s="141" t="b">
        <f aca="false">TRUE()</f>
        <v>1</v>
      </c>
      <c r="Q13" s="142" t="n">
        <v>0</v>
      </c>
      <c r="R13" s="142" t="n">
        <v>0</v>
      </c>
      <c r="S13" s="142" t="n">
        <v>0</v>
      </c>
      <c r="T13" s="142" t="n">
        <v>0</v>
      </c>
      <c r="U13" s="142" t="n">
        <v>0</v>
      </c>
      <c r="V13" s="142" t="n">
        <v>0</v>
      </c>
      <c r="W13" s="142" t="n">
        <f aca="false">IF(AND(AB13="范围已验收",N13="verified"),1,0)</f>
        <v>0</v>
      </c>
      <c r="X13" s="142" t="n">
        <v>0</v>
      </c>
      <c r="Y13" s="142" t="n">
        <f aca="false">IF(AB13="范围已验收",1,0)</f>
        <v>1</v>
      </c>
      <c r="Z13" s="142" t="n">
        <f aca="false">H13*Y13</f>
        <v>82</v>
      </c>
      <c r="AA13" s="142" t="n">
        <f aca="false">IF(AND(A13&lt;&gt;"",COUNTIF($A$2:$A$21,A13)=1),1,0)</f>
        <v>1</v>
      </c>
      <c r="AB13" s="141" t="str">
        <f aca="false">IF(AND(AA13=1,H13&gt;0,I13=H13,J13=H13,K13=H13,L13=0,M13="已接受",N13=AR13,OR(AR13="needs_review",AR13="verified"),O13="full_present_file",P13=TRUE(),COUNT(Q13:V13)=6,COUNTIF(Q13:V13,0)=6,X13=0,F13&lt;&gt;"",G13&lt;&gt;"",AE13&lt;&gt;"",AW13&lt;&gt;"",BG13&lt;&gt;""),"范围已验收","范围冲突或重复")</f>
        <v>范围已验收</v>
      </c>
      <c r="AC13" s="143" t="n">
        <v>46321.7494328704</v>
      </c>
      <c r="AD13" s="141" t="str">
        <f aca="false">HYPERLINK("https://chatgpt.com/api/library/files/libfile_82152ed46a9c8191a5fa91df691ec379/download","下载B23修订1私有元数据包")</f>
        <v>下载B23修订1私有元数据包</v>
      </c>
      <c r="AE13" s="141" t="s">
        <v>4277</v>
      </c>
      <c r="AF13" s="141" t="s">
        <v>2842</v>
      </c>
      <c r="AG13" s="141" t="s">
        <v>4278</v>
      </c>
      <c r="AH13" s="141" t="s">
        <v>4113</v>
      </c>
      <c r="AI13" s="141" t="s">
        <v>4279</v>
      </c>
      <c r="AJ13" s="141" t="s">
        <v>4091</v>
      </c>
      <c r="AK13" s="141" t="s">
        <v>4280</v>
      </c>
      <c r="AL13" s="141" t="s">
        <v>4009</v>
      </c>
      <c r="AM13" s="143" t="n">
        <v>46321.6249537037</v>
      </c>
      <c r="AN13" s="143" t="n">
        <v>46321.684837963</v>
      </c>
      <c r="AO13" s="141" t="s">
        <v>4281</v>
      </c>
      <c r="AP13" s="141" t="s">
        <v>4094</v>
      </c>
      <c r="AQ13" s="141" t="s">
        <v>4095</v>
      </c>
      <c r="AR13" s="141" t="s">
        <v>3838</v>
      </c>
      <c r="AS13" s="141" t="s">
        <v>4282</v>
      </c>
      <c r="AT13" s="141" t="s">
        <v>4097</v>
      </c>
      <c r="AU13" s="141" t="s">
        <v>4283</v>
      </c>
      <c r="AV13" s="141" t="s">
        <v>4119</v>
      </c>
      <c r="AW13" s="141" t="s">
        <v>4284</v>
      </c>
      <c r="AX13" s="141" t="s">
        <v>4285</v>
      </c>
      <c r="AY13" s="141" t="s">
        <v>4286</v>
      </c>
      <c r="AZ13" s="141" t="s">
        <v>4287</v>
      </c>
      <c r="BA13" s="141" t="s">
        <v>4104</v>
      </c>
      <c r="BB13" s="141" t="s">
        <v>876</v>
      </c>
      <c r="BC13" s="141" t="s">
        <v>4288</v>
      </c>
      <c r="BD13" s="141" t="s">
        <v>4289</v>
      </c>
      <c r="BE13" s="141" t="s">
        <v>4290</v>
      </c>
      <c r="BF13" s="141" t="s">
        <v>4291</v>
      </c>
      <c r="BG13" s="141" t="s">
        <v>4292</v>
      </c>
      <c r="BH13" s="141" t="s">
        <v>4110</v>
      </c>
    </row>
    <row r="14" customFormat="false" ht="130" hidden="false" customHeight="true" outlineLevel="0" collapsed="false">
      <c r="A14" s="141" t="s">
        <v>4293</v>
      </c>
      <c r="B14" s="141" t="s">
        <v>1669</v>
      </c>
      <c r="C14" s="141" t="s">
        <v>876</v>
      </c>
      <c r="D14" s="141" t="s">
        <v>3066</v>
      </c>
      <c r="E14" s="141" t="s">
        <v>3069</v>
      </c>
      <c r="F14" s="141" t="s">
        <v>3070</v>
      </c>
      <c r="G14" s="141" t="s">
        <v>3065</v>
      </c>
      <c r="H14" s="142" t="n">
        <v>67</v>
      </c>
      <c r="I14" s="142" t="n">
        <v>67</v>
      </c>
      <c r="J14" s="142" t="n">
        <v>67</v>
      </c>
      <c r="K14" s="142" t="n">
        <v>67</v>
      </c>
      <c r="L14" s="142" t="n">
        <v>0</v>
      </c>
      <c r="M14" s="141" t="s">
        <v>4001</v>
      </c>
      <c r="N14" s="141" t="s">
        <v>3838</v>
      </c>
      <c r="O14" s="141" t="s">
        <v>4002</v>
      </c>
      <c r="P14" s="141" t="b">
        <f aca="false">TRUE()</f>
        <v>1</v>
      </c>
      <c r="Q14" s="142" t="n">
        <v>0</v>
      </c>
      <c r="R14" s="142" t="n">
        <v>0</v>
      </c>
      <c r="S14" s="142" t="n">
        <v>0</v>
      </c>
      <c r="T14" s="142" t="n">
        <v>0</v>
      </c>
      <c r="U14" s="142" t="n">
        <v>0</v>
      </c>
      <c r="V14" s="142" t="n">
        <v>0</v>
      </c>
      <c r="W14" s="142" t="n">
        <f aca="false">IF(AND(AB14="范围已验收",N14="verified"),1,0)</f>
        <v>0</v>
      </c>
      <c r="X14" s="142" t="n">
        <v>0</v>
      </c>
      <c r="Y14" s="142" t="n">
        <f aca="false">IF(AB14="范围已验收",1,0)</f>
        <v>1</v>
      </c>
      <c r="Z14" s="142" t="n">
        <f aca="false">H14*Y14</f>
        <v>67</v>
      </c>
      <c r="AA14" s="142" t="n">
        <f aca="false">IF(AND(A14&lt;&gt;"",COUNTIF($A$2:$A$21,A14)=1),1,0)</f>
        <v>1</v>
      </c>
      <c r="AB14" s="141" t="str">
        <f aca="false">IF(AND(AA14=1,H14&gt;0,I14=H14,J14=H14,K14=H14,L14=0,M14="已接受",N14=AR14,OR(AR14="needs_review",AR14="verified"),O14="full_present_file",P14=TRUE(),COUNT(Q14:V14)=6,COUNTIF(Q14:V14,0)=6,X14=0,F14&lt;&gt;"",G14&lt;&gt;"",AE14&lt;&gt;"",AW14&lt;&gt;"",BG14&lt;&gt;""),"范围已验收","范围冲突或重复")</f>
        <v>范围已验收</v>
      </c>
      <c r="AC14" s="143" t="n">
        <v>46321.7494328704</v>
      </c>
      <c r="AD14" s="141" t="str">
        <f aca="false">HYPERLINK("https://chatgpt.com/api/library/files/libfile_82152ed46a9c8191a5fa91df691ec379/download","下载B23修订1私有元数据包")</f>
        <v>下载B23修订1私有元数据包</v>
      </c>
      <c r="AE14" s="141" t="s">
        <v>4294</v>
      </c>
      <c r="AF14" s="141" t="s">
        <v>2842</v>
      </c>
      <c r="AG14" s="141" t="s">
        <v>4295</v>
      </c>
      <c r="AH14" s="141" t="s">
        <v>4113</v>
      </c>
      <c r="AI14" s="141" t="s">
        <v>4296</v>
      </c>
      <c r="AJ14" s="141" t="s">
        <v>4091</v>
      </c>
      <c r="AK14" s="141" t="s">
        <v>4297</v>
      </c>
      <c r="AL14" s="141" t="s">
        <v>4009</v>
      </c>
      <c r="AM14" s="143" t="n">
        <v>46321.6249537037</v>
      </c>
      <c r="AN14" s="143" t="n">
        <v>46321.684837963</v>
      </c>
      <c r="AO14" s="141" t="s">
        <v>4298</v>
      </c>
      <c r="AP14" s="141" t="s">
        <v>4094</v>
      </c>
      <c r="AQ14" s="141" t="s">
        <v>4095</v>
      </c>
      <c r="AR14" s="141" t="s">
        <v>3838</v>
      </c>
      <c r="AS14" s="141" t="s">
        <v>4299</v>
      </c>
      <c r="AT14" s="141" t="s">
        <v>4300</v>
      </c>
      <c r="AU14" s="141" t="s">
        <v>4301</v>
      </c>
      <c r="AV14" s="141" t="s">
        <v>4119</v>
      </c>
      <c r="AW14" s="141" t="s">
        <v>4302</v>
      </c>
      <c r="AX14" s="141" t="s">
        <v>4303</v>
      </c>
      <c r="AY14" s="141" t="s">
        <v>4304</v>
      </c>
      <c r="AZ14" s="141" t="s">
        <v>4305</v>
      </c>
      <c r="BA14" s="141" t="s">
        <v>4104</v>
      </c>
      <c r="BB14" s="141" t="s">
        <v>876</v>
      </c>
      <c r="BC14" s="141" t="s">
        <v>4306</v>
      </c>
      <c r="BD14" s="141" t="s">
        <v>4307</v>
      </c>
      <c r="BE14" s="141" t="s">
        <v>4308</v>
      </c>
      <c r="BF14" s="141" t="s">
        <v>4309</v>
      </c>
      <c r="BG14" s="141" t="s">
        <v>4310</v>
      </c>
      <c r="BH14" s="141" t="s">
        <v>4145</v>
      </c>
    </row>
    <row r="15" customFormat="false" ht="184" hidden="false" customHeight="true" outlineLevel="0" collapsed="false">
      <c r="A15" s="141" t="s">
        <v>4311</v>
      </c>
      <c r="B15" s="141" t="s">
        <v>1669</v>
      </c>
      <c r="C15" s="141" t="s">
        <v>876</v>
      </c>
      <c r="D15" s="141" t="s">
        <v>3076</v>
      </c>
      <c r="E15" s="141" t="s">
        <v>3079</v>
      </c>
      <c r="F15" s="141" t="s">
        <v>3080</v>
      </c>
      <c r="G15" s="141" t="s">
        <v>3075</v>
      </c>
      <c r="H15" s="142" t="n">
        <v>20</v>
      </c>
      <c r="I15" s="142" t="n">
        <v>20</v>
      </c>
      <c r="J15" s="142" t="n">
        <v>20</v>
      </c>
      <c r="K15" s="142" t="n">
        <v>20</v>
      </c>
      <c r="L15" s="142" t="n">
        <v>0</v>
      </c>
      <c r="M15" s="141" t="s">
        <v>4001</v>
      </c>
      <c r="N15" s="141" t="s">
        <v>3838</v>
      </c>
      <c r="O15" s="141" t="s">
        <v>4002</v>
      </c>
      <c r="P15" s="141" t="b">
        <f aca="false">TRUE()</f>
        <v>1</v>
      </c>
      <c r="Q15" s="142" t="n">
        <v>0</v>
      </c>
      <c r="R15" s="142" t="n">
        <v>0</v>
      </c>
      <c r="S15" s="142" t="n">
        <v>0</v>
      </c>
      <c r="T15" s="142" t="n">
        <v>0</v>
      </c>
      <c r="U15" s="142" t="n">
        <v>0</v>
      </c>
      <c r="V15" s="142" t="n">
        <v>0</v>
      </c>
      <c r="W15" s="142" t="n">
        <f aca="false">IF(AND(AB15="范围已验收",N15="verified"),1,0)</f>
        <v>0</v>
      </c>
      <c r="X15" s="142" t="n">
        <v>0</v>
      </c>
      <c r="Y15" s="142" t="n">
        <f aca="false">IF(AB15="范围已验收",1,0)</f>
        <v>1</v>
      </c>
      <c r="Z15" s="142" t="n">
        <f aca="false">H15*Y15</f>
        <v>20</v>
      </c>
      <c r="AA15" s="142" t="n">
        <f aca="false">IF(AND(A15&lt;&gt;"",COUNTIF($A$2:$A$21,A15)=1),1,0)</f>
        <v>1</v>
      </c>
      <c r="AB15" s="141" t="str">
        <f aca="false">IF(AND(AA15=1,H15&gt;0,I15=H15,J15=H15,K15=H15,L15=0,M15="已接受",N15=AR15,OR(AR15="needs_review",AR15="verified"),O15="full_present_file",P15=TRUE(),COUNT(Q15:V15)=6,COUNTIF(Q15:V15,0)=6,X15=0,F15&lt;&gt;"",G15&lt;&gt;"",AE15&lt;&gt;"",AW15&lt;&gt;"",BG15&lt;&gt;""),"范围已验收","范围冲突或重复")</f>
        <v>范围已验收</v>
      </c>
      <c r="AC15" s="143" t="n">
        <v>46321.7494328704</v>
      </c>
      <c r="AD15" s="141" t="str">
        <f aca="false">HYPERLINK("https://chatgpt.com/api/library/files/libfile_82152ed46a9c8191a5fa91df691ec379/download","下载B23修订1私有元数据包")</f>
        <v>下载B23修订1私有元数据包</v>
      </c>
      <c r="AE15" s="141" t="s">
        <v>4312</v>
      </c>
      <c r="AF15" s="141" t="s">
        <v>2842</v>
      </c>
      <c r="AG15" s="141" t="s">
        <v>4313</v>
      </c>
      <c r="AH15" s="141" t="s">
        <v>4089</v>
      </c>
      <c r="AI15" s="141" t="s">
        <v>4314</v>
      </c>
      <c r="AJ15" s="141" t="s">
        <v>4091</v>
      </c>
      <c r="AK15" s="141" t="s">
        <v>4315</v>
      </c>
      <c r="AL15" s="141" t="s">
        <v>4009</v>
      </c>
      <c r="AM15" s="143" t="n">
        <v>46321.6249537037</v>
      </c>
      <c r="AN15" s="143" t="n">
        <v>46321.684837963</v>
      </c>
      <c r="AO15" s="141" t="s">
        <v>4316</v>
      </c>
      <c r="AP15" s="141" t="s">
        <v>4094</v>
      </c>
      <c r="AQ15" s="141" t="s">
        <v>4095</v>
      </c>
      <c r="AR15" s="141" t="s">
        <v>3838</v>
      </c>
      <c r="AS15" s="141" t="s">
        <v>4317</v>
      </c>
      <c r="AT15" s="141" t="s">
        <v>4097</v>
      </c>
      <c r="AU15" s="141" t="s">
        <v>4318</v>
      </c>
      <c r="AV15" s="141" t="s">
        <v>4099</v>
      </c>
      <c r="AW15" s="141" t="s">
        <v>4319</v>
      </c>
      <c r="AX15" s="141" t="s">
        <v>4320</v>
      </c>
      <c r="AY15" s="141" t="s">
        <v>4321</v>
      </c>
      <c r="AZ15" s="141" t="s">
        <v>4104</v>
      </c>
      <c r="BA15" s="141" t="s">
        <v>4104</v>
      </c>
      <c r="BB15" s="141" t="s">
        <v>876</v>
      </c>
      <c r="BC15" s="141" t="s">
        <v>4322</v>
      </c>
      <c r="BD15" s="141" t="s">
        <v>4323</v>
      </c>
      <c r="BE15" s="141" t="s">
        <v>4324</v>
      </c>
      <c r="BF15" s="141" t="s">
        <v>4325</v>
      </c>
      <c r="BG15" s="141" t="s">
        <v>4326</v>
      </c>
      <c r="BH15" s="141" t="s">
        <v>4145</v>
      </c>
    </row>
    <row r="16" customFormat="false" ht="130" hidden="false" customHeight="true" outlineLevel="0" collapsed="false">
      <c r="A16" s="141" t="s">
        <v>4327</v>
      </c>
      <c r="B16" s="141" t="s">
        <v>1669</v>
      </c>
      <c r="C16" s="141" t="s">
        <v>883</v>
      </c>
      <c r="D16" s="141" t="s">
        <v>3086</v>
      </c>
      <c r="E16" s="141" t="s">
        <v>3090</v>
      </c>
      <c r="F16" s="141" t="s">
        <v>3091</v>
      </c>
      <c r="G16" s="141" t="s">
        <v>3085</v>
      </c>
      <c r="H16" s="142" t="n">
        <v>53</v>
      </c>
      <c r="I16" s="142" t="n">
        <v>53</v>
      </c>
      <c r="J16" s="142" t="n">
        <v>53</v>
      </c>
      <c r="K16" s="142" t="n">
        <v>53</v>
      </c>
      <c r="L16" s="142" t="n">
        <v>0</v>
      </c>
      <c r="M16" s="141" t="s">
        <v>4001</v>
      </c>
      <c r="N16" s="141" t="s">
        <v>3838</v>
      </c>
      <c r="O16" s="141" t="s">
        <v>4002</v>
      </c>
      <c r="P16" s="141" t="b">
        <f aca="false">TRUE()</f>
        <v>1</v>
      </c>
      <c r="Q16" s="142" t="n">
        <v>0</v>
      </c>
      <c r="R16" s="142" t="n">
        <v>0</v>
      </c>
      <c r="S16" s="142" t="n">
        <v>0</v>
      </c>
      <c r="T16" s="142" t="n">
        <v>0</v>
      </c>
      <c r="U16" s="142" t="n">
        <v>0</v>
      </c>
      <c r="V16" s="142" t="n">
        <v>0</v>
      </c>
      <c r="W16" s="142" t="n">
        <f aca="false">IF(AND(AB16="范围已验收",N16="verified"),1,0)</f>
        <v>0</v>
      </c>
      <c r="X16" s="142" t="n">
        <v>0</v>
      </c>
      <c r="Y16" s="142" t="n">
        <f aca="false">IF(AB16="范围已验收",1,0)</f>
        <v>1</v>
      </c>
      <c r="Z16" s="142" t="n">
        <f aca="false">H16*Y16</f>
        <v>53</v>
      </c>
      <c r="AA16" s="142" t="n">
        <f aca="false">IF(AND(A16&lt;&gt;"",COUNTIF($A$2:$A$21,A16)=1),1,0)</f>
        <v>1</v>
      </c>
      <c r="AB16" s="141" t="str">
        <f aca="false">IF(AND(AA16=1,H16&gt;0,I16=H16,J16=H16,K16=H16,L16=0,M16="已接受",N16=AR16,OR(AR16="needs_review",AR16="verified"),O16="full_present_file",P16=TRUE(),COUNT(Q16:V16)=6,COUNTIF(Q16:V16,0)=6,X16=0,F16&lt;&gt;"",G16&lt;&gt;"",AE16&lt;&gt;"",AW16&lt;&gt;"",BG16&lt;&gt;""),"范围已验收","范围冲突或重复")</f>
        <v>范围已验收</v>
      </c>
      <c r="AC16" s="143" t="n">
        <v>46321.7494328704</v>
      </c>
      <c r="AD16" s="141" t="str">
        <f aca="false">HYPERLINK("https://chatgpt.com/api/library/files/libfile_82152ed46a9c8191a5fa91df691ec379/download","下载B23修订1私有元数据包")</f>
        <v>下载B23修订1私有元数据包</v>
      </c>
      <c r="AE16" s="141" t="s">
        <v>4328</v>
      </c>
      <c r="AF16" s="141" t="s">
        <v>2842</v>
      </c>
      <c r="AG16" s="141" t="s">
        <v>4329</v>
      </c>
      <c r="AH16" s="141" t="s">
        <v>4164</v>
      </c>
      <c r="AI16" s="141" t="s">
        <v>4330</v>
      </c>
      <c r="AJ16" s="141" t="s">
        <v>4091</v>
      </c>
      <c r="AK16" s="141" t="s">
        <v>4331</v>
      </c>
      <c r="AL16" s="141" t="s">
        <v>4009</v>
      </c>
      <c r="AM16" s="143" t="n">
        <v>46321.6249537037</v>
      </c>
      <c r="AN16" s="143" t="n">
        <v>46321.684837963</v>
      </c>
      <c r="AO16" s="141" t="s">
        <v>4332</v>
      </c>
      <c r="AP16" s="141" t="s">
        <v>4094</v>
      </c>
      <c r="AQ16" s="141" t="s">
        <v>4095</v>
      </c>
      <c r="AR16" s="141" t="s">
        <v>3838</v>
      </c>
      <c r="AS16" s="141" t="s">
        <v>4333</v>
      </c>
      <c r="AT16" s="141" t="s">
        <v>4334</v>
      </c>
      <c r="AU16" s="141" t="s">
        <v>4335</v>
      </c>
      <c r="AV16" s="141" t="s">
        <v>4336</v>
      </c>
      <c r="AW16" s="141" t="s">
        <v>4337</v>
      </c>
      <c r="AX16" s="141" t="s">
        <v>4338</v>
      </c>
      <c r="AY16" s="141" t="s">
        <v>4104</v>
      </c>
      <c r="AZ16" s="141" t="s">
        <v>4104</v>
      </c>
      <c r="BA16" s="141" t="s">
        <v>4104</v>
      </c>
      <c r="BB16" s="141" t="s">
        <v>883</v>
      </c>
      <c r="BC16" s="141" t="s">
        <v>4339</v>
      </c>
      <c r="BD16" s="141" t="s">
        <v>4340</v>
      </c>
      <c r="BE16" s="141" t="s">
        <v>4341</v>
      </c>
      <c r="BF16" s="141" t="s">
        <v>4342</v>
      </c>
      <c r="BG16" s="141" t="s">
        <v>4343</v>
      </c>
      <c r="BH16" s="141" t="s">
        <v>4110</v>
      </c>
    </row>
    <row r="17" customFormat="false" ht="210" hidden="false" customHeight="true" outlineLevel="0" collapsed="false">
      <c r="A17" s="141" t="s">
        <v>4344</v>
      </c>
      <c r="B17" s="141" t="s">
        <v>1669</v>
      </c>
      <c r="C17" s="141" t="s">
        <v>883</v>
      </c>
      <c r="D17" s="141" t="s">
        <v>3097</v>
      </c>
      <c r="E17" s="141" t="s">
        <v>3100</v>
      </c>
      <c r="F17" s="141" t="s">
        <v>3101</v>
      </c>
      <c r="G17" s="141" t="s">
        <v>3096</v>
      </c>
      <c r="H17" s="142" t="n">
        <v>35</v>
      </c>
      <c r="I17" s="142" t="n">
        <v>35</v>
      </c>
      <c r="J17" s="142" t="n">
        <v>35</v>
      </c>
      <c r="K17" s="142" t="n">
        <v>35</v>
      </c>
      <c r="L17" s="142" t="n">
        <v>0</v>
      </c>
      <c r="M17" s="141" t="s">
        <v>4001</v>
      </c>
      <c r="N17" s="141" t="s">
        <v>3838</v>
      </c>
      <c r="O17" s="141" t="s">
        <v>4002</v>
      </c>
      <c r="P17" s="141" t="b">
        <f aca="false">TRUE()</f>
        <v>1</v>
      </c>
      <c r="Q17" s="142" t="n">
        <v>0</v>
      </c>
      <c r="R17" s="142" t="n">
        <v>0</v>
      </c>
      <c r="S17" s="142" t="n">
        <v>0</v>
      </c>
      <c r="T17" s="142" t="n">
        <v>0</v>
      </c>
      <c r="U17" s="142" t="n">
        <v>0</v>
      </c>
      <c r="V17" s="142" t="n">
        <v>0</v>
      </c>
      <c r="W17" s="142" t="n">
        <f aca="false">IF(AND(AB17="范围已验收",N17="verified"),1,0)</f>
        <v>0</v>
      </c>
      <c r="X17" s="142" t="n">
        <v>0</v>
      </c>
      <c r="Y17" s="142" t="n">
        <f aca="false">IF(AB17="范围已验收",1,0)</f>
        <v>1</v>
      </c>
      <c r="Z17" s="142" t="n">
        <f aca="false">H17*Y17</f>
        <v>35</v>
      </c>
      <c r="AA17" s="142" t="n">
        <f aca="false">IF(AND(A17&lt;&gt;"",COUNTIF($A$2:$A$21,A17)=1),1,0)</f>
        <v>1</v>
      </c>
      <c r="AB17" s="141" t="str">
        <f aca="false">IF(AND(AA17=1,H17&gt;0,I17=H17,J17=H17,K17=H17,L17=0,M17="已接受",N17=AR17,OR(AR17="needs_review",AR17="verified"),O17="full_present_file",P17=TRUE(),COUNT(Q17:V17)=6,COUNTIF(Q17:V17,0)=6,X17=0,F17&lt;&gt;"",G17&lt;&gt;"",AE17&lt;&gt;"",AW17&lt;&gt;"",BG17&lt;&gt;""),"范围已验收","范围冲突或重复")</f>
        <v>范围已验收</v>
      </c>
      <c r="AC17" s="143" t="n">
        <v>46321.7494328704</v>
      </c>
      <c r="AD17" s="141" t="str">
        <f aca="false">HYPERLINK("https://chatgpt.com/api/library/files/libfile_82152ed46a9c8191a5fa91df691ec379/download","下载B23修订1私有元数据包")</f>
        <v>下载B23修订1私有元数据包</v>
      </c>
      <c r="AE17" s="141" t="s">
        <v>4345</v>
      </c>
      <c r="AF17" s="141" t="s">
        <v>2842</v>
      </c>
      <c r="AG17" s="141" t="s">
        <v>4346</v>
      </c>
      <c r="AH17" s="141" t="s">
        <v>4089</v>
      </c>
      <c r="AI17" s="141" t="s">
        <v>4347</v>
      </c>
      <c r="AJ17" s="141" t="s">
        <v>4091</v>
      </c>
      <c r="AK17" s="141" t="s">
        <v>4348</v>
      </c>
      <c r="AL17" s="141" t="s">
        <v>4009</v>
      </c>
      <c r="AM17" s="143" t="n">
        <v>46321.6249537037</v>
      </c>
      <c r="AN17" s="143" t="n">
        <v>46321.684837963</v>
      </c>
      <c r="AO17" s="141" t="s">
        <v>4349</v>
      </c>
      <c r="AP17" s="141" t="s">
        <v>4094</v>
      </c>
      <c r="AQ17" s="141" t="s">
        <v>4095</v>
      </c>
      <c r="AR17" s="141" t="s">
        <v>3838</v>
      </c>
      <c r="AS17" s="141" t="s">
        <v>4350</v>
      </c>
      <c r="AT17" s="141" t="s">
        <v>4097</v>
      </c>
      <c r="AU17" s="141" t="s">
        <v>4351</v>
      </c>
      <c r="AV17" s="141" t="s">
        <v>4099</v>
      </c>
      <c r="AW17" s="141" t="s">
        <v>4352</v>
      </c>
      <c r="AX17" s="141" t="s">
        <v>4353</v>
      </c>
      <c r="AY17" s="141" t="s">
        <v>4354</v>
      </c>
      <c r="AZ17" s="141" t="s">
        <v>4104</v>
      </c>
      <c r="BA17" s="141" t="s">
        <v>4104</v>
      </c>
      <c r="BB17" s="141" t="s">
        <v>883</v>
      </c>
      <c r="BC17" s="141" t="s">
        <v>4355</v>
      </c>
      <c r="BD17" s="141" t="s">
        <v>4356</v>
      </c>
      <c r="BE17" s="141" t="s">
        <v>4357</v>
      </c>
      <c r="BF17" s="141" t="s">
        <v>4358</v>
      </c>
      <c r="BG17" s="141" t="s">
        <v>4359</v>
      </c>
      <c r="BH17" s="141" t="s">
        <v>4110</v>
      </c>
    </row>
    <row r="18" customFormat="false" ht="130" hidden="false" customHeight="true" outlineLevel="0" collapsed="false">
      <c r="A18" s="141" t="s">
        <v>4360</v>
      </c>
      <c r="B18" s="141" t="s">
        <v>1669</v>
      </c>
      <c r="C18" s="141" t="s">
        <v>883</v>
      </c>
      <c r="D18" s="141" t="s">
        <v>3107</v>
      </c>
      <c r="E18" s="141" t="s">
        <v>3110</v>
      </c>
      <c r="F18" s="141" t="s">
        <v>3111</v>
      </c>
      <c r="G18" s="141" t="s">
        <v>3106</v>
      </c>
      <c r="H18" s="142" t="n">
        <v>26</v>
      </c>
      <c r="I18" s="142" t="n">
        <v>26</v>
      </c>
      <c r="J18" s="142" t="n">
        <v>26</v>
      </c>
      <c r="K18" s="142" t="n">
        <v>26</v>
      </c>
      <c r="L18" s="142" t="n">
        <v>0</v>
      </c>
      <c r="M18" s="141" t="s">
        <v>4001</v>
      </c>
      <c r="N18" s="141" t="s">
        <v>3838</v>
      </c>
      <c r="O18" s="141" t="s">
        <v>4002</v>
      </c>
      <c r="P18" s="141" t="b">
        <f aca="false">TRUE()</f>
        <v>1</v>
      </c>
      <c r="Q18" s="142" t="n">
        <v>0</v>
      </c>
      <c r="R18" s="142" t="n">
        <v>0</v>
      </c>
      <c r="S18" s="142" t="n">
        <v>0</v>
      </c>
      <c r="T18" s="142" t="n">
        <v>0</v>
      </c>
      <c r="U18" s="142" t="n">
        <v>0</v>
      </c>
      <c r="V18" s="142" t="n">
        <v>0</v>
      </c>
      <c r="W18" s="142" t="n">
        <f aca="false">IF(AND(AB18="范围已验收",N18="verified"),1,0)</f>
        <v>0</v>
      </c>
      <c r="X18" s="142" t="n">
        <v>0</v>
      </c>
      <c r="Y18" s="142" t="n">
        <f aca="false">IF(AB18="范围已验收",1,0)</f>
        <v>1</v>
      </c>
      <c r="Z18" s="142" t="n">
        <f aca="false">H18*Y18</f>
        <v>26</v>
      </c>
      <c r="AA18" s="142" t="n">
        <f aca="false">IF(AND(A18&lt;&gt;"",COUNTIF($A$2:$A$21,A18)=1),1,0)</f>
        <v>1</v>
      </c>
      <c r="AB18" s="141" t="str">
        <f aca="false">IF(AND(AA18=1,H18&gt;0,I18=H18,J18=H18,K18=H18,L18=0,M18="已接受",N18=AR18,OR(AR18="needs_review",AR18="verified"),O18="full_present_file",P18=TRUE(),COUNT(Q18:V18)=6,COUNTIF(Q18:V18,0)=6,X18=0,F18&lt;&gt;"",G18&lt;&gt;"",AE18&lt;&gt;"",AW18&lt;&gt;"",BG18&lt;&gt;""),"范围已验收","范围冲突或重复")</f>
        <v>范围已验收</v>
      </c>
      <c r="AC18" s="143" t="n">
        <v>46321.7494328704</v>
      </c>
      <c r="AD18" s="141" t="str">
        <f aca="false">HYPERLINK("https://chatgpt.com/api/library/files/libfile_82152ed46a9c8191a5fa91df691ec379/download","下载B23修订1私有元数据包")</f>
        <v>下载B23修订1私有元数据包</v>
      </c>
      <c r="AE18" s="141" t="s">
        <v>4361</v>
      </c>
      <c r="AF18" s="141" t="s">
        <v>2842</v>
      </c>
      <c r="AG18" s="141" t="s">
        <v>4362</v>
      </c>
      <c r="AH18" s="141" t="s">
        <v>4113</v>
      </c>
      <c r="AI18" s="141" t="s">
        <v>4363</v>
      </c>
      <c r="AJ18" s="141" t="s">
        <v>4091</v>
      </c>
      <c r="AK18" s="141" t="s">
        <v>4364</v>
      </c>
      <c r="AL18" s="141" t="s">
        <v>4009</v>
      </c>
      <c r="AM18" s="143" t="n">
        <v>46321.6249537037</v>
      </c>
      <c r="AN18" s="143" t="n">
        <v>46321.684837963</v>
      </c>
      <c r="AO18" s="141" t="s">
        <v>4365</v>
      </c>
      <c r="AP18" s="141" t="s">
        <v>4094</v>
      </c>
      <c r="AQ18" s="141" t="s">
        <v>4095</v>
      </c>
      <c r="AR18" s="141" t="s">
        <v>3838</v>
      </c>
      <c r="AS18" s="141" t="s">
        <v>4366</v>
      </c>
      <c r="AT18" s="141" t="s">
        <v>4367</v>
      </c>
      <c r="AU18" s="141" t="s">
        <v>4368</v>
      </c>
      <c r="AV18" s="141" t="s">
        <v>4119</v>
      </c>
      <c r="AW18" s="141" t="s">
        <v>4369</v>
      </c>
      <c r="AX18" s="141" t="s">
        <v>4370</v>
      </c>
      <c r="AY18" s="141" t="s">
        <v>4104</v>
      </c>
      <c r="AZ18" s="141" t="s">
        <v>4104</v>
      </c>
      <c r="BA18" s="141" t="s">
        <v>4104</v>
      </c>
      <c r="BB18" s="141" t="s">
        <v>883</v>
      </c>
      <c r="BC18" s="141" t="s">
        <v>4371</v>
      </c>
      <c r="BD18" s="141" t="s">
        <v>4372</v>
      </c>
      <c r="BE18" s="141" t="s">
        <v>4373</v>
      </c>
      <c r="BF18" s="141" t="s">
        <v>4374</v>
      </c>
      <c r="BG18" s="141" t="s">
        <v>4375</v>
      </c>
      <c r="BH18" s="141" t="s">
        <v>4110</v>
      </c>
    </row>
    <row r="19" customFormat="false" ht="132" hidden="false" customHeight="true" outlineLevel="0" collapsed="false">
      <c r="A19" s="141" t="s">
        <v>4376</v>
      </c>
      <c r="B19" s="141" t="s">
        <v>1669</v>
      </c>
      <c r="C19" s="141" t="s">
        <v>883</v>
      </c>
      <c r="D19" s="141" t="s">
        <v>3117</v>
      </c>
      <c r="E19" s="141" t="s">
        <v>3120</v>
      </c>
      <c r="F19" s="141" t="s">
        <v>3121</v>
      </c>
      <c r="G19" s="141" t="s">
        <v>3116</v>
      </c>
      <c r="H19" s="142" t="n">
        <v>34</v>
      </c>
      <c r="I19" s="142" t="n">
        <v>34</v>
      </c>
      <c r="J19" s="142" t="n">
        <v>34</v>
      </c>
      <c r="K19" s="142" t="n">
        <v>34</v>
      </c>
      <c r="L19" s="142" t="n">
        <v>0</v>
      </c>
      <c r="M19" s="141" t="s">
        <v>4001</v>
      </c>
      <c r="N19" s="141" t="s">
        <v>3838</v>
      </c>
      <c r="O19" s="141" t="s">
        <v>4002</v>
      </c>
      <c r="P19" s="141" t="b">
        <f aca="false">TRUE()</f>
        <v>1</v>
      </c>
      <c r="Q19" s="142" t="n">
        <v>0</v>
      </c>
      <c r="R19" s="142" t="n">
        <v>0</v>
      </c>
      <c r="S19" s="142" t="n">
        <v>0</v>
      </c>
      <c r="T19" s="142" t="n">
        <v>0</v>
      </c>
      <c r="U19" s="142" t="n">
        <v>0</v>
      </c>
      <c r="V19" s="142" t="n">
        <v>0</v>
      </c>
      <c r="W19" s="142" t="n">
        <f aca="false">IF(AND(AB19="范围已验收",N19="verified"),1,0)</f>
        <v>0</v>
      </c>
      <c r="X19" s="142" t="n">
        <v>0</v>
      </c>
      <c r="Y19" s="142" t="n">
        <f aca="false">IF(AB19="范围已验收",1,0)</f>
        <v>1</v>
      </c>
      <c r="Z19" s="142" t="n">
        <f aca="false">H19*Y19</f>
        <v>34</v>
      </c>
      <c r="AA19" s="142" t="n">
        <f aca="false">IF(AND(A19&lt;&gt;"",COUNTIF($A$2:$A$21,A19)=1),1,0)</f>
        <v>1</v>
      </c>
      <c r="AB19" s="141" t="str">
        <f aca="false">IF(AND(AA19=1,H19&gt;0,I19=H19,J19=H19,K19=H19,L19=0,M19="已接受",N19=AR19,OR(AR19="needs_review",AR19="verified"),O19="full_present_file",P19=TRUE(),COUNT(Q19:V19)=6,COUNTIF(Q19:V19,0)=6,X19=0,F19&lt;&gt;"",G19&lt;&gt;"",AE19&lt;&gt;"",AW19&lt;&gt;"",BG19&lt;&gt;""),"范围已验收","范围冲突或重复")</f>
        <v>范围已验收</v>
      </c>
      <c r="AC19" s="143" t="n">
        <v>46321.7494328704</v>
      </c>
      <c r="AD19" s="141" t="str">
        <f aca="false">HYPERLINK("https://chatgpt.com/api/library/files/libfile_82152ed46a9c8191a5fa91df691ec379/download","下载B23修订1私有元数据包")</f>
        <v>下载B23修订1私有元数据包</v>
      </c>
      <c r="AE19" s="141" t="s">
        <v>4377</v>
      </c>
      <c r="AF19" s="141" t="s">
        <v>2842</v>
      </c>
      <c r="AG19" s="141" t="s">
        <v>4378</v>
      </c>
      <c r="AH19" s="141" t="s">
        <v>4164</v>
      </c>
      <c r="AI19" s="141" t="s">
        <v>4379</v>
      </c>
      <c r="AJ19" s="141" t="s">
        <v>4091</v>
      </c>
      <c r="AK19" s="141" t="s">
        <v>4380</v>
      </c>
      <c r="AL19" s="141" t="s">
        <v>4009</v>
      </c>
      <c r="AM19" s="143" t="n">
        <v>46321.6249537037</v>
      </c>
      <c r="AN19" s="143" t="n">
        <v>46321.684837963</v>
      </c>
      <c r="AO19" s="141" t="s">
        <v>4381</v>
      </c>
      <c r="AP19" s="141" t="s">
        <v>4094</v>
      </c>
      <c r="AQ19" s="141" t="s">
        <v>4095</v>
      </c>
      <c r="AR19" s="141" t="s">
        <v>3838</v>
      </c>
      <c r="AS19" s="141" t="s">
        <v>4382</v>
      </c>
      <c r="AT19" s="141" t="s">
        <v>4383</v>
      </c>
      <c r="AU19" s="141" t="s">
        <v>4384</v>
      </c>
      <c r="AV19" s="141" t="s">
        <v>4385</v>
      </c>
      <c r="AW19" s="141" t="s">
        <v>4386</v>
      </c>
      <c r="AX19" s="141" t="s">
        <v>4387</v>
      </c>
      <c r="AY19" s="141" t="s">
        <v>4388</v>
      </c>
      <c r="AZ19" s="141" t="s">
        <v>4104</v>
      </c>
      <c r="BA19" s="141" t="s">
        <v>4104</v>
      </c>
      <c r="BB19" s="141" t="s">
        <v>4389</v>
      </c>
      <c r="BC19" s="141" t="s">
        <v>4390</v>
      </c>
      <c r="BD19" s="141" t="s">
        <v>4391</v>
      </c>
      <c r="BE19" s="141" t="s">
        <v>4392</v>
      </c>
      <c r="BF19" s="141" t="s">
        <v>4393</v>
      </c>
      <c r="BG19" s="141" t="s">
        <v>4394</v>
      </c>
      <c r="BH19" s="141" t="s">
        <v>4110</v>
      </c>
    </row>
    <row r="20" customFormat="false" ht="223" hidden="false" customHeight="true" outlineLevel="0" collapsed="false">
      <c r="A20" s="141" t="s">
        <v>4395</v>
      </c>
      <c r="B20" s="141" t="s">
        <v>1669</v>
      </c>
      <c r="C20" s="141" t="s">
        <v>883</v>
      </c>
      <c r="D20" s="141" t="s">
        <v>3127</v>
      </c>
      <c r="E20" s="141" t="s">
        <v>3131</v>
      </c>
      <c r="F20" s="141" t="s">
        <v>3132</v>
      </c>
      <c r="G20" s="141" t="s">
        <v>3126</v>
      </c>
      <c r="H20" s="142" t="n">
        <v>32</v>
      </c>
      <c r="I20" s="142" t="n">
        <v>32</v>
      </c>
      <c r="J20" s="142" t="n">
        <v>32</v>
      </c>
      <c r="K20" s="142" t="n">
        <v>32</v>
      </c>
      <c r="L20" s="142" t="n">
        <v>0</v>
      </c>
      <c r="M20" s="141" t="s">
        <v>4001</v>
      </c>
      <c r="N20" s="141" t="s">
        <v>3838</v>
      </c>
      <c r="O20" s="141" t="s">
        <v>4002</v>
      </c>
      <c r="P20" s="141" t="b">
        <f aca="false">TRUE()</f>
        <v>1</v>
      </c>
      <c r="Q20" s="142" t="n">
        <v>0</v>
      </c>
      <c r="R20" s="142" t="n">
        <v>0</v>
      </c>
      <c r="S20" s="142" t="n">
        <v>0</v>
      </c>
      <c r="T20" s="142" t="n">
        <v>0</v>
      </c>
      <c r="U20" s="142" t="n">
        <v>0</v>
      </c>
      <c r="V20" s="142" t="n">
        <v>0</v>
      </c>
      <c r="W20" s="142" t="n">
        <f aca="false">IF(AND(AB20="范围已验收",N20="verified"),1,0)</f>
        <v>0</v>
      </c>
      <c r="X20" s="142" t="n">
        <v>0</v>
      </c>
      <c r="Y20" s="142" t="n">
        <f aca="false">IF(AB20="范围已验收",1,0)</f>
        <v>1</v>
      </c>
      <c r="Z20" s="142" t="n">
        <f aca="false">H20*Y20</f>
        <v>32</v>
      </c>
      <c r="AA20" s="142" t="n">
        <f aca="false">IF(AND(A20&lt;&gt;"",COUNTIF($A$2:$A$21,A20)=1),1,0)</f>
        <v>1</v>
      </c>
      <c r="AB20" s="141" t="str">
        <f aca="false">IF(AND(AA20=1,H20&gt;0,I20=H20,J20=H20,K20=H20,L20=0,M20="已接受",N20=AR20,OR(AR20="needs_review",AR20="verified"),O20="full_present_file",P20=TRUE(),COUNT(Q20:V20)=6,COUNTIF(Q20:V20,0)=6,X20=0,F20&lt;&gt;"",G20&lt;&gt;"",AE20&lt;&gt;"",AW20&lt;&gt;"",BG20&lt;&gt;""),"范围已验收","范围冲突或重复")</f>
        <v>范围已验收</v>
      </c>
      <c r="AC20" s="143" t="n">
        <v>46321.7494328704</v>
      </c>
      <c r="AD20" s="141" t="str">
        <f aca="false">HYPERLINK("https://chatgpt.com/api/library/files/libfile_82152ed46a9c8191a5fa91df691ec379/download","下载B23修订1私有元数据包")</f>
        <v>下载B23修订1私有元数据包</v>
      </c>
      <c r="AE20" s="141" t="s">
        <v>4396</v>
      </c>
      <c r="AF20" s="141" t="s">
        <v>2842</v>
      </c>
      <c r="AG20" s="141" t="s">
        <v>4397</v>
      </c>
      <c r="AH20" s="141" t="s">
        <v>4089</v>
      </c>
      <c r="AI20" s="141" t="s">
        <v>4398</v>
      </c>
      <c r="AJ20" s="141" t="s">
        <v>4091</v>
      </c>
      <c r="AK20" s="141" t="s">
        <v>4399</v>
      </c>
      <c r="AL20" s="141" t="s">
        <v>4009</v>
      </c>
      <c r="AM20" s="143" t="n">
        <v>46321.6249537037</v>
      </c>
      <c r="AN20" s="143" t="n">
        <v>46321.684837963</v>
      </c>
      <c r="AO20" s="141" t="s">
        <v>4400</v>
      </c>
      <c r="AP20" s="141" t="s">
        <v>4094</v>
      </c>
      <c r="AQ20" s="141" t="s">
        <v>4095</v>
      </c>
      <c r="AR20" s="141" t="s">
        <v>3838</v>
      </c>
      <c r="AS20" s="141" t="s">
        <v>4401</v>
      </c>
      <c r="AT20" s="141" t="s">
        <v>4097</v>
      </c>
      <c r="AU20" s="141" t="s">
        <v>4402</v>
      </c>
      <c r="AV20" s="141" t="s">
        <v>4099</v>
      </c>
      <c r="AW20" s="141" t="s">
        <v>4403</v>
      </c>
      <c r="AX20" s="141" t="s">
        <v>4404</v>
      </c>
      <c r="AY20" s="141" t="s">
        <v>4405</v>
      </c>
      <c r="AZ20" s="141" t="s">
        <v>4104</v>
      </c>
      <c r="BA20" s="141" t="s">
        <v>4104</v>
      </c>
      <c r="BB20" s="141" t="s">
        <v>4406</v>
      </c>
      <c r="BC20" s="141" t="s">
        <v>4407</v>
      </c>
      <c r="BD20" s="141" t="s">
        <v>4408</v>
      </c>
      <c r="BE20" s="141" t="s">
        <v>4409</v>
      </c>
      <c r="BF20" s="141" t="s">
        <v>4410</v>
      </c>
      <c r="BG20" s="141" t="s">
        <v>4411</v>
      </c>
      <c r="BH20" s="141" t="s">
        <v>4110</v>
      </c>
    </row>
    <row r="21" customFormat="false" ht="130" hidden="false" customHeight="true" outlineLevel="0" collapsed="false">
      <c r="A21" s="141" t="s">
        <v>4412</v>
      </c>
      <c r="B21" s="141" t="s">
        <v>1669</v>
      </c>
      <c r="C21" s="141" t="s">
        <v>883</v>
      </c>
      <c r="D21" s="141" t="s">
        <v>3138</v>
      </c>
      <c r="E21" s="141" t="s">
        <v>3142</v>
      </c>
      <c r="F21" s="141" t="s">
        <v>3143</v>
      </c>
      <c r="G21" s="141" t="s">
        <v>3137</v>
      </c>
      <c r="H21" s="142" t="n">
        <v>46</v>
      </c>
      <c r="I21" s="142" t="n">
        <v>46</v>
      </c>
      <c r="J21" s="142" t="n">
        <v>46</v>
      </c>
      <c r="K21" s="142" t="n">
        <v>46</v>
      </c>
      <c r="L21" s="142" t="n">
        <v>0</v>
      </c>
      <c r="M21" s="141" t="s">
        <v>4001</v>
      </c>
      <c r="N21" s="141" t="s">
        <v>3838</v>
      </c>
      <c r="O21" s="141" t="s">
        <v>4002</v>
      </c>
      <c r="P21" s="141" t="b">
        <f aca="false">TRUE()</f>
        <v>1</v>
      </c>
      <c r="Q21" s="142" t="n">
        <v>0</v>
      </c>
      <c r="R21" s="142" t="n">
        <v>0</v>
      </c>
      <c r="S21" s="142" t="n">
        <v>0</v>
      </c>
      <c r="T21" s="142" t="n">
        <v>0</v>
      </c>
      <c r="U21" s="142" t="n">
        <v>0</v>
      </c>
      <c r="V21" s="142" t="n">
        <v>0</v>
      </c>
      <c r="W21" s="142" t="n">
        <f aca="false">IF(AND(AB21="范围已验收",N21="verified"),1,0)</f>
        <v>0</v>
      </c>
      <c r="X21" s="142" t="n">
        <v>0</v>
      </c>
      <c r="Y21" s="142" t="n">
        <f aca="false">IF(AB21="范围已验收",1,0)</f>
        <v>1</v>
      </c>
      <c r="Z21" s="142" t="n">
        <f aca="false">H21*Y21</f>
        <v>46</v>
      </c>
      <c r="AA21" s="142" t="n">
        <f aca="false">IF(AND(A21&lt;&gt;"",COUNTIF($A$2:$A$21,A21)=1),1,0)</f>
        <v>1</v>
      </c>
      <c r="AB21" s="141" t="str">
        <f aca="false">IF(AND(AA21=1,H21&gt;0,I21=H21,J21=H21,K21=H21,L21=0,M21="已接受",N21=AR21,OR(AR21="needs_review",AR21="verified"),O21="full_present_file",P21=TRUE(),COUNT(Q21:V21)=6,COUNTIF(Q21:V21,0)=6,X21=0,F21&lt;&gt;"",G21&lt;&gt;"",AE21&lt;&gt;"",AW21&lt;&gt;"",BG21&lt;&gt;""),"范围已验收","范围冲突或重复")</f>
        <v>范围已验收</v>
      </c>
      <c r="AC21" s="143" t="n">
        <v>46321.7494328704</v>
      </c>
      <c r="AD21" s="141" t="str">
        <f aca="false">HYPERLINK("https://chatgpt.com/api/library/files/libfile_82152ed46a9c8191a5fa91df691ec379/download","下载B23修订1私有元数据包")</f>
        <v>下载B23修订1私有元数据包</v>
      </c>
      <c r="AE21" s="141" t="s">
        <v>4413</v>
      </c>
      <c r="AF21" s="141" t="s">
        <v>2842</v>
      </c>
      <c r="AG21" s="141" t="s">
        <v>4414</v>
      </c>
      <c r="AH21" s="141" t="s">
        <v>4113</v>
      </c>
      <c r="AI21" s="141" t="s">
        <v>4415</v>
      </c>
      <c r="AJ21" s="141" t="s">
        <v>4091</v>
      </c>
      <c r="AK21" s="141" t="s">
        <v>4416</v>
      </c>
      <c r="AL21" s="141" t="s">
        <v>4009</v>
      </c>
      <c r="AM21" s="143" t="n">
        <v>46321.6249537037</v>
      </c>
      <c r="AN21" s="143" t="n">
        <v>46321.684837963</v>
      </c>
      <c r="AO21" s="141" t="s">
        <v>4417</v>
      </c>
      <c r="AP21" s="141" t="s">
        <v>4094</v>
      </c>
      <c r="AQ21" s="141" t="s">
        <v>4095</v>
      </c>
      <c r="AR21" s="141" t="s">
        <v>3838</v>
      </c>
      <c r="AS21" s="141" t="s">
        <v>4418</v>
      </c>
      <c r="AT21" s="141" t="s">
        <v>4419</v>
      </c>
      <c r="AU21" s="141" t="s">
        <v>4420</v>
      </c>
      <c r="AV21" s="141" t="s">
        <v>4119</v>
      </c>
      <c r="AW21" s="141" t="s">
        <v>4421</v>
      </c>
      <c r="AX21" s="141" t="s">
        <v>4422</v>
      </c>
      <c r="AY21" s="141" t="s">
        <v>4423</v>
      </c>
      <c r="AZ21" s="141" t="s">
        <v>4104</v>
      </c>
      <c r="BA21" s="141" t="s">
        <v>4104</v>
      </c>
      <c r="BB21" s="141" t="s">
        <v>883</v>
      </c>
      <c r="BC21" s="141" t="s">
        <v>4424</v>
      </c>
      <c r="BD21" s="141" t="s">
        <v>4425</v>
      </c>
      <c r="BE21" s="141" t="s">
        <v>4426</v>
      </c>
      <c r="BF21" s="141" t="s">
        <v>4427</v>
      </c>
      <c r="BG21" s="141" t="s">
        <v>4428</v>
      </c>
      <c r="BH21" s="141" t="s">
        <v>4110</v>
      </c>
    </row>
  </sheetData>
  <conditionalFormatting sqref="AB2:AB21">
    <cfRule type="containsText" priority="2" operator="containsText" aboveAverage="0" equalAverage="0" bottom="0" percent="0" rank="0" text="冲突" dxfId="34">
      <formula>NOT(ISERROR(SEARCH("冲突",AB2)))</formula>
    </cfRule>
  </conditionalFormatting>
  <dataValidations count="2">
    <dataValidation allowBlank="false" errorStyle="stop" operator="between" showDropDown="false" showErrorMessage="false" showInputMessage="false" sqref="M2:M21" type="list">
      <formula1>"已接受,待QA"</formula1>
      <formula2>0</formula2>
    </dataValidation>
    <dataValidation allowBlank="false" errorStyle="stop" operator="between" showDropDown="false" showErrorMessage="false" showInputMessage="false" sqref="N2:N21" type="list">
      <formula1>"needs_review,verified"</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H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8"/>
    <col collapsed="false" customWidth="true" hidden="false" outlineLevel="0" max="3" min="3" style="0" width="34"/>
    <col collapsed="false" customWidth="true" hidden="false" outlineLevel="0" max="4" min="4" style="0" width="46"/>
    <col collapsed="false" customWidth="true" hidden="false" outlineLevel="0" max="5" min="5" style="0" width="44"/>
    <col collapsed="false" customWidth="true" hidden="false" outlineLevel="0" max="6" min="6" style="0" width="68"/>
    <col collapsed="false" customWidth="true" hidden="false" outlineLevel="0" max="7" min="7" style="0" width="19"/>
    <col collapsed="false" customWidth="true" hidden="false" outlineLevel="0" max="8" min="8" style="0" width="15"/>
    <col collapsed="false" customWidth="true" hidden="false" outlineLevel="0" max="9" min="9" style="0" width="17"/>
    <col collapsed="false" customWidth="true" hidden="false" outlineLevel="0" max="10" min="10" style="0" width="16"/>
    <col collapsed="false" customWidth="true" hidden="false" outlineLevel="0" max="11" min="11" style="0" width="18"/>
    <col collapsed="false" customWidth="true" hidden="false" outlineLevel="0" max="12" min="12" style="0" width="14"/>
    <col collapsed="false" customWidth="true" hidden="false" outlineLevel="0" max="13" min="13" style="0" width="17"/>
    <col collapsed="false" customWidth="true" hidden="false" outlineLevel="0" max="14" min="14" style="0" width="19"/>
    <col collapsed="false" customWidth="true" hidden="false" outlineLevel="0" max="15" min="15" style="0" width="22"/>
    <col collapsed="false" customWidth="true" hidden="false" outlineLevel="0" max="16" min="16" style="0" width="17"/>
    <col collapsed="false" customWidth="true" hidden="false" outlineLevel="0" max="17" min="17" style="0" width="15"/>
    <col collapsed="false" customWidth="true" hidden="false" outlineLevel="0" max="19" min="18" style="0" width="18"/>
    <col collapsed="false" customWidth="true" hidden="false" outlineLevel="0" max="20" min="20" style="0" width="17"/>
    <col collapsed="false" customWidth="true" hidden="false" outlineLevel="0" max="21" min="21" style="0" width="18"/>
    <col collapsed="false" customWidth="true" hidden="false" outlineLevel="0" max="23" min="22" style="0" width="15"/>
    <col collapsed="false" customWidth="true" hidden="false" outlineLevel="0" max="24" min="24" style="0" width="17"/>
    <col collapsed="false" customWidth="true" hidden="false" outlineLevel="0" max="25" min="25" style="0" width="15"/>
    <col collapsed="false" customWidth="true" hidden="false" outlineLevel="0" max="27" min="26" style="0" width="18"/>
    <col collapsed="false" customWidth="true" hidden="false" outlineLevel="0" max="28" min="28" style="0" width="25"/>
    <col collapsed="false" customWidth="true" hidden="false" outlineLevel="0" max="29" min="29" style="0" width="33"/>
    <col collapsed="false" customWidth="true" hidden="false" outlineLevel="0" max="30" min="30" style="0" width="34"/>
    <col collapsed="false" customWidth="true" hidden="false" outlineLevel="0" max="31" min="31" style="0" width="64"/>
    <col collapsed="false" customWidth="true" hidden="false" outlineLevel="0" max="32" min="32" style="0" width="62"/>
    <col collapsed="false" customWidth="true" hidden="false" outlineLevel="0" max="33" min="33" style="0" width="104"/>
    <col collapsed="false" customWidth="true" hidden="false" outlineLevel="0" max="34" min="34" style="0" width="65"/>
    <col collapsed="false" customWidth="true" hidden="false" outlineLevel="0" max="35" min="35" style="0" width="96"/>
    <col collapsed="false" customWidth="true" hidden="false" outlineLevel="0" max="36" min="36" style="0" width="72"/>
    <col collapsed="false" customWidth="true" hidden="false" outlineLevel="0" max="37" min="37" style="0" width="75"/>
    <col collapsed="false" customWidth="true" hidden="false" outlineLevel="0" max="38" min="38" style="0" width="68"/>
    <col collapsed="false" customWidth="true" hidden="false" outlineLevel="0" max="40" min="39" style="0" width="33"/>
    <col collapsed="false" customWidth="true" hidden="false" outlineLevel="0" max="41" min="41" style="0" width="100"/>
    <col collapsed="false" customWidth="true" hidden="false" outlineLevel="0" max="42" min="42" style="0" width="68"/>
    <col collapsed="false" customWidth="true" hidden="false" outlineLevel="0" max="43" min="43" style="0" width="40"/>
    <col collapsed="false" customWidth="true" hidden="false" outlineLevel="0" max="44" min="44" style="0" width="22"/>
    <col collapsed="false" customWidth="true" hidden="false" outlineLevel="0" max="45" min="45" style="0" width="47"/>
    <col collapsed="false" customWidth="true" hidden="false" outlineLevel="0" max="46" min="46" style="0" width="104"/>
    <col collapsed="false" customWidth="true" hidden="false" outlineLevel="0" max="47" min="47" style="0" width="120"/>
    <col collapsed="false" customWidth="true" hidden="false" outlineLevel="0" max="48" min="48" style="0" width="95"/>
    <col collapsed="false" customWidth="true" hidden="false" outlineLevel="0" max="49" min="49" style="0" width="80"/>
    <col collapsed="false" customWidth="true" hidden="false" outlineLevel="0" max="50" min="50" style="0" width="92"/>
    <col collapsed="false" customWidth="true" hidden="false" outlineLevel="0" max="51" min="51" style="0" width="34"/>
    <col collapsed="false" customWidth="true" hidden="false" outlineLevel="0" max="52" min="52" style="0" width="52"/>
    <col collapsed="false" customWidth="true" hidden="false" outlineLevel="0" max="53" min="53" style="0" width="24"/>
    <col collapsed="false" customWidth="true" hidden="false" outlineLevel="0" max="55" min="54" style="0" width="76"/>
    <col collapsed="false" customWidth="true" hidden="false" outlineLevel="0" max="56" min="56" style="0" width="84"/>
    <col collapsed="false" customWidth="true" hidden="false" outlineLevel="0" max="57" min="57" style="0" width="68"/>
    <col collapsed="false" customWidth="true" hidden="false" outlineLevel="0" max="58" min="58" style="0" width="100"/>
    <col collapsed="false" customWidth="true" hidden="false" outlineLevel="0" max="59" min="59" style="0" width="90"/>
    <col collapsed="false" customWidth="true" hidden="false" outlineLevel="0" max="60" min="60" style="0" width="70"/>
  </cols>
  <sheetData>
    <row r="1" customFormat="false" ht="54" hidden="false" customHeight="true" outlineLevel="0" collapsed="false">
      <c r="A1" s="144" t="s">
        <v>2799</v>
      </c>
      <c r="B1" s="144" t="s">
        <v>797</v>
      </c>
      <c r="C1" s="144" t="s">
        <v>4062</v>
      </c>
      <c r="D1" s="144" t="s">
        <v>3975</v>
      </c>
      <c r="E1" s="144" t="s">
        <v>3976</v>
      </c>
      <c r="F1" s="144" t="s">
        <v>3870</v>
      </c>
      <c r="G1" s="144" t="s">
        <v>3977</v>
      </c>
      <c r="H1" s="144" t="s">
        <v>3978</v>
      </c>
      <c r="I1" s="144" t="s">
        <v>3979</v>
      </c>
      <c r="J1" s="144" t="s">
        <v>3980</v>
      </c>
      <c r="K1" s="144" t="s">
        <v>3981</v>
      </c>
      <c r="L1" s="144" t="s">
        <v>3982</v>
      </c>
      <c r="M1" s="144" t="s">
        <v>3983</v>
      </c>
      <c r="N1" s="144" t="s">
        <v>4429</v>
      </c>
      <c r="O1" s="144" t="s">
        <v>2810</v>
      </c>
      <c r="P1" s="144" t="s">
        <v>3985</v>
      </c>
      <c r="Q1" s="144" t="s">
        <v>754</v>
      </c>
      <c r="R1" s="144" t="s">
        <v>756</v>
      </c>
      <c r="S1" s="144" t="s">
        <v>758</v>
      </c>
      <c r="T1" s="144" t="s">
        <v>3877</v>
      </c>
      <c r="U1" s="144" t="s">
        <v>762</v>
      </c>
      <c r="V1" s="144" t="s">
        <v>3986</v>
      </c>
      <c r="W1" s="144" t="s">
        <v>711</v>
      </c>
      <c r="X1" s="144" t="s">
        <v>713</v>
      </c>
      <c r="Y1" s="144" t="s">
        <v>707</v>
      </c>
      <c r="Z1" s="144" t="s">
        <v>3987</v>
      </c>
      <c r="AA1" s="144" t="s">
        <v>3880</v>
      </c>
      <c r="AB1" s="144" t="s">
        <v>3988</v>
      </c>
      <c r="AC1" s="144" t="s">
        <v>4063</v>
      </c>
      <c r="AD1" s="144" t="s">
        <v>238</v>
      </c>
      <c r="AE1" s="144" t="s">
        <v>4064</v>
      </c>
      <c r="AF1" s="144" t="s">
        <v>3886</v>
      </c>
      <c r="AG1" s="144" t="s">
        <v>4065</v>
      </c>
      <c r="AH1" s="144" t="s">
        <v>4066</v>
      </c>
      <c r="AI1" s="144" t="s">
        <v>4067</v>
      </c>
      <c r="AJ1" s="144" t="s">
        <v>3994</v>
      </c>
      <c r="AK1" s="144" t="s">
        <v>4068</v>
      </c>
      <c r="AL1" s="144" t="s">
        <v>3996</v>
      </c>
      <c r="AM1" s="144" t="s">
        <v>3997</v>
      </c>
      <c r="AN1" s="144" t="s">
        <v>2827</v>
      </c>
      <c r="AO1" s="144" t="s">
        <v>3998</v>
      </c>
      <c r="AP1" s="144" t="s">
        <v>4069</v>
      </c>
      <c r="AQ1" s="144" t="s">
        <v>4430</v>
      </c>
      <c r="AR1" s="144" t="s">
        <v>4431</v>
      </c>
      <c r="AS1" s="144" t="s">
        <v>4071</v>
      </c>
      <c r="AT1" s="144" t="s">
        <v>4432</v>
      </c>
      <c r="AU1" s="144" t="s">
        <v>4073</v>
      </c>
      <c r="AV1" s="144" t="s">
        <v>4074</v>
      </c>
      <c r="AW1" s="144" t="s">
        <v>4075</v>
      </c>
      <c r="AX1" s="144" t="s">
        <v>4076</v>
      </c>
      <c r="AY1" s="144" t="s">
        <v>4077</v>
      </c>
      <c r="AZ1" s="144" t="s">
        <v>4078</v>
      </c>
      <c r="BA1" s="144" t="s">
        <v>4079</v>
      </c>
      <c r="BB1" s="144" t="s">
        <v>4080</v>
      </c>
      <c r="BC1" s="144" t="s">
        <v>4081</v>
      </c>
      <c r="BD1" s="144" t="s">
        <v>4082</v>
      </c>
      <c r="BE1" s="144" t="s">
        <v>4083</v>
      </c>
      <c r="BF1" s="144" t="s">
        <v>4084</v>
      </c>
      <c r="BG1" s="144" t="s">
        <v>4085</v>
      </c>
      <c r="BH1" s="144" t="s">
        <v>4086</v>
      </c>
    </row>
    <row r="2" customFormat="false" ht="130" hidden="false" customHeight="true" outlineLevel="0" collapsed="false">
      <c r="A2" s="145" t="s">
        <v>4433</v>
      </c>
      <c r="B2" s="145" t="s">
        <v>1669</v>
      </c>
      <c r="C2" s="145" t="s">
        <v>883</v>
      </c>
      <c r="D2" s="145" t="s">
        <v>2856</v>
      </c>
      <c r="E2" s="145" t="s">
        <v>2860</v>
      </c>
      <c r="F2" s="145" t="s">
        <v>2861</v>
      </c>
      <c r="G2" s="145" t="s">
        <v>2855</v>
      </c>
      <c r="H2" s="146" t="n">
        <v>50</v>
      </c>
      <c r="I2" s="146" t="n">
        <v>50</v>
      </c>
      <c r="J2" s="146" t="n">
        <v>50</v>
      </c>
      <c r="K2" s="146" t="n">
        <v>50</v>
      </c>
      <c r="L2" s="146" t="n">
        <v>0</v>
      </c>
      <c r="M2" s="145" t="s">
        <v>4001</v>
      </c>
      <c r="N2" s="145" t="s">
        <v>3838</v>
      </c>
      <c r="O2" s="145" t="s">
        <v>4002</v>
      </c>
      <c r="P2" s="145" t="b">
        <f aca="false">TRUE()</f>
        <v>1</v>
      </c>
      <c r="Q2" s="146" t="n">
        <v>0</v>
      </c>
      <c r="R2" s="146" t="n">
        <v>0</v>
      </c>
      <c r="S2" s="146" t="n">
        <v>0</v>
      </c>
      <c r="T2" s="146" t="n">
        <v>0</v>
      </c>
      <c r="U2" s="146" t="n">
        <v>0</v>
      </c>
      <c r="V2" s="146" t="n">
        <v>0</v>
      </c>
      <c r="W2" s="146" t="n">
        <f aca="false">IF(AND(AB2="范围已验收",N2="verified"),1,0)</f>
        <v>0</v>
      </c>
      <c r="X2" s="146" t="n">
        <v>0</v>
      </c>
      <c r="Y2" s="146" t="n">
        <f aca="false">IF(AB2="范围已验收",1,0)</f>
        <v>1</v>
      </c>
      <c r="Z2" s="146" t="n">
        <f aca="false">H2*Y2</f>
        <v>50</v>
      </c>
      <c r="AA2" s="146" t="n">
        <f aca="false">IF(AND(A2&lt;&gt;"",COUNTIF($A$2:$A$21,A2)=1),1,0)</f>
        <v>1</v>
      </c>
      <c r="AB2" s="145" t="str">
        <f aca="false">IF(AND(AA2=1,H2&gt;0,I2=H2,J2=H2,K2=H2,L2=0,M2="已接受",N2=AR2,OR(AR2="needs_review",AR2="verified"),O2="full_present_file",P2=TRUE(),COUNT(Q2:V2)=6,COUNTIF(Q2:V2,0)=6,X2=0,F2&lt;&gt;"",G2&lt;&gt;"",AE2&lt;&gt;"",AW2&lt;&gt;"",BG2&lt;&gt;""),"范围已验收","范围冲突或重复")</f>
        <v>范围已验收</v>
      </c>
      <c r="AC2" s="147" t="n">
        <v>46321.8059606482</v>
      </c>
      <c r="AD2" s="145" t="str">
        <f aca="false">HYPERLINK("https://chatgpt.com/api/library/files/libfile_5a0fb263dc488191a6c43165bdb887e6/download","下载B24私有接受元数据包")</f>
        <v>下载B24私有接受元数据包</v>
      </c>
      <c r="AE2" s="145" t="s">
        <v>4003</v>
      </c>
      <c r="AF2" s="145" t="s">
        <v>2865</v>
      </c>
      <c r="AG2" s="145" t="s">
        <v>4434</v>
      </c>
      <c r="AH2" s="145" t="s">
        <v>4435</v>
      </c>
      <c r="AI2" s="145" t="s">
        <v>4436</v>
      </c>
      <c r="AJ2" s="145" t="s">
        <v>4091</v>
      </c>
      <c r="AK2" s="145" t="s">
        <v>4437</v>
      </c>
      <c r="AL2" s="145" t="s">
        <v>4009</v>
      </c>
      <c r="AM2" s="147" t="n">
        <v>46321.7090046296</v>
      </c>
      <c r="AN2" s="147" t="n">
        <v>46321.8010763889</v>
      </c>
      <c r="AO2" s="145" t="s">
        <v>4438</v>
      </c>
      <c r="AP2" s="145" t="s">
        <v>4439</v>
      </c>
      <c r="AQ2" s="145" t="s">
        <v>611</v>
      </c>
      <c r="AR2" s="145" t="s">
        <v>3838</v>
      </c>
      <c r="AS2" s="145" t="s">
        <v>4440</v>
      </c>
      <c r="AT2" s="145" t="s">
        <v>4441</v>
      </c>
      <c r="AU2" s="145" t="s">
        <v>4442</v>
      </c>
      <c r="AV2" s="145" t="s">
        <v>4434</v>
      </c>
      <c r="AW2" s="145" t="s">
        <v>4100</v>
      </c>
      <c r="AX2" s="145" t="s">
        <v>4443</v>
      </c>
      <c r="AY2" s="145" t="s">
        <v>4104</v>
      </c>
      <c r="AZ2" s="145" t="s">
        <v>4104</v>
      </c>
      <c r="BA2" s="145" t="s">
        <v>4104</v>
      </c>
      <c r="BB2" s="145" t="s">
        <v>4444</v>
      </c>
      <c r="BC2" s="145" t="s">
        <v>4445</v>
      </c>
      <c r="BD2" s="145" t="s">
        <v>4446</v>
      </c>
      <c r="BE2" s="145" t="s">
        <v>4447</v>
      </c>
      <c r="BF2" s="145" t="s">
        <v>4448</v>
      </c>
      <c r="BG2" s="145" t="s">
        <v>4449</v>
      </c>
      <c r="BH2" s="145" t="s">
        <v>4110</v>
      </c>
    </row>
    <row r="3" customFormat="false" ht="130" hidden="false" customHeight="true" outlineLevel="0" collapsed="false">
      <c r="A3" s="145" t="s">
        <v>4450</v>
      </c>
      <c r="B3" s="145" t="s">
        <v>1669</v>
      </c>
      <c r="C3" s="145" t="s">
        <v>883</v>
      </c>
      <c r="D3" s="145" t="s">
        <v>2876</v>
      </c>
      <c r="E3" s="145" t="s">
        <v>2877</v>
      </c>
      <c r="F3" s="145" t="s">
        <v>2878</v>
      </c>
      <c r="G3" s="145" t="s">
        <v>2875</v>
      </c>
      <c r="H3" s="146" t="n">
        <v>50</v>
      </c>
      <c r="I3" s="146" t="n">
        <v>50</v>
      </c>
      <c r="J3" s="146" t="n">
        <v>50</v>
      </c>
      <c r="K3" s="146" t="n">
        <v>50</v>
      </c>
      <c r="L3" s="146" t="n">
        <v>0</v>
      </c>
      <c r="M3" s="145" t="s">
        <v>4001</v>
      </c>
      <c r="N3" s="145" t="s">
        <v>3838</v>
      </c>
      <c r="O3" s="145" t="s">
        <v>4002</v>
      </c>
      <c r="P3" s="145" t="b">
        <f aca="false">TRUE()</f>
        <v>1</v>
      </c>
      <c r="Q3" s="146" t="n">
        <v>0</v>
      </c>
      <c r="R3" s="146" t="n">
        <v>0</v>
      </c>
      <c r="S3" s="146" t="n">
        <v>0</v>
      </c>
      <c r="T3" s="146" t="n">
        <v>0</v>
      </c>
      <c r="U3" s="146" t="n">
        <v>0</v>
      </c>
      <c r="V3" s="146" t="n">
        <v>0</v>
      </c>
      <c r="W3" s="146" t="n">
        <f aca="false">IF(AND(AB3="范围已验收",N3="verified"),1,0)</f>
        <v>0</v>
      </c>
      <c r="X3" s="146" t="n">
        <v>0</v>
      </c>
      <c r="Y3" s="146" t="n">
        <f aca="false">IF(AB3="范围已验收",1,0)</f>
        <v>1</v>
      </c>
      <c r="Z3" s="146" t="n">
        <f aca="false">H3*Y3</f>
        <v>50</v>
      </c>
      <c r="AA3" s="146" t="n">
        <f aca="false">IF(AND(A3&lt;&gt;"",COUNTIF($A$2:$A$21,A3)=1),1,0)</f>
        <v>1</v>
      </c>
      <c r="AB3" s="145" t="str">
        <f aca="false">IF(AND(AA3=1,H3&gt;0,I3=H3,J3=H3,K3=H3,L3=0,M3="已接受",N3=AR3,OR(AR3="needs_review",AR3="verified"),O3="full_present_file",P3=TRUE(),COUNT(Q3:V3)=6,COUNTIF(Q3:V3,0)=6,X3=0,F3&lt;&gt;"",G3&lt;&gt;"",AE3&lt;&gt;"",AW3&lt;&gt;"",BG3&lt;&gt;""),"范围已验收","范围冲突或重复")</f>
        <v>范围已验收</v>
      </c>
      <c r="AC3" s="147" t="n">
        <v>46321.8059606482</v>
      </c>
      <c r="AD3" s="145" t="str">
        <f aca="false">HYPERLINK("https://chatgpt.com/api/library/files/libfile_5a0fb263dc488191a6c43165bdb887e6/download","下载B24私有接受元数据包")</f>
        <v>下载B24私有接受元数据包</v>
      </c>
      <c r="AE3" s="145" t="s">
        <v>4014</v>
      </c>
      <c r="AF3" s="145" t="s">
        <v>2879</v>
      </c>
      <c r="AG3" s="145" t="s">
        <v>4451</v>
      </c>
      <c r="AH3" s="145" t="s">
        <v>4452</v>
      </c>
      <c r="AI3" s="145" t="s">
        <v>4453</v>
      </c>
      <c r="AJ3" s="145" t="s">
        <v>4091</v>
      </c>
      <c r="AK3" s="145" t="s">
        <v>4454</v>
      </c>
      <c r="AL3" s="145" t="s">
        <v>4009</v>
      </c>
      <c r="AM3" s="147" t="n">
        <v>46321.7090046296</v>
      </c>
      <c r="AN3" s="147" t="n">
        <v>46321.8010763889</v>
      </c>
      <c r="AO3" s="145" t="s">
        <v>4455</v>
      </c>
      <c r="AP3" s="145" t="s">
        <v>4439</v>
      </c>
      <c r="AQ3" s="145" t="s">
        <v>611</v>
      </c>
      <c r="AR3" s="145" t="s">
        <v>3838</v>
      </c>
      <c r="AS3" s="145" t="s">
        <v>4456</v>
      </c>
      <c r="AT3" s="145" t="s">
        <v>4457</v>
      </c>
      <c r="AU3" s="145" t="s">
        <v>4458</v>
      </c>
      <c r="AV3" s="145" t="s">
        <v>4451</v>
      </c>
      <c r="AW3" s="145" t="s">
        <v>4120</v>
      </c>
      <c r="AX3" s="145" t="s">
        <v>4459</v>
      </c>
      <c r="AY3" s="145" t="s">
        <v>4104</v>
      </c>
      <c r="AZ3" s="145" t="s">
        <v>4104</v>
      </c>
      <c r="BA3" s="145" t="s">
        <v>4104</v>
      </c>
      <c r="BB3" s="145" t="s">
        <v>4460</v>
      </c>
      <c r="BC3" s="145" t="s">
        <v>4461</v>
      </c>
      <c r="BD3" s="145" t="s">
        <v>4462</v>
      </c>
      <c r="BE3" s="145" t="s">
        <v>4463</v>
      </c>
      <c r="BF3" s="145" t="s">
        <v>4464</v>
      </c>
      <c r="BG3" s="145" t="s">
        <v>4465</v>
      </c>
      <c r="BH3" s="145" t="s">
        <v>4110</v>
      </c>
    </row>
    <row r="4" customFormat="false" ht="130" hidden="false" customHeight="true" outlineLevel="0" collapsed="false">
      <c r="A4" s="145" t="s">
        <v>4466</v>
      </c>
      <c r="B4" s="145" t="s">
        <v>1669</v>
      </c>
      <c r="C4" s="145" t="s">
        <v>883</v>
      </c>
      <c r="D4" s="145" t="s">
        <v>2889</v>
      </c>
      <c r="E4" s="145" t="s">
        <v>2892</v>
      </c>
      <c r="F4" s="145" t="s">
        <v>2893</v>
      </c>
      <c r="G4" s="145" t="s">
        <v>2888</v>
      </c>
      <c r="H4" s="146" t="n">
        <v>55</v>
      </c>
      <c r="I4" s="146" t="n">
        <v>55</v>
      </c>
      <c r="J4" s="146" t="n">
        <v>55</v>
      </c>
      <c r="K4" s="146" t="n">
        <v>55</v>
      </c>
      <c r="L4" s="146" t="n">
        <v>0</v>
      </c>
      <c r="M4" s="145" t="s">
        <v>4001</v>
      </c>
      <c r="N4" s="145" t="s">
        <v>3838</v>
      </c>
      <c r="O4" s="145" t="s">
        <v>4002</v>
      </c>
      <c r="P4" s="145" t="b">
        <f aca="false">TRUE()</f>
        <v>1</v>
      </c>
      <c r="Q4" s="146" t="n">
        <v>0</v>
      </c>
      <c r="R4" s="146" t="n">
        <v>0</v>
      </c>
      <c r="S4" s="146" t="n">
        <v>0</v>
      </c>
      <c r="T4" s="146" t="n">
        <v>0</v>
      </c>
      <c r="U4" s="146" t="n">
        <v>0</v>
      </c>
      <c r="V4" s="146" t="n">
        <v>0</v>
      </c>
      <c r="W4" s="146" t="n">
        <f aca="false">IF(AND(AB4="范围已验收",N4="verified"),1,0)</f>
        <v>0</v>
      </c>
      <c r="X4" s="146" t="n">
        <v>0</v>
      </c>
      <c r="Y4" s="146" t="n">
        <f aca="false">IF(AB4="范围已验收",1,0)</f>
        <v>1</v>
      </c>
      <c r="Z4" s="146" t="n">
        <f aca="false">H4*Y4</f>
        <v>55</v>
      </c>
      <c r="AA4" s="146" t="n">
        <f aca="false">IF(AND(A4&lt;&gt;"",COUNTIF($A$2:$A$21,A4)=1),1,0)</f>
        <v>1</v>
      </c>
      <c r="AB4" s="145" t="str">
        <f aca="false">IF(AND(AA4=1,H4&gt;0,I4=H4,J4=H4,K4=H4,L4=0,M4="已接受",N4=AR4,OR(AR4="needs_review",AR4="verified"),O4="full_present_file",P4=TRUE(),COUNT(Q4:V4)=6,COUNTIF(Q4:V4,0)=6,X4=0,F4&lt;&gt;"",G4&lt;&gt;"",AE4&lt;&gt;"",AW4&lt;&gt;"",BG4&lt;&gt;""),"范围已验收","范围冲突或重复")</f>
        <v>范围已验收</v>
      </c>
      <c r="AC4" s="147" t="n">
        <v>46321.8088541667</v>
      </c>
      <c r="AD4" s="145" t="str">
        <f aca="false">HYPERLINK("https://chatgpt.com/api/library/files/libfile_5a0fb263dc488191a6c43165bdb887e6/download","下载B24私有接受元数据包")</f>
        <v>下载B24私有接受元数据包</v>
      </c>
      <c r="AE4" s="145" t="s">
        <v>4021</v>
      </c>
      <c r="AF4" s="145" t="s">
        <v>2897</v>
      </c>
      <c r="AG4" s="145" t="s">
        <v>4451</v>
      </c>
      <c r="AH4" s="145" t="s">
        <v>4452</v>
      </c>
      <c r="AI4" s="145" t="s">
        <v>4467</v>
      </c>
      <c r="AJ4" s="145" t="s">
        <v>4091</v>
      </c>
      <c r="AK4" s="145" t="s">
        <v>4468</v>
      </c>
      <c r="AL4" s="145" t="s">
        <v>4009</v>
      </c>
      <c r="AM4" s="147" t="n">
        <v>46321.7090046296</v>
      </c>
      <c r="AN4" s="147" t="n">
        <v>46321.8010763889</v>
      </c>
      <c r="AO4" s="145" t="s">
        <v>4469</v>
      </c>
      <c r="AP4" s="145" t="s">
        <v>4439</v>
      </c>
      <c r="AQ4" s="145" t="s">
        <v>611</v>
      </c>
      <c r="AR4" s="145" t="s">
        <v>3838</v>
      </c>
      <c r="AS4" s="145" t="s">
        <v>4470</v>
      </c>
      <c r="AT4" s="145" t="s">
        <v>4471</v>
      </c>
      <c r="AU4" s="145" t="s">
        <v>4472</v>
      </c>
      <c r="AV4" s="145" t="s">
        <v>4451</v>
      </c>
      <c r="AW4" s="145" t="s">
        <v>4137</v>
      </c>
      <c r="AX4" s="145" t="s">
        <v>4473</v>
      </c>
      <c r="AY4" s="145" t="s">
        <v>4104</v>
      </c>
      <c r="AZ4" s="145" t="s">
        <v>4104</v>
      </c>
      <c r="BA4" s="145" t="s">
        <v>4104</v>
      </c>
      <c r="BB4" s="145" t="s">
        <v>4460</v>
      </c>
      <c r="BC4" s="145" t="s">
        <v>4474</v>
      </c>
      <c r="BD4" s="145" t="s">
        <v>4475</v>
      </c>
      <c r="BE4" s="145" t="s">
        <v>4476</v>
      </c>
      <c r="BF4" s="145" t="s">
        <v>4477</v>
      </c>
      <c r="BG4" s="145" t="s">
        <v>4478</v>
      </c>
      <c r="BH4" s="145" t="s">
        <v>4110</v>
      </c>
    </row>
    <row r="5" customFormat="false" ht="132" hidden="false" customHeight="true" outlineLevel="0" collapsed="false">
      <c r="A5" s="145" t="s">
        <v>4479</v>
      </c>
      <c r="B5" s="145" t="s">
        <v>1669</v>
      </c>
      <c r="C5" s="145" t="s">
        <v>883</v>
      </c>
      <c r="D5" s="145" t="s">
        <v>3160</v>
      </c>
      <c r="E5" s="145" t="s">
        <v>3163</v>
      </c>
      <c r="F5" s="145" t="s">
        <v>3164</v>
      </c>
      <c r="G5" s="145" t="s">
        <v>3159</v>
      </c>
      <c r="H5" s="146" t="n">
        <v>57</v>
      </c>
      <c r="I5" s="146" t="n">
        <v>57</v>
      </c>
      <c r="J5" s="146" t="n">
        <v>57</v>
      </c>
      <c r="K5" s="146" t="n">
        <v>57</v>
      </c>
      <c r="L5" s="146" t="n">
        <v>0</v>
      </c>
      <c r="M5" s="145" t="s">
        <v>4001</v>
      </c>
      <c r="N5" s="145" t="s">
        <v>3838</v>
      </c>
      <c r="O5" s="145" t="s">
        <v>4002</v>
      </c>
      <c r="P5" s="145" t="b">
        <f aca="false">TRUE()</f>
        <v>1</v>
      </c>
      <c r="Q5" s="146" t="n">
        <v>0</v>
      </c>
      <c r="R5" s="146" t="n">
        <v>0</v>
      </c>
      <c r="S5" s="146" t="n">
        <v>0</v>
      </c>
      <c r="T5" s="146" t="n">
        <v>0</v>
      </c>
      <c r="U5" s="146" t="n">
        <v>0</v>
      </c>
      <c r="V5" s="146" t="n">
        <v>0</v>
      </c>
      <c r="W5" s="146" t="n">
        <f aca="false">IF(AND(AB5="范围已验收",N5="verified"),1,0)</f>
        <v>0</v>
      </c>
      <c r="X5" s="146" t="n">
        <v>0</v>
      </c>
      <c r="Y5" s="146" t="n">
        <f aca="false">IF(AB5="范围已验收",1,0)</f>
        <v>1</v>
      </c>
      <c r="Z5" s="146" t="n">
        <f aca="false">H5*Y5</f>
        <v>57</v>
      </c>
      <c r="AA5" s="146" t="n">
        <f aca="false">IF(AND(A5&lt;&gt;"",COUNTIF($A$2:$A$21,A5)=1),1,0)</f>
        <v>1</v>
      </c>
      <c r="AB5" s="145" t="str">
        <f aca="false">IF(AND(AA5=1,H5&gt;0,I5=H5,J5=H5,K5=H5,L5=0,M5="已接受",N5=AR5,OR(AR5="needs_review",AR5="verified"),O5="full_present_file",P5=TRUE(),COUNT(Q5:V5)=6,COUNTIF(Q5:V5,0)=6,X5=0,F5&lt;&gt;"",G5&lt;&gt;"",AE5&lt;&gt;"",AW5&lt;&gt;"",BG5&lt;&gt;""),"范围已验收","范围冲突或重复")</f>
        <v>范围已验收</v>
      </c>
      <c r="AC5" s="147" t="n">
        <v>46321.8139699074</v>
      </c>
      <c r="AD5" s="145" t="str">
        <f aca="false">HYPERLINK("https://chatgpt.com/api/library/files/libfile_5a0fb263dc488191a6c43165bdb887e6/download","下载B24私有接受元数据包")</f>
        <v>下载B24私有接受元数据包</v>
      </c>
      <c r="AE5" s="145" t="s">
        <v>4028</v>
      </c>
      <c r="AF5" s="145" t="s">
        <v>3167</v>
      </c>
      <c r="AG5" s="145" t="s">
        <v>4451</v>
      </c>
      <c r="AH5" s="145" t="s">
        <v>4452</v>
      </c>
      <c r="AI5" s="145" t="s">
        <v>4480</v>
      </c>
      <c r="AJ5" s="145" t="s">
        <v>4091</v>
      </c>
      <c r="AK5" s="145" t="s">
        <v>4481</v>
      </c>
      <c r="AL5" s="145" t="s">
        <v>4009</v>
      </c>
      <c r="AM5" s="147" t="n">
        <v>46321.7090046296</v>
      </c>
      <c r="AN5" s="147" t="n">
        <v>46321.8010763889</v>
      </c>
      <c r="AO5" s="145" t="s">
        <v>4482</v>
      </c>
      <c r="AP5" s="145" t="s">
        <v>4439</v>
      </c>
      <c r="AQ5" s="145" t="s">
        <v>611</v>
      </c>
      <c r="AR5" s="145" t="s">
        <v>3838</v>
      </c>
      <c r="AS5" s="145" t="s">
        <v>4483</v>
      </c>
      <c r="AT5" s="145" t="s">
        <v>4484</v>
      </c>
      <c r="AU5" s="145" t="s">
        <v>4485</v>
      </c>
      <c r="AV5" s="145" t="s">
        <v>4451</v>
      </c>
      <c r="AW5" s="145" t="s">
        <v>4154</v>
      </c>
      <c r="AX5" s="145" t="s">
        <v>4486</v>
      </c>
      <c r="AY5" s="145" t="s">
        <v>4487</v>
      </c>
      <c r="AZ5" s="145" t="s">
        <v>4104</v>
      </c>
      <c r="BA5" s="145" t="s">
        <v>4104</v>
      </c>
      <c r="BB5" s="145" t="s">
        <v>883</v>
      </c>
      <c r="BC5" s="145" t="s">
        <v>4488</v>
      </c>
      <c r="BD5" s="145" t="s">
        <v>4489</v>
      </c>
      <c r="BE5" s="145" t="s">
        <v>4490</v>
      </c>
      <c r="BF5" s="145" t="s">
        <v>4491</v>
      </c>
      <c r="BG5" s="145" t="s">
        <v>4492</v>
      </c>
      <c r="BH5" s="145" t="s">
        <v>4145</v>
      </c>
    </row>
    <row r="6" customFormat="false" ht="184" hidden="false" customHeight="true" outlineLevel="0" collapsed="false">
      <c r="A6" s="145" t="s">
        <v>4493</v>
      </c>
      <c r="B6" s="145" t="s">
        <v>1669</v>
      </c>
      <c r="C6" s="145" t="s">
        <v>883</v>
      </c>
      <c r="D6" s="145" t="s">
        <v>3170</v>
      </c>
      <c r="E6" s="145" t="s">
        <v>3173</v>
      </c>
      <c r="F6" s="145" t="s">
        <v>3174</v>
      </c>
      <c r="G6" s="145" t="s">
        <v>3169</v>
      </c>
      <c r="H6" s="146" t="n">
        <v>69</v>
      </c>
      <c r="I6" s="146" t="n">
        <v>69</v>
      </c>
      <c r="J6" s="146" t="n">
        <v>69</v>
      </c>
      <c r="K6" s="146" t="n">
        <v>69</v>
      </c>
      <c r="L6" s="146" t="n">
        <v>0</v>
      </c>
      <c r="M6" s="145" t="s">
        <v>4001</v>
      </c>
      <c r="N6" s="145" t="s">
        <v>3838</v>
      </c>
      <c r="O6" s="145" t="s">
        <v>4002</v>
      </c>
      <c r="P6" s="145" t="b">
        <f aca="false">TRUE()</f>
        <v>1</v>
      </c>
      <c r="Q6" s="146" t="n">
        <v>0</v>
      </c>
      <c r="R6" s="146" t="n">
        <v>0</v>
      </c>
      <c r="S6" s="146" t="n">
        <v>0</v>
      </c>
      <c r="T6" s="146" t="n">
        <v>0</v>
      </c>
      <c r="U6" s="146" t="n">
        <v>0</v>
      </c>
      <c r="V6" s="146" t="n">
        <v>0</v>
      </c>
      <c r="W6" s="146" t="n">
        <f aca="false">IF(AND(AB6="范围已验收",N6="verified"),1,0)</f>
        <v>0</v>
      </c>
      <c r="X6" s="146" t="n">
        <v>0</v>
      </c>
      <c r="Y6" s="146" t="n">
        <f aca="false">IF(AB6="范围已验收",1,0)</f>
        <v>1</v>
      </c>
      <c r="Z6" s="146" t="n">
        <f aca="false">H6*Y6</f>
        <v>69</v>
      </c>
      <c r="AA6" s="146" t="n">
        <f aca="false">IF(AND(A6&lt;&gt;"",COUNTIF($A$2:$A$21,A6)=1),1,0)</f>
        <v>1</v>
      </c>
      <c r="AB6" s="145" t="str">
        <f aca="false">IF(AND(AA6=1,H6&gt;0,I6=H6,J6=H6,K6=H6,L6=0,M6="已接受",N6=AR6,OR(AR6="needs_review",AR6="verified"),O6="full_present_file",P6=TRUE(),COUNT(Q6:V6)=6,COUNTIF(Q6:V6,0)=6,X6=0,F6&lt;&gt;"",G6&lt;&gt;"",AE6&lt;&gt;"",AW6&lt;&gt;"",BG6&lt;&gt;""),"范围已验收","范围冲突或重复")</f>
        <v>范围已验收</v>
      </c>
      <c r="AC6" s="147" t="n">
        <v>46321.8094328704</v>
      </c>
      <c r="AD6" s="145" t="str">
        <f aca="false">HYPERLINK("https://chatgpt.com/api/library/files/libfile_5a0fb263dc488191a6c43165bdb887e6/download","下载B24私有接受元数据包")</f>
        <v>下载B24私有接受元数据包</v>
      </c>
      <c r="AE6" s="145" t="s">
        <v>4035</v>
      </c>
      <c r="AF6" s="145" t="s">
        <v>3177</v>
      </c>
      <c r="AG6" s="145" t="s">
        <v>4494</v>
      </c>
      <c r="AH6" s="145" t="s">
        <v>4435</v>
      </c>
      <c r="AI6" s="145" t="s">
        <v>4495</v>
      </c>
      <c r="AJ6" s="145" t="s">
        <v>4091</v>
      </c>
      <c r="AK6" s="145" t="s">
        <v>4496</v>
      </c>
      <c r="AL6" s="145" t="s">
        <v>4009</v>
      </c>
      <c r="AM6" s="147" t="n">
        <v>46321.7090046296</v>
      </c>
      <c r="AN6" s="147" t="n">
        <v>46321.8010763889</v>
      </c>
      <c r="AO6" s="145" t="s">
        <v>4497</v>
      </c>
      <c r="AP6" s="145" t="s">
        <v>4439</v>
      </c>
      <c r="AQ6" s="145" t="s">
        <v>611</v>
      </c>
      <c r="AR6" s="145" t="s">
        <v>3838</v>
      </c>
      <c r="AS6" s="145" t="s">
        <v>4498</v>
      </c>
      <c r="AT6" s="145" t="s">
        <v>4499</v>
      </c>
      <c r="AU6" s="145" t="s">
        <v>4500</v>
      </c>
      <c r="AV6" s="145" t="s">
        <v>4494</v>
      </c>
      <c r="AW6" s="145" t="s">
        <v>4171</v>
      </c>
      <c r="AX6" s="145" t="s">
        <v>4501</v>
      </c>
      <c r="AY6" s="145" t="s">
        <v>4502</v>
      </c>
      <c r="AZ6" s="145" t="s">
        <v>4503</v>
      </c>
      <c r="BA6" s="145" t="s">
        <v>4104</v>
      </c>
      <c r="BB6" s="145" t="s">
        <v>883</v>
      </c>
      <c r="BC6" s="145" t="s">
        <v>4504</v>
      </c>
      <c r="BD6" s="145" t="s">
        <v>4505</v>
      </c>
      <c r="BE6" s="145" t="s">
        <v>4506</v>
      </c>
      <c r="BF6" s="145" t="s">
        <v>4507</v>
      </c>
      <c r="BG6" s="145" t="s">
        <v>4508</v>
      </c>
      <c r="BH6" s="145" t="s">
        <v>4145</v>
      </c>
    </row>
    <row r="7" customFormat="false" ht="145" hidden="false" customHeight="true" outlineLevel="0" collapsed="false">
      <c r="A7" s="145" t="s">
        <v>4509</v>
      </c>
      <c r="B7" s="145" t="s">
        <v>1669</v>
      </c>
      <c r="C7" s="145" t="s">
        <v>883</v>
      </c>
      <c r="D7" s="145" t="s">
        <v>3180</v>
      </c>
      <c r="E7" s="145" t="s">
        <v>3183</v>
      </c>
      <c r="F7" s="145" t="s">
        <v>3184</v>
      </c>
      <c r="G7" s="145" t="s">
        <v>3179</v>
      </c>
      <c r="H7" s="146" t="n">
        <v>67</v>
      </c>
      <c r="I7" s="146" t="n">
        <v>67</v>
      </c>
      <c r="J7" s="146" t="n">
        <v>67</v>
      </c>
      <c r="K7" s="146" t="n">
        <v>67</v>
      </c>
      <c r="L7" s="146" t="n">
        <v>0</v>
      </c>
      <c r="M7" s="145" t="s">
        <v>4001</v>
      </c>
      <c r="N7" s="145" t="s">
        <v>3838</v>
      </c>
      <c r="O7" s="145" t="s">
        <v>4002</v>
      </c>
      <c r="P7" s="145" t="b">
        <f aca="false">TRUE()</f>
        <v>1</v>
      </c>
      <c r="Q7" s="146" t="n">
        <v>0</v>
      </c>
      <c r="R7" s="146" t="n">
        <v>0</v>
      </c>
      <c r="S7" s="146" t="n">
        <v>0</v>
      </c>
      <c r="T7" s="146" t="n">
        <v>0</v>
      </c>
      <c r="U7" s="146" t="n">
        <v>0</v>
      </c>
      <c r="V7" s="146" t="n">
        <v>0</v>
      </c>
      <c r="W7" s="146" t="n">
        <f aca="false">IF(AND(AB7="范围已验收",N7="verified"),1,0)</f>
        <v>0</v>
      </c>
      <c r="X7" s="146" t="n">
        <v>0</v>
      </c>
      <c r="Y7" s="146" t="n">
        <f aca="false">IF(AB7="范围已验收",1,0)</f>
        <v>1</v>
      </c>
      <c r="Z7" s="146" t="n">
        <f aca="false">H7*Y7</f>
        <v>67</v>
      </c>
      <c r="AA7" s="146" t="n">
        <f aca="false">IF(AND(A7&lt;&gt;"",COUNTIF($A$2:$A$21,A7)=1),1,0)</f>
        <v>1</v>
      </c>
      <c r="AB7" s="145" t="str">
        <f aca="false">IF(AND(AA7=1,H7&gt;0,I7=H7,J7=H7,K7=H7,L7=0,M7="已接受",N7=AR7,OR(AR7="needs_review",AR7="verified"),O7="full_present_file",P7=TRUE(),COUNT(Q7:V7)=6,COUNTIF(Q7:V7,0)=6,X7=0,F7&lt;&gt;"",G7&lt;&gt;"",AE7&lt;&gt;"",AW7&lt;&gt;"",BG7&lt;&gt;""),"范围已验收","范围冲突或重复")</f>
        <v>范围已验收</v>
      </c>
      <c r="AC7" s="147" t="n">
        <v>46321.818587963</v>
      </c>
      <c r="AD7" s="145" t="str">
        <f aca="false">HYPERLINK("https://chatgpt.com/api/library/files/libfile_5a0fb263dc488191a6c43165bdb887e6/download","下载B24私有接受元数据包")</f>
        <v>下载B24私有接受元数据包</v>
      </c>
      <c r="AE7" s="145" t="s">
        <v>4042</v>
      </c>
      <c r="AF7" s="145" t="s">
        <v>3187</v>
      </c>
      <c r="AG7" s="145" t="s">
        <v>4451</v>
      </c>
      <c r="AH7" s="145" t="s">
        <v>4452</v>
      </c>
      <c r="AI7" s="145" t="s">
        <v>4510</v>
      </c>
      <c r="AJ7" s="145" t="s">
        <v>4091</v>
      </c>
      <c r="AK7" s="145" t="s">
        <v>4511</v>
      </c>
      <c r="AL7" s="145" t="s">
        <v>4009</v>
      </c>
      <c r="AM7" s="147" t="n">
        <v>46321.7090046296</v>
      </c>
      <c r="AN7" s="147" t="n">
        <v>46321.8010763889</v>
      </c>
      <c r="AO7" s="145" t="s">
        <v>4512</v>
      </c>
      <c r="AP7" s="145" t="s">
        <v>4439</v>
      </c>
      <c r="AQ7" s="145" t="s">
        <v>611</v>
      </c>
      <c r="AR7" s="145" t="s">
        <v>3838</v>
      </c>
      <c r="AS7" s="145" t="s">
        <v>4513</v>
      </c>
      <c r="AT7" s="145" t="s">
        <v>4514</v>
      </c>
      <c r="AU7" s="145" t="s">
        <v>4515</v>
      </c>
      <c r="AV7" s="145" t="s">
        <v>4451</v>
      </c>
      <c r="AW7" s="145" t="s">
        <v>4188</v>
      </c>
      <c r="AX7" s="145" t="s">
        <v>4516</v>
      </c>
      <c r="AY7" s="145" t="s">
        <v>4517</v>
      </c>
      <c r="AZ7" s="145" t="s">
        <v>4104</v>
      </c>
      <c r="BA7" s="145" t="s">
        <v>4104</v>
      </c>
      <c r="BB7" s="145" t="s">
        <v>883</v>
      </c>
      <c r="BC7" s="145" t="s">
        <v>4518</v>
      </c>
      <c r="BD7" s="145" t="s">
        <v>4519</v>
      </c>
      <c r="BE7" s="145" t="s">
        <v>4520</v>
      </c>
      <c r="BF7" s="145" t="s">
        <v>4521</v>
      </c>
      <c r="BG7" s="145" t="s">
        <v>4522</v>
      </c>
      <c r="BH7" s="145" t="s">
        <v>4145</v>
      </c>
    </row>
    <row r="8" customFormat="false" ht="130" hidden="false" customHeight="true" outlineLevel="0" collapsed="false">
      <c r="A8" s="145" t="s">
        <v>4523</v>
      </c>
      <c r="B8" s="145" t="s">
        <v>1669</v>
      </c>
      <c r="C8" s="145" t="s">
        <v>883</v>
      </c>
      <c r="D8" s="145" t="s">
        <v>3190</v>
      </c>
      <c r="E8" s="145" t="s">
        <v>3193</v>
      </c>
      <c r="F8" s="145" t="s">
        <v>3194</v>
      </c>
      <c r="G8" s="145" t="s">
        <v>3189</v>
      </c>
      <c r="H8" s="146" t="n">
        <v>48</v>
      </c>
      <c r="I8" s="146" t="n">
        <v>48</v>
      </c>
      <c r="J8" s="146" t="n">
        <v>48</v>
      </c>
      <c r="K8" s="146" t="n">
        <v>48</v>
      </c>
      <c r="L8" s="146" t="n">
        <v>0</v>
      </c>
      <c r="M8" s="145" t="s">
        <v>4001</v>
      </c>
      <c r="N8" s="145" t="s">
        <v>3838</v>
      </c>
      <c r="O8" s="145" t="s">
        <v>4002</v>
      </c>
      <c r="P8" s="145" t="b">
        <f aca="false">TRUE()</f>
        <v>1</v>
      </c>
      <c r="Q8" s="146" t="n">
        <v>0</v>
      </c>
      <c r="R8" s="146" t="n">
        <v>0</v>
      </c>
      <c r="S8" s="146" t="n">
        <v>0</v>
      </c>
      <c r="T8" s="146" t="n">
        <v>0</v>
      </c>
      <c r="U8" s="146" t="n">
        <v>0</v>
      </c>
      <c r="V8" s="146" t="n">
        <v>0</v>
      </c>
      <c r="W8" s="146" t="n">
        <f aca="false">IF(AND(AB8="范围已验收",N8="verified"),1,0)</f>
        <v>0</v>
      </c>
      <c r="X8" s="146" t="n">
        <v>0</v>
      </c>
      <c r="Y8" s="146" t="n">
        <f aca="false">IF(AB8="范围已验收",1,0)</f>
        <v>1</v>
      </c>
      <c r="Z8" s="146" t="n">
        <f aca="false">H8*Y8</f>
        <v>48</v>
      </c>
      <c r="AA8" s="146" t="n">
        <f aca="false">IF(AND(A8&lt;&gt;"",COUNTIF($A$2:$A$21,A8)=1),1,0)</f>
        <v>1</v>
      </c>
      <c r="AB8" s="145" t="str">
        <f aca="false">IF(AND(AA8=1,H8&gt;0,I8=H8,J8=H8,K8=H8,L8=0,M8="已接受",N8=AR8,OR(AR8="needs_review",AR8="verified"),O8="full_present_file",P8=TRUE(),COUNT(Q8:V8)=6,COUNTIF(Q8:V8,0)=6,X8=0,F8&lt;&gt;"",G8&lt;&gt;"",AE8&lt;&gt;"",AW8&lt;&gt;"",BG8&lt;&gt;""),"范围已验收","范围冲突或重复")</f>
        <v>范围已验收</v>
      </c>
      <c r="AC8" s="147" t="n">
        <v>46321.8241666667</v>
      </c>
      <c r="AD8" s="145" t="str">
        <f aca="false">HYPERLINK("https://chatgpt.com/api/library/files/libfile_5a0fb263dc488191a6c43165bdb887e6/download","下载B24私有接受元数据包")</f>
        <v>下载B24私有接受元数据包</v>
      </c>
      <c r="AE8" s="145" t="s">
        <v>4049</v>
      </c>
      <c r="AF8" s="145" t="s">
        <v>3197</v>
      </c>
      <c r="AG8" s="145" t="s">
        <v>4451</v>
      </c>
      <c r="AH8" s="145" t="s">
        <v>4452</v>
      </c>
      <c r="AI8" s="145" t="s">
        <v>4524</v>
      </c>
      <c r="AJ8" s="145" t="s">
        <v>4091</v>
      </c>
      <c r="AK8" s="145" t="s">
        <v>4525</v>
      </c>
      <c r="AL8" s="145" t="s">
        <v>4009</v>
      </c>
      <c r="AM8" s="147" t="n">
        <v>46321.7090046296</v>
      </c>
      <c r="AN8" s="147" t="n">
        <v>46321.8010763889</v>
      </c>
      <c r="AO8" s="145" t="s">
        <v>4526</v>
      </c>
      <c r="AP8" s="145" t="s">
        <v>4439</v>
      </c>
      <c r="AQ8" s="145" t="s">
        <v>611</v>
      </c>
      <c r="AR8" s="145" t="s">
        <v>3838</v>
      </c>
      <c r="AS8" s="145" t="s">
        <v>4527</v>
      </c>
      <c r="AT8" s="145" t="s">
        <v>4528</v>
      </c>
      <c r="AU8" s="145" t="s">
        <v>4529</v>
      </c>
      <c r="AV8" s="145" t="s">
        <v>4451</v>
      </c>
      <c r="AW8" s="145" t="s">
        <v>4203</v>
      </c>
      <c r="AX8" s="145" t="s">
        <v>4530</v>
      </c>
      <c r="AY8" s="145" t="s">
        <v>4531</v>
      </c>
      <c r="AZ8" s="145" t="s">
        <v>4104</v>
      </c>
      <c r="BA8" s="145" t="s">
        <v>4104</v>
      </c>
      <c r="BB8" s="145" t="s">
        <v>883</v>
      </c>
      <c r="BC8" s="145" t="s">
        <v>4532</v>
      </c>
      <c r="BD8" s="145" t="s">
        <v>4533</v>
      </c>
      <c r="BE8" s="145" t="s">
        <v>4534</v>
      </c>
      <c r="BF8" s="145" t="s">
        <v>4535</v>
      </c>
      <c r="BG8" s="145" t="s">
        <v>4536</v>
      </c>
      <c r="BH8" s="145" t="s">
        <v>4145</v>
      </c>
    </row>
    <row r="9" customFormat="false" ht="130" hidden="false" customHeight="true" outlineLevel="0" collapsed="false">
      <c r="A9" s="145" t="s">
        <v>4537</v>
      </c>
      <c r="B9" s="145" t="s">
        <v>1669</v>
      </c>
      <c r="C9" s="145" t="s">
        <v>883</v>
      </c>
      <c r="D9" s="145" t="s">
        <v>3211</v>
      </c>
      <c r="E9" s="145" t="s">
        <v>3214</v>
      </c>
      <c r="F9" s="145" t="s">
        <v>3215</v>
      </c>
      <c r="G9" s="145" t="s">
        <v>3210</v>
      </c>
      <c r="H9" s="146" t="n">
        <v>48</v>
      </c>
      <c r="I9" s="146" t="n">
        <v>48</v>
      </c>
      <c r="J9" s="146" t="n">
        <v>48</v>
      </c>
      <c r="K9" s="146" t="n">
        <v>48</v>
      </c>
      <c r="L9" s="146" t="n">
        <v>0</v>
      </c>
      <c r="M9" s="145" t="s">
        <v>4001</v>
      </c>
      <c r="N9" s="145" t="s">
        <v>3838</v>
      </c>
      <c r="O9" s="145" t="s">
        <v>4002</v>
      </c>
      <c r="P9" s="145" t="b">
        <f aca="false">TRUE()</f>
        <v>1</v>
      </c>
      <c r="Q9" s="146" t="n">
        <v>0</v>
      </c>
      <c r="R9" s="146" t="n">
        <v>0</v>
      </c>
      <c r="S9" s="146" t="n">
        <v>0</v>
      </c>
      <c r="T9" s="146" t="n">
        <v>0</v>
      </c>
      <c r="U9" s="146" t="n">
        <v>0</v>
      </c>
      <c r="V9" s="146" t="n">
        <v>0</v>
      </c>
      <c r="W9" s="146" t="n">
        <f aca="false">IF(AND(AB9="范围已验收",N9="verified"),1,0)</f>
        <v>0</v>
      </c>
      <c r="X9" s="146" t="n">
        <v>0</v>
      </c>
      <c r="Y9" s="146" t="n">
        <f aca="false">IF(AB9="范围已验收",1,0)</f>
        <v>1</v>
      </c>
      <c r="Z9" s="146" t="n">
        <f aca="false">H9*Y9</f>
        <v>48</v>
      </c>
      <c r="AA9" s="146" t="n">
        <f aca="false">IF(AND(A9&lt;&gt;"",COUNTIF($A$2:$A$21,A9)=1),1,0)</f>
        <v>1</v>
      </c>
      <c r="AB9" s="145" t="str">
        <f aca="false">IF(AND(AA9=1,H9&gt;0,I9=H9,J9=H9,K9=H9,L9=0,M9="已接受",N9=AR9,OR(AR9="needs_review",AR9="verified"),O9="full_present_file",P9=TRUE(),COUNT(Q9:V9)=6,COUNTIF(Q9:V9,0)=6,X9=0,F9&lt;&gt;"",G9&lt;&gt;"",AE9&lt;&gt;"",AW9&lt;&gt;"",BG9&lt;&gt;""),"范围已验收","范围冲突或重复")</f>
        <v>范围已验收</v>
      </c>
      <c r="AC9" s="147" t="n">
        <v>46321.8379976852</v>
      </c>
      <c r="AD9" s="145" t="str">
        <f aca="false">HYPERLINK("https://chatgpt.com/api/library/files/libfile_5a0fb263dc488191a6c43165bdb887e6/download","下载B24私有接受元数据包")</f>
        <v>下载B24私有接受元数据包</v>
      </c>
      <c r="AE9" s="145" t="s">
        <v>4056</v>
      </c>
      <c r="AF9" s="145" t="s">
        <v>3218</v>
      </c>
      <c r="AG9" s="145" t="s">
        <v>4538</v>
      </c>
      <c r="AH9" s="145" t="s">
        <v>4435</v>
      </c>
      <c r="AI9" s="145" t="s">
        <v>4539</v>
      </c>
      <c r="AJ9" s="145" t="s">
        <v>4091</v>
      </c>
      <c r="AK9" s="145" t="s">
        <v>4540</v>
      </c>
      <c r="AL9" s="145" t="s">
        <v>4009</v>
      </c>
      <c r="AM9" s="147" t="n">
        <v>46321.7090046296</v>
      </c>
      <c r="AN9" s="147" t="n">
        <v>46321.8010763889</v>
      </c>
      <c r="AO9" s="145" t="s">
        <v>4541</v>
      </c>
      <c r="AP9" s="145" t="s">
        <v>4439</v>
      </c>
      <c r="AQ9" s="145" t="s">
        <v>611</v>
      </c>
      <c r="AR9" s="145" t="s">
        <v>3838</v>
      </c>
      <c r="AS9" s="145" t="s">
        <v>4542</v>
      </c>
      <c r="AT9" s="145" t="s">
        <v>4543</v>
      </c>
      <c r="AU9" s="145" t="s">
        <v>4544</v>
      </c>
      <c r="AV9" s="145" t="s">
        <v>4538</v>
      </c>
      <c r="AW9" s="145" t="s">
        <v>4218</v>
      </c>
      <c r="AX9" s="145" t="s">
        <v>4545</v>
      </c>
      <c r="AY9" s="145" t="s">
        <v>4546</v>
      </c>
      <c r="AZ9" s="145" t="s">
        <v>4547</v>
      </c>
      <c r="BA9" s="145" t="s">
        <v>4104</v>
      </c>
      <c r="BB9" s="145" t="s">
        <v>883</v>
      </c>
      <c r="BC9" s="145" t="s">
        <v>4548</v>
      </c>
      <c r="BD9" s="145" t="s">
        <v>4549</v>
      </c>
      <c r="BE9" s="145" t="s">
        <v>4550</v>
      </c>
      <c r="BF9" s="145" t="s">
        <v>4551</v>
      </c>
      <c r="BG9" s="145" t="s">
        <v>4552</v>
      </c>
      <c r="BH9" s="145" t="s">
        <v>4145</v>
      </c>
    </row>
    <row r="10" customFormat="false" ht="130" hidden="false" customHeight="true" outlineLevel="0" collapsed="false">
      <c r="A10" s="145" t="s">
        <v>4553</v>
      </c>
      <c r="B10" s="145" t="s">
        <v>1669</v>
      </c>
      <c r="C10" s="145" t="s">
        <v>883</v>
      </c>
      <c r="D10" s="145" t="s">
        <v>3221</v>
      </c>
      <c r="E10" s="145" t="s">
        <v>3224</v>
      </c>
      <c r="F10" s="145" t="s">
        <v>3225</v>
      </c>
      <c r="G10" s="145" t="s">
        <v>3220</v>
      </c>
      <c r="H10" s="146" t="n">
        <v>58</v>
      </c>
      <c r="I10" s="146" t="n">
        <v>58</v>
      </c>
      <c r="J10" s="146" t="n">
        <v>58</v>
      </c>
      <c r="K10" s="146" t="n">
        <v>58</v>
      </c>
      <c r="L10" s="146" t="n">
        <v>0</v>
      </c>
      <c r="M10" s="145" t="s">
        <v>4001</v>
      </c>
      <c r="N10" s="145" t="s">
        <v>3838</v>
      </c>
      <c r="O10" s="145" t="s">
        <v>4002</v>
      </c>
      <c r="P10" s="145" t="b">
        <f aca="false">TRUE()</f>
        <v>1</v>
      </c>
      <c r="Q10" s="146" t="n">
        <v>0</v>
      </c>
      <c r="R10" s="146" t="n">
        <v>0</v>
      </c>
      <c r="S10" s="146" t="n">
        <v>0</v>
      </c>
      <c r="T10" s="146" t="n">
        <v>0</v>
      </c>
      <c r="U10" s="146" t="n">
        <v>0</v>
      </c>
      <c r="V10" s="146" t="n">
        <v>0</v>
      </c>
      <c r="W10" s="146" t="n">
        <f aca="false">IF(AND(AB10="范围已验收",N10="verified"),1,0)</f>
        <v>0</v>
      </c>
      <c r="X10" s="146" t="n">
        <v>0</v>
      </c>
      <c r="Y10" s="146" t="n">
        <f aca="false">IF(AB10="范围已验收",1,0)</f>
        <v>1</v>
      </c>
      <c r="Z10" s="146" t="n">
        <f aca="false">H10*Y10</f>
        <v>58</v>
      </c>
      <c r="AA10" s="146" t="n">
        <f aca="false">IF(AND(A10&lt;&gt;"",COUNTIF($A$2:$A$21,A10)=1),1,0)</f>
        <v>1</v>
      </c>
      <c r="AB10" s="145" t="str">
        <f aca="false">IF(AND(AA10=1,H10&gt;0,I10=H10,J10=H10,K10=H10,L10=0,M10="已接受",N10=AR10,OR(AR10="needs_review",AR10="verified"),O10="full_present_file",P10=TRUE(),COUNT(Q10:V10)=6,COUNTIF(Q10:V10,0)=6,X10=0,F10&lt;&gt;"",G10&lt;&gt;"",AE10&lt;&gt;"",AW10&lt;&gt;"",BG10&lt;&gt;""),"范围已验收","范围冲突或重复")</f>
        <v>范围已验收</v>
      </c>
      <c r="AC10" s="147" t="n">
        <v>46321.8379976852</v>
      </c>
      <c r="AD10" s="145" t="str">
        <f aca="false">HYPERLINK("https://chatgpt.com/api/library/files/libfile_5a0fb263dc488191a6c43165bdb887e6/download","下载B24私有接受元数据包")</f>
        <v>下载B24私有接受元数据包</v>
      </c>
      <c r="AE10" s="145" t="s">
        <v>4227</v>
      </c>
      <c r="AF10" s="145" t="s">
        <v>3228</v>
      </c>
      <c r="AG10" s="145" t="s">
        <v>4554</v>
      </c>
      <c r="AH10" s="145" t="s">
        <v>4435</v>
      </c>
      <c r="AI10" s="145" t="s">
        <v>4555</v>
      </c>
      <c r="AJ10" s="145" t="s">
        <v>4091</v>
      </c>
      <c r="AK10" s="145" t="s">
        <v>4556</v>
      </c>
      <c r="AL10" s="145" t="s">
        <v>4009</v>
      </c>
      <c r="AM10" s="147" t="n">
        <v>46321.7090046296</v>
      </c>
      <c r="AN10" s="147" t="n">
        <v>46321.8010763889</v>
      </c>
      <c r="AO10" s="145" t="s">
        <v>4557</v>
      </c>
      <c r="AP10" s="145" t="s">
        <v>4439</v>
      </c>
      <c r="AQ10" s="145" t="s">
        <v>611</v>
      </c>
      <c r="AR10" s="145" t="s">
        <v>3838</v>
      </c>
      <c r="AS10" s="145" t="s">
        <v>4558</v>
      </c>
      <c r="AT10" s="145" t="s">
        <v>4559</v>
      </c>
      <c r="AU10" s="145" t="s">
        <v>4560</v>
      </c>
      <c r="AV10" s="145" t="s">
        <v>4554</v>
      </c>
      <c r="AW10" s="145" t="s">
        <v>4234</v>
      </c>
      <c r="AX10" s="145" t="s">
        <v>4561</v>
      </c>
      <c r="AY10" s="145" t="s">
        <v>4104</v>
      </c>
      <c r="AZ10" s="145" t="s">
        <v>4104</v>
      </c>
      <c r="BA10" s="145" t="s">
        <v>4104</v>
      </c>
      <c r="BB10" s="145" t="s">
        <v>4562</v>
      </c>
      <c r="BC10" s="145" t="s">
        <v>4548</v>
      </c>
      <c r="BD10" s="145" t="s">
        <v>4563</v>
      </c>
      <c r="BE10" s="145" t="s">
        <v>4564</v>
      </c>
      <c r="BF10" s="145" t="s">
        <v>4565</v>
      </c>
      <c r="BG10" s="145" t="s">
        <v>4566</v>
      </c>
      <c r="BH10" s="145" t="s">
        <v>4145</v>
      </c>
    </row>
    <row r="11" customFormat="false" ht="130" hidden="false" customHeight="true" outlineLevel="0" collapsed="false">
      <c r="A11" s="145" t="s">
        <v>4567</v>
      </c>
      <c r="B11" s="145" t="s">
        <v>1669</v>
      </c>
      <c r="C11" s="145" t="s">
        <v>883</v>
      </c>
      <c r="D11" s="145" t="s">
        <v>3231</v>
      </c>
      <c r="E11" s="145" t="s">
        <v>3234</v>
      </c>
      <c r="F11" s="145" t="s">
        <v>3235</v>
      </c>
      <c r="G11" s="145" t="s">
        <v>3230</v>
      </c>
      <c r="H11" s="146" t="n">
        <v>60</v>
      </c>
      <c r="I11" s="146" t="n">
        <v>60</v>
      </c>
      <c r="J11" s="146" t="n">
        <v>60</v>
      </c>
      <c r="K11" s="146" t="n">
        <v>60</v>
      </c>
      <c r="L11" s="146" t="n">
        <v>0</v>
      </c>
      <c r="M11" s="145" t="s">
        <v>4001</v>
      </c>
      <c r="N11" s="145" t="s">
        <v>3838</v>
      </c>
      <c r="O11" s="145" t="s">
        <v>4002</v>
      </c>
      <c r="P11" s="145" t="b">
        <f aca="false">TRUE()</f>
        <v>1</v>
      </c>
      <c r="Q11" s="146" t="n">
        <v>0</v>
      </c>
      <c r="R11" s="146" t="n">
        <v>0</v>
      </c>
      <c r="S11" s="146" t="n">
        <v>0</v>
      </c>
      <c r="T11" s="146" t="n">
        <v>0</v>
      </c>
      <c r="U11" s="146" t="n">
        <v>0</v>
      </c>
      <c r="V11" s="146" t="n">
        <v>0</v>
      </c>
      <c r="W11" s="146" t="n">
        <f aca="false">IF(AND(AB11="范围已验收",N11="verified"),1,0)</f>
        <v>0</v>
      </c>
      <c r="X11" s="146" t="n">
        <v>0</v>
      </c>
      <c r="Y11" s="146" t="n">
        <f aca="false">IF(AB11="范围已验收",1,0)</f>
        <v>1</v>
      </c>
      <c r="Z11" s="146" t="n">
        <f aca="false">H11*Y11</f>
        <v>60</v>
      </c>
      <c r="AA11" s="146" t="n">
        <f aca="false">IF(AND(A11&lt;&gt;"",COUNTIF($A$2:$A$21,A11)=1),1,0)</f>
        <v>1</v>
      </c>
      <c r="AB11" s="145" t="str">
        <f aca="false">IF(AND(AA11=1,H11&gt;0,I11=H11,J11=H11,K11=H11,L11=0,M11="已接受",N11=AR11,OR(AR11="needs_review",AR11="verified"),O11="full_present_file",P11=TRUE(),COUNT(Q11:V11)=6,COUNTIF(Q11:V11,0)=6,X11=0,F11&lt;&gt;"",G11&lt;&gt;"",AE11&lt;&gt;"",AW11&lt;&gt;"",BG11&lt;&gt;""),"范围已验收","范围冲突或重复")</f>
        <v>范围已验收</v>
      </c>
      <c r="AC11" s="147" t="n">
        <v>46321.8379976852</v>
      </c>
      <c r="AD11" s="145" t="str">
        <f aca="false">HYPERLINK("https://chatgpt.com/api/library/files/libfile_5a0fb263dc488191a6c43165bdb887e6/download","下载B24私有接受元数据包")</f>
        <v>下载B24私有接受元数据包</v>
      </c>
      <c r="AE11" s="145" t="s">
        <v>4243</v>
      </c>
      <c r="AF11" s="145" t="s">
        <v>3238</v>
      </c>
      <c r="AG11" s="145" t="s">
        <v>4568</v>
      </c>
      <c r="AH11" s="145" t="s">
        <v>4435</v>
      </c>
      <c r="AI11" s="145" t="s">
        <v>4569</v>
      </c>
      <c r="AJ11" s="145" t="s">
        <v>4091</v>
      </c>
      <c r="AK11" s="145" t="s">
        <v>4570</v>
      </c>
      <c r="AL11" s="145" t="s">
        <v>4009</v>
      </c>
      <c r="AM11" s="147" t="n">
        <v>46321.7090046296</v>
      </c>
      <c r="AN11" s="147" t="n">
        <v>46321.8010763889</v>
      </c>
      <c r="AO11" s="145" t="s">
        <v>4571</v>
      </c>
      <c r="AP11" s="145" t="s">
        <v>4439</v>
      </c>
      <c r="AQ11" s="145" t="s">
        <v>611</v>
      </c>
      <c r="AR11" s="145" t="s">
        <v>3838</v>
      </c>
      <c r="AS11" s="145" t="s">
        <v>4572</v>
      </c>
      <c r="AT11" s="145" t="s">
        <v>4573</v>
      </c>
      <c r="AU11" s="145" t="s">
        <v>4574</v>
      </c>
      <c r="AV11" s="145" t="s">
        <v>4568</v>
      </c>
      <c r="AW11" s="145" t="s">
        <v>4252</v>
      </c>
      <c r="AX11" s="145" t="s">
        <v>4575</v>
      </c>
      <c r="AY11" s="145" t="s">
        <v>4576</v>
      </c>
      <c r="AZ11" s="145" t="s">
        <v>4104</v>
      </c>
      <c r="BA11" s="145" t="s">
        <v>4104</v>
      </c>
      <c r="BB11" s="145" t="s">
        <v>883</v>
      </c>
      <c r="BC11" s="145" t="s">
        <v>4577</v>
      </c>
      <c r="BD11" s="145" t="s">
        <v>4578</v>
      </c>
      <c r="BE11" s="145" t="s">
        <v>4579</v>
      </c>
      <c r="BF11" s="145" t="s">
        <v>4580</v>
      </c>
      <c r="BG11" s="145" t="s">
        <v>4581</v>
      </c>
      <c r="BH11" s="145" t="s">
        <v>4145</v>
      </c>
    </row>
    <row r="12" customFormat="false" ht="130" hidden="false" customHeight="true" outlineLevel="0" collapsed="false">
      <c r="A12" s="145" t="s">
        <v>4582</v>
      </c>
      <c r="B12" s="145" t="s">
        <v>1669</v>
      </c>
      <c r="C12" s="145" t="s">
        <v>883</v>
      </c>
      <c r="D12" s="145" t="s">
        <v>3241</v>
      </c>
      <c r="E12" s="145" t="s">
        <v>3244</v>
      </c>
      <c r="F12" s="145" t="s">
        <v>3245</v>
      </c>
      <c r="G12" s="145" t="s">
        <v>3240</v>
      </c>
      <c r="H12" s="146" t="n">
        <v>60</v>
      </c>
      <c r="I12" s="146" t="n">
        <v>60</v>
      </c>
      <c r="J12" s="146" t="n">
        <v>60</v>
      </c>
      <c r="K12" s="146" t="n">
        <v>60</v>
      </c>
      <c r="L12" s="146" t="n">
        <v>0</v>
      </c>
      <c r="M12" s="145" t="s">
        <v>4001</v>
      </c>
      <c r="N12" s="145" t="s">
        <v>3838</v>
      </c>
      <c r="O12" s="145" t="s">
        <v>4002</v>
      </c>
      <c r="P12" s="145" t="b">
        <f aca="false">TRUE()</f>
        <v>1</v>
      </c>
      <c r="Q12" s="146" t="n">
        <v>0</v>
      </c>
      <c r="R12" s="146" t="n">
        <v>0</v>
      </c>
      <c r="S12" s="146" t="n">
        <v>0</v>
      </c>
      <c r="T12" s="146" t="n">
        <v>0</v>
      </c>
      <c r="U12" s="146" t="n">
        <v>0</v>
      </c>
      <c r="V12" s="146" t="n">
        <v>0</v>
      </c>
      <c r="W12" s="146" t="n">
        <f aca="false">IF(AND(AB12="范围已验收",N12="verified"),1,0)</f>
        <v>0</v>
      </c>
      <c r="X12" s="146" t="n">
        <v>0</v>
      </c>
      <c r="Y12" s="146" t="n">
        <f aca="false">IF(AB12="范围已验收",1,0)</f>
        <v>1</v>
      </c>
      <c r="Z12" s="146" t="n">
        <f aca="false">H12*Y12</f>
        <v>60</v>
      </c>
      <c r="AA12" s="146" t="n">
        <f aca="false">IF(AND(A12&lt;&gt;"",COUNTIF($A$2:$A$21,A12)=1),1,0)</f>
        <v>1</v>
      </c>
      <c r="AB12" s="145" t="str">
        <f aca="false">IF(AND(AA12=1,H12&gt;0,I12=H12,J12=H12,K12=H12,L12=0,M12="已接受",N12=AR12,OR(AR12="needs_review",AR12="verified"),O12="full_present_file",P12=TRUE(),COUNT(Q12:V12)=6,COUNTIF(Q12:V12,0)=6,X12=0,F12&lt;&gt;"",G12&lt;&gt;"",AE12&lt;&gt;"",AW12&lt;&gt;"",BG12&lt;&gt;""),"范围已验收","范围冲突或重复")</f>
        <v>范围已验收</v>
      </c>
      <c r="AC12" s="147" t="n">
        <v>46321.8379976852</v>
      </c>
      <c r="AD12" s="145" t="str">
        <f aca="false">HYPERLINK("https://chatgpt.com/api/library/files/libfile_5a0fb263dc488191a6c43165bdb887e6/download","下载B24私有接受元数据包")</f>
        <v>下载B24私有接受元数据包</v>
      </c>
      <c r="AE12" s="145" t="s">
        <v>4261</v>
      </c>
      <c r="AF12" s="145" t="s">
        <v>3249</v>
      </c>
      <c r="AG12" s="145" t="s">
        <v>4583</v>
      </c>
      <c r="AH12" s="145" t="s">
        <v>4435</v>
      </c>
      <c r="AI12" s="145" t="s">
        <v>4569</v>
      </c>
      <c r="AJ12" s="145" t="s">
        <v>4091</v>
      </c>
      <c r="AK12" s="145" t="s">
        <v>4584</v>
      </c>
      <c r="AL12" s="145" t="s">
        <v>4009</v>
      </c>
      <c r="AM12" s="147" t="n">
        <v>46321.7090046296</v>
      </c>
      <c r="AN12" s="147" t="n">
        <v>46321.8010763889</v>
      </c>
      <c r="AO12" s="145" t="s">
        <v>4585</v>
      </c>
      <c r="AP12" s="145" t="s">
        <v>4439</v>
      </c>
      <c r="AQ12" s="145" t="s">
        <v>611</v>
      </c>
      <c r="AR12" s="145" t="s">
        <v>3838</v>
      </c>
      <c r="AS12" s="145" t="s">
        <v>4586</v>
      </c>
      <c r="AT12" s="145" t="s">
        <v>4587</v>
      </c>
      <c r="AU12" s="145" t="s">
        <v>4588</v>
      </c>
      <c r="AV12" s="145" t="s">
        <v>4583</v>
      </c>
      <c r="AW12" s="145" t="s">
        <v>4268</v>
      </c>
      <c r="AX12" s="145" t="s">
        <v>4589</v>
      </c>
      <c r="AY12" s="145" t="s">
        <v>4590</v>
      </c>
      <c r="AZ12" s="145" t="s">
        <v>4104</v>
      </c>
      <c r="BA12" s="145" t="s">
        <v>4104</v>
      </c>
      <c r="BB12" s="145" t="s">
        <v>883</v>
      </c>
      <c r="BC12" s="145" t="s">
        <v>4577</v>
      </c>
      <c r="BD12" s="145" t="s">
        <v>4591</v>
      </c>
      <c r="BE12" s="145" t="s">
        <v>4592</v>
      </c>
      <c r="BF12" s="145" t="s">
        <v>4593</v>
      </c>
      <c r="BG12" s="145" t="s">
        <v>4594</v>
      </c>
      <c r="BH12" s="145" t="s">
        <v>4145</v>
      </c>
    </row>
    <row r="13" customFormat="false" ht="130" hidden="false" customHeight="true" outlineLevel="0" collapsed="false">
      <c r="A13" s="145" t="s">
        <v>4595</v>
      </c>
      <c r="B13" s="145" t="s">
        <v>1669</v>
      </c>
      <c r="C13" s="145" t="s">
        <v>883</v>
      </c>
      <c r="D13" s="145" t="s">
        <v>3252</v>
      </c>
      <c r="E13" s="145" t="s">
        <v>3255</v>
      </c>
      <c r="F13" s="145" t="s">
        <v>3256</v>
      </c>
      <c r="G13" s="145" t="s">
        <v>3251</v>
      </c>
      <c r="H13" s="146" t="n">
        <v>51</v>
      </c>
      <c r="I13" s="146" t="n">
        <v>51</v>
      </c>
      <c r="J13" s="146" t="n">
        <v>51</v>
      </c>
      <c r="K13" s="146" t="n">
        <v>51</v>
      </c>
      <c r="L13" s="146" t="n">
        <v>0</v>
      </c>
      <c r="M13" s="145" t="s">
        <v>4001</v>
      </c>
      <c r="N13" s="145" t="s">
        <v>3838</v>
      </c>
      <c r="O13" s="145" t="s">
        <v>4002</v>
      </c>
      <c r="P13" s="145" t="b">
        <f aca="false">TRUE()</f>
        <v>1</v>
      </c>
      <c r="Q13" s="146" t="n">
        <v>0</v>
      </c>
      <c r="R13" s="146" t="n">
        <v>0</v>
      </c>
      <c r="S13" s="146" t="n">
        <v>0</v>
      </c>
      <c r="T13" s="146" t="n">
        <v>0</v>
      </c>
      <c r="U13" s="146" t="n">
        <v>0</v>
      </c>
      <c r="V13" s="146" t="n">
        <v>0</v>
      </c>
      <c r="W13" s="146" t="n">
        <f aca="false">IF(AND(AB13="范围已验收",N13="verified"),1,0)</f>
        <v>0</v>
      </c>
      <c r="X13" s="146" t="n">
        <v>0</v>
      </c>
      <c r="Y13" s="146" t="n">
        <f aca="false">IF(AB13="范围已验收",1,0)</f>
        <v>1</v>
      </c>
      <c r="Z13" s="146" t="n">
        <f aca="false">H13*Y13</f>
        <v>51</v>
      </c>
      <c r="AA13" s="146" t="n">
        <f aca="false">IF(AND(A13&lt;&gt;"",COUNTIF($A$2:$A$21,A13)=1),1,0)</f>
        <v>1</v>
      </c>
      <c r="AB13" s="145" t="str">
        <f aca="false">IF(AND(AA13=1,H13&gt;0,I13=H13,J13=H13,K13=H13,L13=0,M13="已接受",N13=AR13,OR(AR13="needs_review",AR13="verified"),O13="full_present_file",P13=TRUE(),COUNT(Q13:V13)=6,COUNTIF(Q13:V13,0)=6,X13=0,F13&lt;&gt;"",G13&lt;&gt;"",AE13&lt;&gt;"",AW13&lt;&gt;"",BG13&lt;&gt;""),"范围已验收","范围冲突或重复")</f>
        <v>范围已验收</v>
      </c>
      <c r="AC13" s="147" t="n">
        <v>46321.8379976852</v>
      </c>
      <c r="AD13" s="145" t="str">
        <f aca="false">HYPERLINK("https://chatgpt.com/api/library/files/libfile_5a0fb263dc488191a6c43165bdb887e6/download","下载B24私有接受元数据包")</f>
        <v>下载B24私有接受元数据包</v>
      </c>
      <c r="AE13" s="145" t="s">
        <v>4277</v>
      </c>
      <c r="AF13" s="145" t="s">
        <v>3260</v>
      </c>
      <c r="AG13" s="145" t="s">
        <v>4596</v>
      </c>
      <c r="AH13" s="145" t="s">
        <v>4435</v>
      </c>
      <c r="AI13" s="145" t="s">
        <v>4597</v>
      </c>
      <c r="AJ13" s="145" t="s">
        <v>4091</v>
      </c>
      <c r="AK13" s="145" t="s">
        <v>4598</v>
      </c>
      <c r="AL13" s="145" t="s">
        <v>4009</v>
      </c>
      <c r="AM13" s="147" t="n">
        <v>46321.7090046296</v>
      </c>
      <c r="AN13" s="147" t="n">
        <v>46321.8010763889</v>
      </c>
      <c r="AO13" s="145" t="s">
        <v>4599</v>
      </c>
      <c r="AP13" s="145" t="s">
        <v>4439</v>
      </c>
      <c r="AQ13" s="145" t="s">
        <v>611</v>
      </c>
      <c r="AR13" s="145" t="s">
        <v>3838</v>
      </c>
      <c r="AS13" s="145" t="s">
        <v>4600</v>
      </c>
      <c r="AT13" s="145" t="s">
        <v>4601</v>
      </c>
      <c r="AU13" s="145" t="s">
        <v>4602</v>
      </c>
      <c r="AV13" s="145" t="s">
        <v>4596</v>
      </c>
      <c r="AW13" s="145" t="s">
        <v>4284</v>
      </c>
      <c r="AX13" s="145" t="s">
        <v>4603</v>
      </c>
      <c r="AY13" s="145" t="s">
        <v>4604</v>
      </c>
      <c r="AZ13" s="145" t="s">
        <v>4104</v>
      </c>
      <c r="BA13" s="145" t="s">
        <v>4104</v>
      </c>
      <c r="BB13" s="145" t="s">
        <v>883</v>
      </c>
      <c r="BC13" s="145" t="s">
        <v>4605</v>
      </c>
      <c r="BD13" s="145" t="s">
        <v>4606</v>
      </c>
      <c r="BE13" s="145" t="s">
        <v>4607</v>
      </c>
      <c r="BF13" s="145" t="s">
        <v>4608</v>
      </c>
      <c r="BG13" s="145" t="s">
        <v>4609</v>
      </c>
      <c r="BH13" s="145" t="s">
        <v>4145</v>
      </c>
    </row>
    <row r="14" customFormat="false" ht="130" hidden="false" customHeight="true" outlineLevel="0" collapsed="false">
      <c r="A14" s="145" t="s">
        <v>4610</v>
      </c>
      <c r="B14" s="145" t="s">
        <v>1669</v>
      </c>
      <c r="C14" s="145" t="s">
        <v>883</v>
      </c>
      <c r="D14" s="145" t="s">
        <v>3297</v>
      </c>
      <c r="E14" s="145" t="s">
        <v>3300</v>
      </c>
      <c r="F14" s="145" t="s">
        <v>3301</v>
      </c>
      <c r="G14" s="145" t="s">
        <v>3296</v>
      </c>
      <c r="H14" s="146" t="n">
        <v>73</v>
      </c>
      <c r="I14" s="146" t="n">
        <v>73</v>
      </c>
      <c r="J14" s="146" t="n">
        <v>73</v>
      </c>
      <c r="K14" s="146" t="n">
        <v>73</v>
      </c>
      <c r="L14" s="146" t="n">
        <v>0</v>
      </c>
      <c r="M14" s="145" t="s">
        <v>4001</v>
      </c>
      <c r="N14" s="145" t="s">
        <v>3838</v>
      </c>
      <c r="O14" s="145" t="s">
        <v>4002</v>
      </c>
      <c r="P14" s="145" t="b">
        <f aca="false">TRUE()</f>
        <v>1</v>
      </c>
      <c r="Q14" s="146" t="n">
        <v>0</v>
      </c>
      <c r="R14" s="146" t="n">
        <v>0</v>
      </c>
      <c r="S14" s="146" t="n">
        <v>0</v>
      </c>
      <c r="T14" s="146" t="n">
        <v>0</v>
      </c>
      <c r="U14" s="146" t="n">
        <v>0</v>
      </c>
      <c r="V14" s="146" t="n">
        <v>0</v>
      </c>
      <c r="W14" s="146" t="n">
        <f aca="false">IF(AND(AB14="范围已验收",N14="verified"),1,0)</f>
        <v>0</v>
      </c>
      <c r="X14" s="146" t="n">
        <v>0</v>
      </c>
      <c r="Y14" s="146" t="n">
        <f aca="false">IF(AB14="范围已验收",1,0)</f>
        <v>1</v>
      </c>
      <c r="Z14" s="146" t="n">
        <f aca="false">H14*Y14</f>
        <v>73</v>
      </c>
      <c r="AA14" s="146" t="n">
        <f aca="false">IF(AND(A14&lt;&gt;"",COUNTIF($A$2:$A$21,A14)=1),1,0)</f>
        <v>1</v>
      </c>
      <c r="AB14" s="145" t="str">
        <f aca="false">IF(AND(AA14=1,H14&gt;0,I14=H14,J14=H14,K14=H14,L14=0,M14="已接受",N14=AR14,OR(AR14="needs_review",AR14="verified"),O14="full_present_file",P14=TRUE(),COUNT(Q14:V14)=6,COUNTIF(Q14:V14,0)=6,X14=0,F14&lt;&gt;"",G14&lt;&gt;"",AE14&lt;&gt;"",AW14&lt;&gt;"",BG14&lt;&gt;""),"范围已验收","范围冲突或重复")</f>
        <v>范围已验收</v>
      </c>
      <c r="AC14" s="147" t="n">
        <v>46321.8289699074</v>
      </c>
      <c r="AD14" s="145" t="str">
        <f aca="false">HYPERLINK("https://chatgpt.com/api/library/files/libfile_5a0fb263dc488191a6c43165bdb887e6/download","下载B24私有接受元数据包")</f>
        <v>下载B24私有接受元数据包</v>
      </c>
      <c r="AE14" s="145" t="s">
        <v>4294</v>
      </c>
      <c r="AF14" s="145" t="s">
        <v>3305</v>
      </c>
      <c r="AG14" s="145" t="s">
        <v>4451</v>
      </c>
      <c r="AH14" s="145" t="s">
        <v>4452</v>
      </c>
      <c r="AI14" s="145" t="s">
        <v>4611</v>
      </c>
      <c r="AJ14" s="145" t="s">
        <v>4091</v>
      </c>
      <c r="AK14" s="145" t="s">
        <v>4612</v>
      </c>
      <c r="AL14" s="145" t="s">
        <v>4009</v>
      </c>
      <c r="AM14" s="147" t="n">
        <v>46321.7090046296</v>
      </c>
      <c r="AN14" s="147" t="n">
        <v>46321.8010763889</v>
      </c>
      <c r="AO14" s="145" t="s">
        <v>4613</v>
      </c>
      <c r="AP14" s="145" t="s">
        <v>4439</v>
      </c>
      <c r="AQ14" s="145" t="s">
        <v>611</v>
      </c>
      <c r="AR14" s="145" t="s">
        <v>3838</v>
      </c>
      <c r="AS14" s="145" t="s">
        <v>4614</v>
      </c>
      <c r="AT14" s="145" t="s">
        <v>4615</v>
      </c>
      <c r="AU14" s="145" t="s">
        <v>4616</v>
      </c>
      <c r="AV14" s="145" t="s">
        <v>4451</v>
      </c>
      <c r="AW14" s="145" t="s">
        <v>4302</v>
      </c>
      <c r="AX14" s="145" t="s">
        <v>4617</v>
      </c>
      <c r="AY14" s="145" t="s">
        <v>4618</v>
      </c>
      <c r="AZ14" s="145" t="s">
        <v>4104</v>
      </c>
      <c r="BA14" s="145" t="s">
        <v>4104</v>
      </c>
      <c r="BB14" s="145" t="s">
        <v>4619</v>
      </c>
      <c r="BC14" s="145" t="s">
        <v>4620</v>
      </c>
      <c r="BD14" s="145" t="s">
        <v>4621</v>
      </c>
      <c r="BE14" s="145" t="s">
        <v>4622</v>
      </c>
      <c r="BF14" s="145" t="s">
        <v>4623</v>
      </c>
      <c r="BG14" s="145" t="s">
        <v>4624</v>
      </c>
      <c r="BH14" s="145" t="s">
        <v>4110</v>
      </c>
    </row>
    <row r="15" customFormat="false" ht="145" hidden="false" customHeight="true" outlineLevel="0" collapsed="false">
      <c r="A15" s="145" t="s">
        <v>4625</v>
      </c>
      <c r="B15" s="145" t="s">
        <v>1669</v>
      </c>
      <c r="C15" s="145" t="s">
        <v>883</v>
      </c>
      <c r="D15" s="145" t="s">
        <v>3308</v>
      </c>
      <c r="E15" s="145" t="s">
        <v>3312</v>
      </c>
      <c r="F15" s="145" t="s">
        <v>3313</v>
      </c>
      <c r="G15" s="145" t="s">
        <v>3307</v>
      </c>
      <c r="H15" s="146" t="n">
        <v>76</v>
      </c>
      <c r="I15" s="146" t="n">
        <v>76</v>
      </c>
      <c r="J15" s="146" t="n">
        <v>76</v>
      </c>
      <c r="K15" s="146" t="n">
        <v>76</v>
      </c>
      <c r="L15" s="146" t="n">
        <v>0</v>
      </c>
      <c r="M15" s="145" t="s">
        <v>4001</v>
      </c>
      <c r="N15" s="145" t="s">
        <v>3838</v>
      </c>
      <c r="O15" s="145" t="s">
        <v>4002</v>
      </c>
      <c r="P15" s="145" t="b">
        <f aca="false">TRUE()</f>
        <v>1</v>
      </c>
      <c r="Q15" s="146" t="n">
        <v>0</v>
      </c>
      <c r="R15" s="146" t="n">
        <v>0</v>
      </c>
      <c r="S15" s="146" t="n">
        <v>0</v>
      </c>
      <c r="T15" s="146" t="n">
        <v>0</v>
      </c>
      <c r="U15" s="146" t="n">
        <v>0</v>
      </c>
      <c r="V15" s="146" t="n">
        <v>0</v>
      </c>
      <c r="W15" s="146" t="n">
        <f aca="false">IF(AND(AB15="范围已验收",N15="verified"),1,0)</f>
        <v>0</v>
      </c>
      <c r="X15" s="146" t="n">
        <v>0</v>
      </c>
      <c r="Y15" s="146" t="n">
        <f aca="false">IF(AB15="范围已验收",1,0)</f>
        <v>1</v>
      </c>
      <c r="Z15" s="146" t="n">
        <f aca="false">H15*Y15</f>
        <v>76</v>
      </c>
      <c r="AA15" s="146" t="n">
        <f aca="false">IF(AND(A15&lt;&gt;"",COUNTIF($A$2:$A$21,A15)=1),1,0)</f>
        <v>1</v>
      </c>
      <c r="AB15" s="145" t="str">
        <f aca="false">IF(AND(AA15=1,H15&gt;0,I15=H15,J15=H15,K15=H15,L15=0,M15="已接受",N15=AR15,OR(AR15="needs_review",AR15="verified"),O15="full_present_file",P15=TRUE(),COUNT(Q15:V15)=6,COUNTIF(Q15:V15,0)=6,X15=0,F15&lt;&gt;"",G15&lt;&gt;"",AE15&lt;&gt;"",AW15&lt;&gt;"",BG15&lt;&gt;""),"范围已验收","范围冲突或重复")</f>
        <v>范围已验收</v>
      </c>
      <c r="AC15" s="147" t="n">
        <v>46321.8150578704</v>
      </c>
      <c r="AD15" s="145" t="str">
        <f aca="false">HYPERLINK("https://chatgpt.com/api/library/files/libfile_5a0fb263dc488191a6c43165bdb887e6/download","下载B24私有接受元数据包")</f>
        <v>下载B24私有接受元数据包</v>
      </c>
      <c r="AE15" s="145" t="s">
        <v>4312</v>
      </c>
      <c r="AF15" s="145" t="s">
        <v>3317</v>
      </c>
      <c r="AG15" s="145" t="s">
        <v>4626</v>
      </c>
      <c r="AH15" s="145" t="s">
        <v>4435</v>
      </c>
      <c r="AI15" s="145" t="s">
        <v>4627</v>
      </c>
      <c r="AJ15" s="145" t="s">
        <v>4091</v>
      </c>
      <c r="AK15" s="145" t="s">
        <v>4628</v>
      </c>
      <c r="AL15" s="145" t="s">
        <v>4009</v>
      </c>
      <c r="AM15" s="147" t="n">
        <v>46321.7090046296</v>
      </c>
      <c r="AN15" s="147" t="n">
        <v>46321.8010763889</v>
      </c>
      <c r="AO15" s="145" t="s">
        <v>4629</v>
      </c>
      <c r="AP15" s="145" t="s">
        <v>4439</v>
      </c>
      <c r="AQ15" s="145" t="s">
        <v>611</v>
      </c>
      <c r="AR15" s="145" t="s">
        <v>3838</v>
      </c>
      <c r="AS15" s="145" t="s">
        <v>4630</v>
      </c>
      <c r="AT15" s="145" t="s">
        <v>4631</v>
      </c>
      <c r="AU15" s="145" t="s">
        <v>4632</v>
      </c>
      <c r="AV15" s="145" t="s">
        <v>4626</v>
      </c>
      <c r="AW15" s="145" t="s">
        <v>4319</v>
      </c>
      <c r="AX15" s="145" t="s">
        <v>4633</v>
      </c>
      <c r="AY15" s="145" t="s">
        <v>4634</v>
      </c>
      <c r="AZ15" s="145" t="s">
        <v>4635</v>
      </c>
      <c r="BA15" s="145" t="s">
        <v>4104</v>
      </c>
      <c r="BB15" s="145" t="s">
        <v>883</v>
      </c>
      <c r="BC15" s="145" t="s">
        <v>4636</v>
      </c>
      <c r="BD15" s="145" t="s">
        <v>4637</v>
      </c>
      <c r="BE15" s="145" t="s">
        <v>4638</v>
      </c>
      <c r="BF15" s="145" t="s">
        <v>4639</v>
      </c>
      <c r="BG15" s="145" t="s">
        <v>4640</v>
      </c>
      <c r="BH15" s="145" t="s">
        <v>4110</v>
      </c>
    </row>
    <row r="16" customFormat="false" ht="145" hidden="false" customHeight="true" outlineLevel="0" collapsed="false">
      <c r="A16" s="145" t="s">
        <v>4641</v>
      </c>
      <c r="B16" s="145" t="s">
        <v>1669</v>
      </c>
      <c r="C16" s="145" t="s">
        <v>883</v>
      </c>
      <c r="D16" s="145" t="s">
        <v>3320</v>
      </c>
      <c r="E16" s="145" t="s">
        <v>3322</v>
      </c>
      <c r="F16" s="145" t="s">
        <v>3323</v>
      </c>
      <c r="G16" s="145" t="s">
        <v>3319</v>
      </c>
      <c r="H16" s="146" t="n">
        <v>74</v>
      </c>
      <c r="I16" s="146" t="n">
        <v>74</v>
      </c>
      <c r="J16" s="146" t="n">
        <v>74</v>
      </c>
      <c r="K16" s="146" t="n">
        <v>74</v>
      </c>
      <c r="L16" s="146" t="n">
        <v>0</v>
      </c>
      <c r="M16" s="145" t="s">
        <v>4001</v>
      </c>
      <c r="N16" s="145" t="s">
        <v>3838</v>
      </c>
      <c r="O16" s="145" t="s">
        <v>4002</v>
      </c>
      <c r="P16" s="145" t="b">
        <f aca="false">TRUE()</f>
        <v>1</v>
      </c>
      <c r="Q16" s="146" t="n">
        <v>0</v>
      </c>
      <c r="R16" s="146" t="n">
        <v>0</v>
      </c>
      <c r="S16" s="146" t="n">
        <v>0</v>
      </c>
      <c r="T16" s="146" t="n">
        <v>0</v>
      </c>
      <c r="U16" s="146" t="n">
        <v>0</v>
      </c>
      <c r="V16" s="146" t="n">
        <v>0</v>
      </c>
      <c r="W16" s="146" t="n">
        <f aca="false">IF(AND(AB16="范围已验收",N16="verified"),1,0)</f>
        <v>0</v>
      </c>
      <c r="X16" s="146" t="n">
        <v>0</v>
      </c>
      <c r="Y16" s="146" t="n">
        <f aca="false">IF(AB16="范围已验收",1,0)</f>
        <v>1</v>
      </c>
      <c r="Z16" s="146" t="n">
        <f aca="false">H16*Y16</f>
        <v>74</v>
      </c>
      <c r="AA16" s="146" t="n">
        <f aca="false">IF(AND(A16&lt;&gt;"",COUNTIF($A$2:$A$21,A16)=1),1,0)</f>
        <v>1</v>
      </c>
      <c r="AB16" s="145" t="str">
        <f aca="false">IF(AND(AA16=1,H16&gt;0,I16=H16,J16=H16,K16=H16,L16=0,M16="已接受",N16=AR16,OR(AR16="needs_review",AR16="verified"),O16="full_present_file",P16=TRUE(),COUNT(Q16:V16)=6,COUNTIF(Q16:V16,0)=6,X16=0,F16&lt;&gt;"",G16&lt;&gt;"",AE16&lt;&gt;"",AW16&lt;&gt;"",BG16&lt;&gt;""),"范围已验收","范围冲突或重复")</f>
        <v>范围已验收</v>
      </c>
      <c r="AC16" s="147" t="n">
        <v>46321.8190162037</v>
      </c>
      <c r="AD16" s="145" t="str">
        <f aca="false">HYPERLINK("https://chatgpt.com/api/library/files/libfile_5a0fb263dc488191a6c43165bdb887e6/download","下载B24私有接受元数据包")</f>
        <v>下载B24私有接受元数据包</v>
      </c>
      <c r="AE16" s="145" t="s">
        <v>4328</v>
      </c>
      <c r="AF16" s="145" t="s">
        <v>3326</v>
      </c>
      <c r="AG16" s="145" t="s">
        <v>4642</v>
      </c>
      <c r="AH16" s="145" t="s">
        <v>4435</v>
      </c>
      <c r="AI16" s="145" t="s">
        <v>4643</v>
      </c>
      <c r="AJ16" s="145" t="s">
        <v>4091</v>
      </c>
      <c r="AK16" s="145" t="s">
        <v>4644</v>
      </c>
      <c r="AL16" s="145" t="s">
        <v>4009</v>
      </c>
      <c r="AM16" s="147" t="n">
        <v>46321.7090046296</v>
      </c>
      <c r="AN16" s="147" t="n">
        <v>46321.8010763889</v>
      </c>
      <c r="AO16" s="145" t="s">
        <v>4645</v>
      </c>
      <c r="AP16" s="145" t="s">
        <v>4439</v>
      </c>
      <c r="AQ16" s="145" t="s">
        <v>611</v>
      </c>
      <c r="AR16" s="145" t="s">
        <v>3838</v>
      </c>
      <c r="AS16" s="145" t="s">
        <v>4646</v>
      </c>
      <c r="AT16" s="145" t="s">
        <v>4647</v>
      </c>
      <c r="AU16" s="145" t="s">
        <v>4648</v>
      </c>
      <c r="AV16" s="145" t="s">
        <v>4642</v>
      </c>
      <c r="AW16" s="145" t="s">
        <v>4337</v>
      </c>
      <c r="AX16" s="145" t="s">
        <v>4649</v>
      </c>
      <c r="AY16" s="145" t="s">
        <v>4650</v>
      </c>
      <c r="AZ16" s="145" t="s">
        <v>4651</v>
      </c>
      <c r="BA16" s="145" t="s">
        <v>4104</v>
      </c>
      <c r="BB16" s="145" t="s">
        <v>4652</v>
      </c>
      <c r="BC16" s="145" t="s">
        <v>4653</v>
      </c>
      <c r="BD16" s="145" t="s">
        <v>4654</v>
      </c>
      <c r="BE16" s="145" t="s">
        <v>4655</v>
      </c>
      <c r="BF16" s="145" t="s">
        <v>4656</v>
      </c>
      <c r="BG16" s="145" t="s">
        <v>4657</v>
      </c>
      <c r="BH16" s="145" t="s">
        <v>4110</v>
      </c>
    </row>
    <row r="17" customFormat="false" ht="145" hidden="false" customHeight="true" outlineLevel="0" collapsed="false">
      <c r="A17" s="145" t="s">
        <v>4658</v>
      </c>
      <c r="B17" s="145" t="s">
        <v>1669</v>
      </c>
      <c r="C17" s="145" t="s">
        <v>883</v>
      </c>
      <c r="D17" s="145" t="s">
        <v>3329</v>
      </c>
      <c r="E17" s="145" t="s">
        <v>3332</v>
      </c>
      <c r="F17" s="145" t="s">
        <v>3333</v>
      </c>
      <c r="G17" s="145" t="s">
        <v>3328</v>
      </c>
      <c r="H17" s="146" t="n">
        <v>78</v>
      </c>
      <c r="I17" s="146" t="n">
        <v>78</v>
      </c>
      <c r="J17" s="146" t="n">
        <v>78</v>
      </c>
      <c r="K17" s="146" t="n">
        <v>78</v>
      </c>
      <c r="L17" s="146" t="n">
        <v>0</v>
      </c>
      <c r="M17" s="145" t="s">
        <v>4001</v>
      </c>
      <c r="N17" s="145" t="s">
        <v>3838</v>
      </c>
      <c r="O17" s="145" t="s">
        <v>4002</v>
      </c>
      <c r="P17" s="145" t="b">
        <f aca="false">TRUE()</f>
        <v>1</v>
      </c>
      <c r="Q17" s="146" t="n">
        <v>0</v>
      </c>
      <c r="R17" s="146" t="n">
        <v>0</v>
      </c>
      <c r="S17" s="146" t="n">
        <v>0</v>
      </c>
      <c r="T17" s="146" t="n">
        <v>0</v>
      </c>
      <c r="U17" s="146" t="n">
        <v>0</v>
      </c>
      <c r="V17" s="146" t="n">
        <v>0</v>
      </c>
      <c r="W17" s="146" t="n">
        <f aca="false">IF(AND(AB17="范围已验收",N17="verified"),1,0)</f>
        <v>0</v>
      </c>
      <c r="X17" s="146" t="n">
        <v>0</v>
      </c>
      <c r="Y17" s="146" t="n">
        <f aca="false">IF(AB17="范围已验收",1,0)</f>
        <v>1</v>
      </c>
      <c r="Z17" s="146" t="n">
        <f aca="false">H17*Y17</f>
        <v>78</v>
      </c>
      <c r="AA17" s="146" t="n">
        <f aca="false">IF(AND(A17&lt;&gt;"",COUNTIF($A$2:$A$21,A17)=1),1,0)</f>
        <v>1</v>
      </c>
      <c r="AB17" s="145" t="str">
        <f aca="false">IF(AND(AA17=1,H17&gt;0,I17=H17,J17=H17,K17=H17,L17=0,M17="已接受",N17=AR17,OR(AR17="needs_review",AR17="verified"),O17="full_present_file",P17=TRUE(),COUNT(Q17:V17)=6,COUNTIF(Q17:V17,0)=6,X17=0,F17&lt;&gt;"",G17&lt;&gt;"",AE17&lt;&gt;"",AW17&lt;&gt;"",BG17&lt;&gt;""),"范围已验收","范围冲突或重复")</f>
        <v>范围已验收</v>
      </c>
      <c r="AC17" s="147" t="n">
        <v>46321.8248032407</v>
      </c>
      <c r="AD17" s="145" t="str">
        <f aca="false">HYPERLINK("https://chatgpt.com/api/library/files/libfile_5a0fb263dc488191a6c43165bdb887e6/download","下载B24私有接受元数据包")</f>
        <v>下载B24私有接受元数据包</v>
      </c>
      <c r="AE17" s="145" t="s">
        <v>4345</v>
      </c>
      <c r="AF17" s="145" t="s">
        <v>3337</v>
      </c>
      <c r="AG17" s="145" t="s">
        <v>4659</v>
      </c>
      <c r="AH17" s="145" t="s">
        <v>4435</v>
      </c>
      <c r="AI17" s="145" t="s">
        <v>4660</v>
      </c>
      <c r="AJ17" s="145" t="s">
        <v>4091</v>
      </c>
      <c r="AK17" s="145" t="s">
        <v>4661</v>
      </c>
      <c r="AL17" s="145" t="s">
        <v>4009</v>
      </c>
      <c r="AM17" s="147" t="n">
        <v>46321.7090046296</v>
      </c>
      <c r="AN17" s="147" t="n">
        <v>46321.8010763889</v>
      </c>
      <c r="AO17" s="145" t="s">
        <v>4662</v>
      </c>
      <c r="AP17" s="145" t="s">
        <v>4439</v>
      </c>
      <c r="AQ17" s="145" t="s">
        <v>611</v>
      </c>
      <c r="AR17" s="145" t="s">
        <v>3838</v>
      </c>
      <c r="AS17" s="145" t="s">
        <v>4663</v>
      </c>
      <c r="AT17" s="145" t="s">
        <v>4664</v>
      </c>
      <c r="AU17" s="145" t="s">
        <v>4665</v>
      </c>
      <c r="AV17" s="145" t="s">
        <v>4659</v>
      </c>
      <c r="AW17" s="145" t="s">
        <v>4352</v>
      </c>
      <c r="AX17" s="145" t="s">
        <v>4666</v>
      </c>
      <c r="AY17" s="145" t="s">
        <v>4667</v>
      </c>
      <c r="AZ17" s="145" t="s">
        <v>4668</v>
      </c>
      <c r="BA17" s="145" t="s">
        <v>4104</v>
      </c>
      <c r="BB17" s="145" t="s">
        <v>883</v>
      </c>
      <c r="BC17" s="145" t="s">
        <v>4669</v>
      </c>
      <c r="BD17" s="145" t="s">
        <v>4670</v>
      </c>
      <c r="BE17" s="145" t="s">
        <v>4671</v>
      </c>
      <c r="BF17" s="145" t="s">
        <v>4672</v>
      </c>
      <c r="BG17" s="145" t="s">
        <v>4673</v>
      </c>
      <c r="BH17" s="145" t="s">
        <v>4110</v>
      </c>
    </row>
    <row r="18" customFormat="false" ht="130" hidden="false" customHeight="true" outlineLevel="0" collapsed="false">
      <c r="A18" s="145" t="s">
        <v>4674</v>
      </c>
      <c r="B18" s="145" t="s">
        <v>1669</v>
      </c>
      <c r="C18" s="145" t="s">
        <v>883</v>
      </c>
      <c r="D18" s="145" t="s">
        <v>3340</v>
      </c>
      <c r="E18" s="145" t="s">
        <v>3342</v>
      </c>
      <c r="F18" s="145" t="s">
        <v>3343</v>
      </c>
      <c r="G18" s="145" t="s">
        <v>3339</v>
      </c>
      <c r="H18" s="146" t="n">
        <v>74</v>
      </c>
      <c r="I18" s="146" t="n">
        <v>74</v>
      </c>
      <c r="J18" s="146" t="n">
        <v>74</v>
      </c>
      <c r="K18" s="146" t="n">
        <v>74</v>
      </c>
      <c r="L18" s="146" t="n">
        <v>0</v>
      </c>
      <c r="M18" s="145" t="s">
        <v>4001</v>
      </c>
      <c r="N18" s="145" t="s">
        <v>3838</v>
      </c>
      <c r="O18" s="145" t="s">
        <v>4002</v>
      </c>
      <c r="P18" s="145" t="b">
        <f aca="false">TRUE()</f>
        <v>1</v>
      </c>
      <c r="Q18" s="146" t="n">
        <v>0</v>
      </c>
      <c r="R18" s="146" t="n">
        <v>0</v>
      </c>
      <c r="S18" s="146" t="n">
        <v>0</v>
      </c>
      <c r="T18" s="146" t="n">
        <v>0</v>
      </c>
      <c r="U18" s="146" t="n">
        <v>0</v>
      </c>
      <c r="V18" s="146" t="n">
        <v>0</v>
      </c>
      <c r="W18" s="146" t="n">
        <f aca="false">IF(AND(AB18="范围已验收",N18="verified"),1,0)</f>
        <v>0</v>
      </c>
      <c r="X18" s="146" t="n">
        <v>0</v>
      </c>
      <c r="Y18" s="146" t="n">
        <f aca="false">IF(AB18="范围已验收",1,0)</f>
        <v>1</v>
      </c>
      <c r="Z18" s="146" t="n">
        <f aca="false">H18*Y18</f>
        <v>74</v>
      </c>
      <c r="AA18" s="146" t="n">
        <f aca="false">IF(AND(A18&lt;&gt;"",COUNTIF($A$2:$A$21,A18)=1),1,0)</f>
        <v>1</v>
      </c>
      <c r="AB18" s="145" t="str">
        <f aca="false">IF(AND(AA18=1,H18&gt;0,I18=H18,J18=H18,K18=H18,L18=0,M18="已接受",N18=AR18,OR(AR18="needs_review",AR18="verified"),O18="full_present_file",P18=TRUE(),COUNT(Q18:V18)=6,COUNTIF(Q18:V18,0)=6,X18=0,F18&lt;&gt;"",G18&lt;&gt;"",AE18&lt;&gt;"",AW18&lt;&gt;"",BG18&lt;&gt;""),"范围已验收","范围冲突或重复")</f>
        <v>范围已验收</v>
      </c>
      <c r="AC18" s="147" t="n">
        <v>46321.8359606482</v>
      </c>
      <c r="AD18" s="145" t="str">
        <f aca="false">HYPERLINK("https://chatgpt.com/api/library/files/libfile_5a0fb263dc488191a6c43165bdb887e6/download","下载B24私有接受元数据包")</f>
        <v>下载B24私有接受元数据包</v>
      </c>
      <c r="AE18" s="145" t="s">
        <v>4361</v>
      </c>
      <c r="AF18" s="145" t="s">
        <v>3346</v>
      </c>
      <c r="AG18" s="145" t="s">
        <v>4451</v>
      </c>
      <c r="AH18" s="145" t="s">
        <v>4452</v>
      </c>
      <c r="AI18" s="145" t="s">
        <v>4675</v>
      </c>
      <c r="AJ18" s="145" t="s">
        <v>4091</v>
      </c>
      <c r="AK18" s="145" t="s">
        <v>4676</v>
      </c>
      <c r="AL18" s="145" t="s">
        <v>4009</v>
      </c>
      <c r="AM18" s="147" t="n">
        <v>46321.7090046296</v>
      </c>
      <c r="AN18" s="147" t="n">
        <v>46321.8010763889</v>
      </c>
      <c r="AO18" s="145" t="s">
        <v>4677</v>
      </c>
      <c r="AP18" s="145" t="s">
        <v>4439</v>
      </c>
      <c r="AQ18" s="145" t="s">
        <v>611</v>
      </c>
      <c r="AR18" s="145" t="s">
        <v>3838</v>
      </c>
      <c r="AS18" s="145" t="s">
        <v>4678</v>
      </c>
      <c r="AT18" s="145" t="s">
        <v>4679</v>
      </c>
      <c r="AU18" s="145" t="s">
        <v>4680</v>
      </c>
      <c r="AV18" s="145" t="s">
        <v>4451</v>
      </c>
      <c r="AW18" s="145" t="s">
        <v>4369</v>
      </c>
      <c r="AX18" s="145" t="s">
        <v>4681</v>
      </c>
      <c r="AY18" s="145" t="s">
        <v>4682</v>
      </c>
      <c r="AZ18" s="145" t="s">
        <v>4104</v>
      </c>
      <c r="BA18" s="145" t="s">
        <v>4104</v>
      </c>
      <c r="BB18" s="145" t="s">
        <v>4683</v>
      </c>
      <c r="BC18" s="145" t="s">
        <v>4684</v>
      </c>
      <c r="BD18" s="145" t="s">
        <v>4685</v>
      </c>
      <c r="BE18" s="145" t="s">
        <v>4686</v>
      </c>
      <c r="BF18" s="145" t="s">
        <v>4687</v>
      </c>
      <c r="BG18" s="145" t="s">
        <v>4688</v>
      </c>
      <c r="BH18" s="145" t="s">
        <v>4110</v>
      </c>
    </row>
    <row r="19" customFormat="false" ht="130" hidden="false" customHeight="true" outlineLevel="0" collapsed="false">
      <c r="A19" s="145" t="s">
        <v>4689</v>
      </c>
      <c r="B19" s="145" t="s">
        <v>1669</v>
      </c>
      <c r="C19" s="145" t="s">
        <v>883</v>
      </c>
      <c r="D19" s="145" t="s">
        <v>3349</v>
      </c>
      <c r="E19" s="145" t="s">
        <v>3353</v>
      </c>
      <c r="F19" s="145" t="s">
        <v>3354</v>
      </c>
      <c r="G19" s="145" t="s">
        <v>3348</v>
      </c>
      <c r="H19" s="146" t="n">
        <v>78</v>
      </c>
      <c r="I19" s="146" t="n">
        <v>78</v>
      </c>
      <c r="J19" s="146" t="n">
        <v>78</v>
      </c>
      <c r="K19" s="146" t="n">
        <v>78</v>
      </c>
      <c r="L19" s="146" t="n">
        <v>0</v>
      </c>
      <c r="M19" s="145" t="s">
        <v>4001</v>
      </c>
      <c r="N19" s="145" t="s">
        <v>3838</v>
      </c>
      <c r="O19" s="145" t="s">
        <v>4002</v>
      </c>
      <c r="P19" s="145" t="b">
        <f aca="false">TRUE()</f>
        <v>1</v>
      </c>
      <c r="Q19" s="146" t="n">
        <v>0</v>
      </c>
      <c r="R19" s="146" t="n">
        <v>0</v>
      </c>
      <c r="S19" s="146" t="n">
        <v>0</v>
      </c>
      <c r="T19" s="146" t="n">
        <v>0</v>
      </c>
      <c r="U19" s="146" t="n">
        <v>0</v>
      </c>
      <c r="V19" s="146" t="n">
        <v>0</v>
      </c>
      <c r="W19" s="146" t="n">
        <f aca="false">IF(AND(AB19="范围已验收",N19="verified"),1,0)</f>
        <v>0</v>
      </c>
      <c r="X19" s="146" t="n">
        <v>0</v>
      </c>
      <c r="Y19" s="146" t="n">
        <f aca="false">IF(AB19="范围已验收",1,0)</f>
        <v>1</v>
      </c>
      <c r="Z19" s="146" t="n">
        <f aca="false">H19*Y19</f>
        <v>78</v>
      </c>
      <c r="AA19" s="146" t="n">
        <f aca="false">IF(AND(A19&lt;&gt;"",COUNTIF($A$2:$A$21,A19)=1),1,0)</f>
        <v>1</v>
      </c>
      <c r="AB19" s="145" t="str">
        <f aca="false">IF(AND(AA19=1,H19&gt;0,I19=H19,J19=H19,K19=H19,L19=0,M19="已接受",N19=AR19,OR(AR19="needs_review",AR19="verified"),O19="full_present_file",P19=TRUE(),COUNT(Q19:V19)=6,COUNTIF(Q19:V19,0)=6,X19=0,F19&lt;&gt;"",G19&lt;&gt;"",AE19&lt;&gt;"",AW19&lt;&gt;"",BG19&lt;&gt;""),"范围已验收","范围冲突或重复")</f>
        <v>范围已验收</v>
      </c>
      <c r="AC19" s="147" t="n">
        <v>46321.8291898148</v>
      </c>
      <c r="AD19" s="145" t="str">
        <f aca="false">HYPERLINK("https://chatgpt.com/api/library/files/libfile_5a0fb263dc488191a6c43165bdb887e6/download","下载B24私有接受元数据包")</f>
        <v>下载B24私有接受元数据包</v>
      </c>
      <c r="AE19" s="145" t="s">
        <v>4377</v>
      </c>
      <c r="AF19" s="145" t="s">
        <v>3358</v>
      </c>
      <c r="AG19" s="145" t="s">
        <v>4690</v>
      </c>
      <c r="AH19" s="145" t="s">
        <v>4691</v>
      </c>
      <c r="AI19" s="145" t="s">
        <v>4692</v>
      </c>
      <c r="AJ19" s="145" t="s">
        <v>4091</v>
      </c>
      <c r="AK19" s="145" t="s">
        <v>4693</v>
      </c>
      <c r="AL19" s="145" t="s">
        <v>4009</v>
      </c>
      <c r="AM19" s="147" t="n">
        <v>46321.7090046296</v>
      </c>
      <c r="AN19" s="147" t="n">
        <v>46321.8010763889</v>
      </c>
      <c r="AO19" s="145" t="s">
        <v>4694</v>
      </c>
      <c r="AP19" s="145" t="s">
        <v>4439</v>
      </c>
      <c r="AQ19" s="145" t="s">
        <v>611</v>
      </c>
      <c r="AR19" s="145" t="s">
        <v>3838</v>
      </c>
      <c r="AS19" s="145" t="s">
        <v>4695</v>
      </c>
      <c r="AT19" s="145" t="s">
        <v>4696</v>
      </c>
      <c r="AU19" s="145" t="s">
        <v>4697</v>
      </c>
      <c r="AV19" s="145" t="s">
        <v>4690</v>
      </c>
      <c r="AW19" s="145" t="s">
        <v>4386</v>
      </c>
      <c r="AX19" s="145" t="s">
        <v>4698</v>
      </c>
      <c r="AY19" s="145" t="s">
        <v>4699</v>
      </c>
      <c r="AZ19" s="145" t="s">
        <v>4700</v>
      </c>
      <c r="BA19" s="145" t="s">
        <v>4104</v>
      </c>
      <c r="BB19" s="145" t="s">
        <v>883</v>
      </c>
      <c r="BC19" s="145" t="s">
        <v>4701</v>
      </c>
      <c r="BD19" s="145" t="s">
        <v>4702</v>
      </c>
      <c r="BE19" s="145" t="s">
        <v>4703</v>
      </c>
      <c r="BF19" s="145" t="s">
        <v>4704</v>
      </c>
      <c r="BG19" s="145" t="s">
        <v>4705</v>
      </c>
      <c r="BH19" s="145" t="s">
        <v>4110</v>
      </c>
    </row>
    <row r="20" customFormat="false" ht="130" hidden="false" customHeight="true" outlineLevel="0" collapsed="false">
      <c r="A20" s="145" t="s">
        <v>4706</v>
      </c>
      <c r="B20" s="145" t="s">
        <v>1669</v>
      </c>
      <c r="C20" s="145" t="s">
        <v>883</v>
      </c>
      <c r="D20" s="145" t="s">
        <v>3372</v>
      </c>
      <c r="E20" s="145" t="s">
        <v>3376</v>
      </c>
      <c r="F20" s="145" t="s">
        <v>3377</v>
      </c>
      <c r="G20" s="145" t="s">
        <v>3371</v>
      </c>
      <c r="H20" s="146" t="n">
        <v>72</v>
      </c>
      <c r="I20" s="146" t="n">
        <v>72</v>
      </c>
      <c r="J20" s="146" t="n">
        <v>72</v>
      </c>
      <c r="K20" s="146" t="n">
        <v>72</v>
      </c>
      <c r="L20" s="146" t="n">
        <v>0</v>
      </c>
      <c r="M20" s="145" t="s">
        <v>4001</v>
      </c>
      <c r="N20" s="145" t="s">
        <v>3826</v>
      </c>
      <c r="O20" s="145" t="s">
        <v>4002</v>
      </c>
      <c r="P20" s="145" t="b">
        <f aca="false">TRUE()</f>
        <v>1</v>
      </c>
      <c r="Q20" s="146" t="n">
        <v>0</v>
      </c>
      <c r="R20" s="146" t="n">
        <v>0</v>
      </c>
      <c r="S20" s="146" t="n">
        <v>0</v>
      </c>
      <c r="T20" s="146" t="n">
        <v>0</v>
      </c>
      <c r="U20" s="146" t="n">
        <v>0</v>
      </c>
      <c r="V20" s="146" t="n">
        <v>0</v>
      </c>
      <c r="W20" s="146" t="n">
        <f aca="false">IF(AND(AB20="范围已验收",N20="verified"),1,0)</f>
        <v>1</v>
      </c>
      <c r="X20" s="146" t="n">
        <v>0</v>
      </c>
      <c r="Y20" s="146" t="n">
        <f aca="false">IF(AB20="范围已验收",1,0)</f>
        <v>1</v>
      </c>
      <c r="Z20" s="146" t="n">
        <f aca="false">H20*Y20</f>
        <v>72</v>
      </c>
      <c r="AA20" s="146" t="n">
        <f aca="false">IF(AND(A20&lt;&gt;"",COUNTIF($A$2:$A$21,A20)=1),1,0)</f>
        <v>1</v>
      </c>
      <c r="AB20" s="145" t="str">
        <f aca="false">IF(AND(AA20=1,H20&gt;0,I20=H20,J20=H20,K20=H20,L20=0,M20="已接受",N20=AR20,OR(AR20="needs_review",AR20="verified"),O20="full_present_file",P20=TRUE(),COUNT(Q20:V20)=6,COUNTIF(Q20:V20,0)=6,X20=0,F20&lt;&gt;"",G20&lt;&gt;"",AE20&lt;&gt;"",AW20&lt;&gt;"",BG20&lt;&gt;""),"范围已验收","范围冲突或重复")</f>
        <v>范围已验收</v>
      </c>
      <c r="AC20" s="147" t="n">
        <v>46321.8379976852</v>
      </c>
      <c r="AD20" s="145" t="str">
        <f aca="false">HYPERLINK("https://chatgpt.com/api/library/files/libfile_5a0fb263dc488191a6c43165bdb887e6/download","下载B24私有接受元数据包")</f>
        <v>下载B24私有接受元数据包</v>
      </c>
      <c r="AE20" s="145" t="s">
        <v>4396</v>
      </c>
      <c r="AF20" s="145" t="s">
        <v>3381</v>
      </c>
      <c r="AG20" s="145" t="s">
        <v>4707</v>
      </c>
      <c r="AH20" s="145" t="s">
        <v>4435</v>
      </c>
      <c r="AI20" s="145" t="s">
        <v>4708</v>
      </c>
      <c r="AJ20" s="145" t="s">
        <v>4091</v>
      </c>
      <c r="AK20" s="145" t="s">
        <v>4709</v>
      </c>
      <c r="AL20" s="145" t="s">
        <v>4009</v>
      </c>
      <c r="AM20" s="147" t="n">
        <v>46321.7090046296</v>
      </c>
      <c r="AN20" s="147" t="n">
        <v>46321.8010763889</v>
      </c>
      <c r="AO20" s="145" t="s">
        <v>4710</v>
      </c>
      <c r="AP20" s="145" t="s">
        <v>4439</v>
      </c>
      <c r="AQ20" s="145" t="s">
        <v>611</v>
      </c>
      <c r="AR20" s="145" t="s">
        <v>3826</v>
      </c>
      <c r="AS20" s="145" t="s">
        <v>4695</v>
      </c>
      <c r="AT20" s="145" t="s">
        <v>4711</v>
      </c>
      <c r="AU20" s="145" t="s">
        <v>4712</v>
      </c>
      <c r="AV20" s="145" t="s">
        <v>4707</v>
      </c>
      <c r="AW20" s="145" t="s">
        <v>4403</v>
      </c>
      <c r="AX20" s="145" t="s">
        <v>4713</v>
      </c>
      <c r="AY20" s="145" t="s">
        <v>4714</v>
      </c>
      <c r="AZ20" s="145" t="s">
        <v>4104</v>
      </c>
      <c r="BA20" s="145" t="s">
        <v>4104</v>
      </c>
      <c r="BB20" s="145" t="s">
        <v>4715</v>
      </c>
      <c r="BC20" s="145" t="s">
        <v>4716</v>
      </c>
      <c r="BD20" s="145" t="s">
        <v>4717</v>
      </c>
      <c r="BE20" s="145" t="s">
        <v>4718</v>
      </c>
      <c r="BF20" s="145" t="s">
        <v>4719</v>
      </c>
      <c r="BG20" s="145" t="s">
        <v>4720</v>
      </c>
      <c r="BH20" s="145" t="s">
        <v>4110</v>
      </c>
    </row>
    <row r="21" customFormat="false" ht="145" hidden="false" customHeight="true" outlineLevel="0" collapsed="false">
      <c r="A21" s="145" t="s">
        <v>4721</v>
      </c>
      <c r="B21" s="145" t="s">
        <v>1669</v>
      </c>
      <c r="C21" s="145" t="s">
        <v>883</v>
      </c>
      <c r="D21" s="145" t="s">
        <v>3384</v>
      </c>
      <c r="E21" s="145" t="s">
        <v>3387</v>
      </c>
      <c r="F21" s="145" t="s">
        <v>3388</v>
      </c>
      <c r="G21" s="145" t="s">
        <v>3383</v>
      </c>
      <c r="H21" s="146" t="n">
        <v>75</v>
      </c>
      <c r="I21" s="146" t="n">
        <v>75</v>
      </c>
      <c r="J21" s="146" t="n">
        <v>75</v>
      </c>
      <c r="K21" s="146" t="n">
        <v>75</v>
      </c>
      <c r="L21" s="146" t="n">
        <v>0</v>
      </c>
      <c r="M21" s="145" t="s">
        <v>4001</v>
      </c>
      <c r="N21" s="145" t="s">
        <v>3826</v>
      </c>
      <c r="O21" s="145" t="s">
        <v>4002</v>
      </c>
      <c r="P21" s="145" t="b">
        <f aca="false">TRUE()</f>
        <v>1</v>
      </c>
      <c r="Q21" s="146" t="n">
        <v>0</v>
      </c>
      <c r="R21" s="146" t="n">
        <v>0</v>
      </c>
      <c r="S21" s="146" t="n">
        <v>0</v>
      </c>
      <c r="T21" s="146" t="n">
        <v>0</v>
      </c>
      <c r="U21" s="146" t="n">
        <v>0</v>
      </c>
      <c r="V21" s="146" t="n">
        <v>0</v>
      </c>
      <c r="W21" s="146" t="n">
        <f aca="false">IF(AND(AB21="范围已验收",N21="verified"),1,0)</f>
        <v>1</v>
      </c>
      <c r="X21" s="146" t="n">
        <v>0</v>
      </c>
      <c r="Y21" s="146" t="n">
        <f aca="false">IF(AB21="范围已验收",1,0)</f>
        <v>1</v>
      </c>
      <c r="Z21" s="146" t="n">
        <f aca="false">H21*Y21</f>
        <v>75</v>
      </c>
      <c r="AA21" s="146" t="n">
        <f aca="false">IF(AND(A21&lt;&gt;"",COUNTIF($A$2:$A$21,A21)=1),1,0)</f>
        <v>1</v>
      </c>
      <c r="AB21" s="145" t="str">
        <f aca="false">IF(AND(AA21=1,H21&gt;0,I21=H21,J21=H21,K21=H21,L21=0,M21="已接受",N21=AR21,OR(AR21="needs_review",AR21="verified"),O21="full_present_file",P21=TRUE(),COUNT(Q21:V21)=6,COUNTIF(Q21:V21,0)=6,X21=0,F21&lt;&gt;"",G21&lt;&gt;"",AE21&lt;&gt;"",AW21&lt;&gt;"",BG21&lt;&gt;""),"范围已验收","范围冲突或重复")</f>
        <v>范围已验收</v>
      </c>
      <c r="AC21" s="147" t="n">
        <v>46321.8379976852</v>
      </c>
      <c r="AD21" s="145" t="str">
        <f aca="false">HYPERLINK("https://chatgpt.com/api/library/files/libfile_5a0fb263dc488191a6c43165bdb887e6/download","下载B24私有接受元数据包")</f>
        <v>下载B24私有接受元数据包</v>
      </c>
      <c r="AE21" s="145" t="s">
        <v>4413</v>
      </c>
      <c r="AF21" s="145" t="s">
        <v>3392</v>
      </c>
      <c r="AG21" s="145" t="s">
        <v>4722</v>
      </c>
      <c r="AH21" s="145" t="s">
        <v>4435</v>
      </c>
      <c r="AI21" s="145" t="s">
        <v>4723</v>
      </c>
      <c r="AJ21" s="145" t="s">
        <v>4091</v>
      </c>
      <c r="AK21" s="145" t="s">
        <v>4724</v>
      </c>
      <c r="AL21" s="145" t="s">
        <v>4009</v>
      </c>
      <c r="AM21" s="147" t="n">
        <v>46321.7090046296</v>
      </c>
      <c r="AN21" s="147" t="n">
        <v>46321.8010763889</v>
      </c>
      <c r="AO21" s="145" t="s">
        <v>4725</v>
      </c>
      <c r="AP21" s="145" t="s">
        <v>4439</v>
      </c>
      <c r="AQ21" s="145" t="s">
        <v>611</v>
      </c>
      <c r="AR21" s="145" t="s">
        <v>3826</v>
      </c>
      <c r="AS21" s="145" t="s">
        <v>4695</v>
      </c>
      <c r="AT21" s="145" t="s">
        <v>4726</v>
      </c>
      <c r="AU21" s="145" t="s">
        <v>4727</v>
      </c>
      <c r="AV21" s="145" t="s">
        <v>4722</v>
      </c>
      <c r="AW21" s="145" t="s">
        <v>4421</v>
      </c>
      <c r="AX21" s="145" t="s">
        <v>4728</v>
      </c>
      <c r="AY21" s="145" t="s">
        <v>4729</v>
      </c>
      <c r="AZ21" s="145" t="s">
        <v>4104</v>
      </c>
      <c r="BA21" s="145" t="s">
        <v>4104</v>
      </c>
      <c r="BB21" s="145" t="s">
        <v>883</v>
      </c>
      <c r="BC21" s="145" t="s">
        <v>4730</v>
      </c>
      <c r="BD21" s="145" t="s">
        <v>4731</v>
      </c>
      <c r="BE21" s="145" t="s">
        <v>4732</v>
      </c>
      <c r="BF21" s="145" t="s">
        <v>4733</v>
      </c>
      <c r="BG21" s="145" t="s">
        <v>4734</v>
      </c>
      <c r="BH21" s="145" t="s">
        <v>4110</v>
      </c>
    </row>
  </sheetData>
  <conditionalFormatting sqref="AB2:AB21">
    <cfRule type="containsText" priority="2" operator="containsText" aboveAverage="0" equalAverage="0" bottom="0" percent="0" rank="0" text="冲突" dxfId="35">
      <formula>NOT(ISERROR(SEARCH("冲突",AB2)))</formula>
    </cfRule>
  </conditionalFormatting>
  <dataValidations count="2">
    <dataValidation allowBlank="false" errorStyle="stop" operator="between" showDropDown="false" showErrorMessage="false" showInputMessage="false" sqref="M2:M21" type="list">
      <formula1>"已接受,待QA"</formula1>
      <formula2>0</formula2>
    </dataValidation>
    <dataValidation allowBlank="false" errorStyle="stop" operator="between" showDropDown="false" showErrorMessage="false" showInputMessage="false" sqref="N2:N21" type="list">
      <formula1>"needs_review,verified"</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7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32"/>
    <col collapsed="false" customWidth="true" hidden="false" outlineLevel="0" max="3" min="3" style="0" width="54"/>
    <col collapsed="false" customWidth="true" hidden="false" outlineLevel="0" max="4" min="4" style="0" width="38"/>
    <col collapsed="false" customWidth="true" hidden="false" outlineLevel="0" max="5" min="5" style="0" width="155"/>
    <col collapsed="false" customWidth="true" hidden="false" outlineLevel="0" max="6" min="6" style="0" width="105"/>
    <col collapsed="false" customWidth="true" hidden="false" outlineLevel="0" max="7" min="7" style="0" width="115"/>
    <col collapsed="false" customWidth="true" hidden="false" outlineLevel="0" max="8" min="8" style="0" width="68"/>
    <col collapsed="false" customWidth="true" hidden="false" outlineLevel="0" max="9" min="9" style="0" width="45"/>
  </cols>
  <sheetData>
    <row r="1" customFormat="false" ht="54" hidden="false" customHeight="true" outlineLevel="0" collapsed="false">
      <c r="A1" s="144" t="s">
        <v>2799</v>
      </c>
      <c r="B1" s="144" t="s">
        <v>4735</v>
      </c>
      <c r="C1" s="144" t="s">
        <v>4071</v>
      </c>
      <c r="D1" s="144" t="s">
        <v>4736</v>
      </c>
      <c r="E1" s="144" t="s">
        <v>4737</v>
      </c>
      <c r="F1" s="144" t="s">
        <v>4738</v>
      </c>
      <c r="G1" s="144" t="s">
        <v>4739</v>
      </c>
      <c r="H1" s="144" t="s">
        <v>4740</v>
      </c>
      <c r="I1" s="144" t="s">
        <v>4741</v>
      </c>
    </row>
    <row r="2" customFormat="false" ht="84" hidden="false" customHeight="true" outlineLevel="0" collapsed="false">
      <c r="A2" s="145" t="s">
        <v>4433</v>
      </c>
      <c r="B2" s="145" t="s">
        <v>4742</v>
      </c>
      <c r="C2" s="145" t="s">
        <v>4743</v>
      </c>
      <c r="D2" s="145" t="s">
        <v>4744</v>
      </c>
      <c r="E2" s="145" t="s">
        <v>4745</v>
      </c>
      <c r="F2" s="145" t="s">
        <v>4746</v>
      </c>
      <c r="G2" s="145" t="s">
        <v>4747</v>
      </c>
      <c r="H2" s="145" t="s">
        <v>4748</v>
      </c>
      <c r="I2" s="145" t="s">
        <v>4749</v>
      </c>
    </row>
    <row r="3" customFormat="false" ht="98" hidden="false" customHeight="true" outlineLevel="0" collapsed="false">
      <c r="A3" s="145" t="s">
        <v>4433</v>
      </c>
      <c r="B3" s="145" t="s">
        <v>4742</v>
      </c>
      <c r="C3" s="145" t="s">
        <v>4743</v>
      </c>
      <c r="D3" s="145" t="s">
        <v>4744</v>
      </c>
      <c r="E3" s="145" t="s">
        <v>4750</v>
      </c>
      <c r="F3" s="145" t="s">
        <v>4751</v>
      </c>
      <c r="G3" s="145" t="s">
        <v>4752</v>
      </c>
      <c r="H3" s="145" t="s">
        <v>4753</v>
      </c>
      <c r="I3" s="145" t="s">
        <v>4749</v>
      </c>
    </row>
    <row r="4" customFormat="false" ht="84" hidden="false" customHeight="true" outlineLevel="0" collapsed="false">
      <c r="A4" s="145" t="s">
        <v>4433</v>
      </c>
      <c r="B4" s="145" t="s">
        <v>4742</v>
      </c>
      <c r="C4" s="145" t="s">
        <v>4743</v>
      </c>
      <c r="D4" s="145" t="s">
        <v>4744</v>
      </c>
      <c r="E4" s="145" t="s">
        <v>4754</v>
      </c>
      <c r="F4" s="145" t="s">
        <v>4755</v>
      </c>
      <c r="G4" s="145" t="s">
        <v>4756</v>
      </c>
      <c r="H4" s="145" t="s">
        <v>4757</v>
      </c>
      <c r="I4" s="145" t="s">
        <v>4749</v>
      </c>
    </row>
    <row r="5" customFormat="false" ht="84" hidden="false" customHeight="true" outlineLevel="0" collapsed="false">
      <c r="A5" s="145" t="s">
        <v>4433</v>
      </c>
      <c r="B5" s="145" t="s">
        <v>4742</v>
      </c>
      <c r="C5" s="145" t="s">
        <v>4743</v>
      </c>
      <c r="D5" s="145" t="s">
        <v>4744</v>
      </c>
      <c r="E5" s="145" t="s">
        <v>4758</v>
      </c>
      <c r="F5" s="145" t="s">
        <v>4759</v>
      </c>
      <c r="G5" s="145" t="s">
        <v>4760</v>
      </c>
      <c r="H5" s="145" t="s">
        <v>4761</v>
      </c>
      <c r="I5" s="145" t="s">
        <v>4749</v>
      </c>
    </row>
    <row r="6" customFormat="false" ht="84" hidden="false" customHeight="true" outlineLevel="0" collapsed="false">
      <c r="A6" s="145" t="s">
        <v>4433</v>
      </c>
      <c r="B6" s="145" t="s">
        <v>4742</v>
      </c>
      <c r="C6" s="145" t="s">
        <v>4743</v>
      </c>
      <c r="D6" s="145" t="s">
        <v>4744</v>
      </c>
      <c r="E6" s="145" t="s">
        <v>4762</v>
      </c>
      <c r="F6" s="145" t="s">
        <v>4763</v>
      </c>
      <c r="G6" s="145" t="s">
        <v>4764</v>
      </c>
      <c r="H6" s="145" t="s">
        <v>4765</v>
      </c>
      <c r="I6" s="145" t="s">
        <v>4749</v>
      </c>
    </row>
    <row r="7" customFormat="false" ht="84" hidden="false" customHeight="true" outlineLevel="0" collapsed="false">
      <c r="A7" s="145" t="s">
        <v>4433</v>
      </c>
      <c r="B7" s="145" t="s">
        <v>4742</v>
      </c>
      <c r="C7" s="145" t="s">
        <v>4743</v>
      </c>
      <c r="D7" s="145" t="s">
        <v>4744</v>
      </c>
      <c r="E7" s="145" t="s">
        <v>4766</v>
      </c>
      <c r="F7" s="145" t="s">
        <v>4767</v>
      </c>
      <c r="G7" s="145" t="s">
        <v>4768</v>
      </c>
      <c r="H7" s="145" t="s">
        <v>4769</v>
      </c>
      <c r="I7" s="145" t="s">
        <v>4749</v>
      </c>
    </row>
    <row r="8" customFormat="false" ht="84" hidden="false" customHeight="true" outlineLevel="0" collapsed="false">
      <c r="A8" s="145" t="s">
        <v>4433</v>
      </c>
      <c r="B8" s="145" t="s">
        <v>4742</v>
      </c>
      <c r="C8" s="145" t="s">
        <v>4743</v>
      </c>
      <c r="D8" s="145" t="s">
        <v>4744</v>
      </c>
      <c r="E8" s="145" t="s">
        <v>4770</v>
      </c>
      <c r="F8" s="145" t="s">
        <v>4771</v>
      </c>
      <c r="G8" s="145" t="s">
        <v>4772</v>
      </c>
      <c r="H8" s="145" t="s">
        <v>4773</v>
      </c>
      <c r="I8" s="145" t="s">
        <v>4749</v>
      </c>
    </row>
    <row r="9" customFormat="false" ht="84" hidden="false" customHeight="true" outlineLevel="0" collapsed="false">
      <c r="A9" s="145" t="s">
        <v>4433</v>
      </c>
      <c r="B9" s="145" t="s">
        <v>4742</v>
      </c>
      <c r="C9" s="145" t="s">
        <v>4743</v>
      </c>
      <c r="D9" s="145" t="s">
        <v>4744</v>
      </c>
      <c r="E9" s="145" t="s">
        <v>4774</v>
      </c>
      <c r="F9" s="145" t="s">
        <v>4775</v>
      </c>
      <c r="G9" s="145" t="s">
        <v>4776</v>
      </c>
      <c r="H9" s="145" t="s">
        <v>4777</v>
      </c>
      <c r="I9" s="145" t="s">
        <v>4749</v>
      </c>
    </row>
    <row r="10" customFormat="false" ht="84" hidden="false" customHeight="true" outlineLevel="0" collapsed="false">
      <c r="A10" s="145" t="s">
        <v>4433</v>
      </c>
      <c r="B10" s="145" t="s">
        <v>4742</v>
      </c>
      <c r="C10" s="145" t="s">
        <v>4743</v>
      </c>
      <c r="D10" s="145" t="s">
        <v>4744</v>
      </c>
      <c r="E10" s="145" t="s">
        <v>4778</v>
      </c>
      <c r="F10" s="145" t="s">
        <v>4779</v>
      </c>
      <c r="G10" s="145" t="s">
        <v>4780</v>
      </c>
      <c r="H10" s="145" t="s">
        <v>4781</v>
      </c>
      <c r="I10" s="145" t="s">
        <v>4749</v>
      </c>
    </row>
    <row r="11" customFormat="false" ht="76" hidden="false" customHeight="true" outlineLevel="0" collapsed="false">
      <c r="A11" s="145" t="s">
        <v>4433</v>
      </c>
      <c r="B11" s="145" t="s">
        <v>4782</v>
      </c>
      <c r="C11" s="145" t="s">
        <v>4743</v>
      </c>
      <c r="D11" s="145" t="s">
        <v>4783</v>
      </c>
      <c r="E11" s="145" t="s">
        <v>4784</v>
      </c>
      <c r="F11" s="145" t="s">
        <v>4785</v>
      </c>
      <c r="G11" s="145" t="s">
        <v>4786</v>
      </c>
      <c r="H11" s="145" t="s">
        <v>4787</v>
      </c>
      <c r="I11" s="145" t="s">
        <v>4749</v>
      </c>
    </row>
    <row r="12" customFormat="false" ht="76" hidden="false" customHeight="true" outlineLevel="0" collapsed="false">
      <c r="A12" s="145" t="s">
        <v>4433</v>
      </c>
      <c r="B12" s="145" t="s">
        <v>4782</v>
      </c>
      <c r="C12" s="145" t="s">
        <v>4743</v>
      </c>
      <c r="D12" s="145" t="s">
        <v>4788</v>
      </c>
      <c r="E12" s="145" t="s">
        <v>4789</v>
      </c>
      <c r="F12" s="145" t="s">
        <v>4790</v>
      </c>
      <c r="G12" s="145" t="s">
        <v>4791</v>
      </c>
      <c r="H12" s="145" t="s">
        <v>4792</v>
      </c>
      <c r="I12" s="145" t="s">
        <v>4749</v>
      </c>
    </row>
    <row r="13" customFormat="false" ht="84" hidden="false" customHeight="true" outlineLevel="0" collapsed="false">
      <c r="A13" s="145" t="s">
        <v>4433</v>
      </c>
      <c r="B13" s="145" t="s">
        <v>4793</v>
      </c>
      <c r="C13" s="145" t="s">
        <v>4743</v>
      </c>
      <c r="D13" s="145" t="s">
        <v>4744</v>
      </c>
      <c r="E13" s="145" t="s">
        <v>4794</v>
      </c>
      <c r="F13" s="145" t="s">
        <v>4795</v>
      </c>
      <c r="G13" s="145" t="s">
        <v>4796</v>
      </c>
      <c r="H13" s="145" t="s">
        <v>4797</v>
      </c>
      <c r="I13" s="145" t="s">
        <v>4749</v>
      </c>
    </row>
    <row r="14" customFormat="false" ht="76" hidden="false" customHeight="true" outlineLevel="0" collapsed="false">
      <c r="A14" s="145" t="s">
        <v>4433</v>
      </c>
      <c r="B14" s="145" t="s">
        <v>4798</v>
      </c>
      <c r="C14" s="145" t="s">
        <v>4743</v>
      </c>
      <c r="D14" s="145" t="s">
        <v>4799</v>
      </c>
      <c r="E14" s="145" t="s">
        <v>4800</v>
      </c>
      <c r="F14" s="145" t="s">
        <v>4801</v>
      </c>
      <c r="G14" s="145" t="s">
        <v>4802</v>
      </c>
      <c r="H14" s="145" t="s">
        <v>4803</v>
      </c>
      <c r="I14" s="145" t="s">
        <v>4749</v>
      </c>
    </row>
    <row r="15" customFormat="false" ht="76" hidden="false" customHeight="true" outlineLevel="0" collapsed="false">
      <c r="A15" s="145" t="s">
        <v>4433</v>
      </c>
      <c r="B15" s="145" t="s">
        <v>4798</v>
      </c>
      <c r="C15" s="145" t="s">
        <v>4743</v>
      </c>
      <c r="D15" s="145" t="s">
        <v>4804</v>
      </c>
      <c r="E15" s="145" t="s">
        <v>4805</v>
      </c>
      <c r="F15" s="145" t="s">
        <v>4806</v>
      </c>
      <c r="G15" s="145" t="s">
        <v>4807</v>
      </c>
      <c r="H15" s="145" t="s">
        <v>4808</v>
      </c>
      <c r="I15" s="145" t="s">
        <v>4749</v>
      </c>
    </row>
    <row r="16" customFormat="false" ht="76" hidden="false" customHeight="true" outlineLevel="0" collapsed="false">
      <c r="A16" s="145" t="s">
        <v>4433</v>
      </c>
      <c r="B16" s="145" t="s">
        <v>4798</v>
      </c>
      <c r="C16" s="145" t="s">
        <v>4743</v>
      </c>
      <c r="D16" s="145" t="s">
        <v>4809</v>
      </c>
      <c r="E16" s="145" t="s">
        <v>4810</v>
      </c>
      <c r="F16" s="145" t="s">
        <v>4811</v>
      </c>
      <c r="G16" s="145" t="s">
        <v>4812</v>
      </c>
      <c r="H16" s="145" t="s">
        <v>4813</v>
      </c>
      <c r="I16" s="145" t="s">
        <v>4749</v>
      </c>
    </row>
    <row r="17" customFormat="false" ht="76" hidden="false" customHeight="true" outlineLevel="0" collapsed="false">
      <c r="A17" s="145" t="s">
        <v>4433</v>
      </c>
      <c r="B17" s="145" t="s">
        <v>4798</v>
      </c>
      <c r="C17" s="145" t="s">
        <v>4743</v>
      </c>
      <c r="D17" s="145" t="s">
        <v>4783</v>
      </c>
      <c r="E17" s="145" t="s">
        <v>4814</v>
      </c>
      <c r="F17" s="145" t="s">
        <v>4815</v>
      </c>
      <c r="G17" s="145" t="s">
        <v>4816</v>
      </c>
      <c r="H17" s="145" t="s">
        <v>4817</v>
      </c>
      <c r="I17" s="145" t="s">
        <v>4749</v>
      </c>
    </row>
    <row r="18" customFormat="false" ht="76" hidden="false" customHeight="true" outlineLevel="0" collapsed="false">
      <c r="A18" s="145" t="s">
        <v>4433</v>
      </c>
      <c r="B18" s="145" t="s">
        <v>4798</v>
      </c>
      <c r="C18" s="145" t="s">
        <v>4743</v>
      </c>
      <c r="D18" s="145" t="s">
        <v>4788</v>
      </c>
      <c r="E18" s="145" t="s">
        <v>4818</v>
      </c>
      <c r="F18" s="145" t="s">
        <v>4819</v>
      </c>
      <c r="G18" s="145" t="s">
        <v>4820</v>
      </c>
      <c r="H18" s="145" t="s">
        <v>4821</v>
      </c>
      <c r="I18" s="145" t="s">
        <v>4749</v>
      </c>
    </row>
    <row r="19" customFormat="false" ht="76" hidden="false" customHeight="true" outlineLevel="0" collapsed="false">
      <c r="A19" s="145" t="s">
        <v>4433</v>
      </c>
      <c r="B19" s="145" t="s">
        <v>4798</v>
      </c>
      <c r="C19" s="145" t="s">
        <v>4743</v>
      </c>
      <c r="D19" s="145" t="s">
        <v>4822</v>
      </c>
      <c r="E19" s="145" t="s">
        <v>4823</v>
      </c>
      <c r="F19" s="145" t="s">
        <v>4824</v>
      </c>
      <c r="G19" s="145" t="s">
        <v>4825</v>
      </c>
      <c r="H19" s="145" t="s">
        <v>4826</v>
      </c>
      <c r="I19" s="145" t="s">
        <v>4749</v>
      </c>
    </row>
    <row r="20" customFormat="false" ht="76" hidden="false" customHeight="true" outlineLevel="0" collapsed="false">
      <c r="A20" s="145" t="s">
        <v>4433</v>
      </c>
      <c r="B20" s="145" t="s">
        <v>4798</v>
      </c>
      <c r="C20" s="145" t="s">
        <v>4743</v>
      </c>
      <c r="D20" s="145" t="s">
        <v>4827</v>
      </c>
      <c r="E20" s="145" t="s">
        <v>4828</v>
      </c>
      <c r="F20" s="145" t="s">
        <v>4829</v>
      </c>
      <c r="G20" s="145" t="s">
        <v>4830</v>
      </c>
      <c r="H20" s="145" t="s">
        <v>4831</v>
      </c>
      <c r="I20" s="145" t="s">
        <v>4749</v>
      </c>
    </row>
    <row r="21" customFormat="false" ht="76" hidden="false" customHeight="true" outlineLevel="0" collapsed="false">
      <c r="A21" s="145" t="s">
        <v>4433</v>
      </c>
      <c r="B21" s="145" t="s">
        <v>4798</v>
      </c>
      <c r="C21" s="145" t="s">
        <v>4743</v>
      </c>
      <c r="D21" s="145" t="s">
        <v>4832</v>
      </c>
      <c r="E21" s="145" t="s">
        <v>4833</v>
      </c>
      <c r="F21" s="145" t="s">
        <v>4834</v>
      </c>
      <c r="G21" s="145" t="s">
        <v>4835</v>
      </c>
      <c r="H21" s="145" t="s">
        <v>4836</v>
      </c>
      <c r="I21" s="145" t="s">
        <v>4749</v>
      </c>
    </row>
    <row r="22" customFormat="false" ht="76" hidden="false" customHeight="true" outlineLevel="0" collapsed="false">
      <c r="A22" s="145" t="s">
        <v>4433</v>
      </c>
      <c r="B22" s="145" t="s">
        <v>4798</v>
      </c>
      <c r="C22" s="145" t="s">
        <v>4743</v>
      </c>
      <c r="D22" s="145" t="s">
        <v>4837</v>
      </c>
      <c r="E22" s="145" t="s">
        <v>4838</v>
      </c>
      <c r="F22" s="145" t="s">
        <v>4839</v>
      </c>
      <c r="G22" s="145" t="s">
        <v>4840</v>
      </c>
      <c r="H22" s="145" t="s">
        <v>4841</v>
      </c>
      <c r="I22" s="145" t="s">
        <v>4749</v>
      </c>
    </row>
    <row r="23" customFormat="false" ht="76" hidden="false" customHeight="true" outlineLevel="0" collapsed="false">
      <c r="A23" s="145" t="s">
        <v>4433</v>
      </c>
      <c r="B23" s="145" t="s">
        <v>4842</v>
      </c>
      <c r="C23" s="145" t="s">
        <v>4743</v>
      </c>
      <c r="D23" s="145" t="s">
        <v>4744</v>
      </c>
      <c r="E23" s="145" t="s">
        <v>4843</v>
      </c>
      <c r="F23" s="145" t="s">
        <v>4844</v>
      </c>
      <c r="G23" s="145" t="s">
        <v>4845</v>
      </c>
      <c r="H23" s="145" t="s">
        <v>4846</v>
      </c>
      <c r="I23" s="145" t="s">
        <v>4749</v>
      </c>
    </row>
    <row r="24" customFormat="false" ht="76" hidden="false" customHeight="true" outlineLevel="0" collapsed="false">
      <c r="A24" s="145" t="s">
        <v>4433</v>
      </c>
      <c r="B24" s="145" t="s">
        <v>4842</v>
      </c>
      <c r="C24" s="145" t="s">
        <v>4743</v>
      </c>
      <c r="D24" s="145" t="s">
        <v>4744</v>
      </c>
      <c r="E24" s="145" t="s">
        <v>4847</v>
      </c>
      <c r="F24" s="145" t="s">
        <v>4848</v>
      </c>
      <c r="G24" s="145" t="s">
        <v>4849</v>
      </c>
      <c r="H24" s="145" t="s">
        <v>4850</v>
      </c>
      <c r="I24" s="145" t="s">
        <v>4749</v>
      </c>
    </row>
    <row r="25" customFormat="false" ht="76" hidden="false" customHeight="true" outlineLevel="0" collapsed="false">
      <c r="A25" s="145" t="s">
        <v>4433</v>
      </c>
      <c r="B25" s="145" t="s">
        <v>4842</v>
      </c>
      <c r="C25" s="145" t="s">
        <v>4743</v>
      </c>
      <c r="D25" s="145" t="s">
        <v>4744</v>
      </c>
      <c r="E25" s="145" t="s">
        <v>4851</v>
      </c>
      <c r="F25" s="145" t="s">
        <v>4852</v>
      </c>
      <c r="G25" s="145" t="s">
        <v>4853</v>
      </c>
      <c r="H25" s="145" t="s">
        <v>4854</v>
      </c>
      <c r="I25" s="145" t="s">
        <v>4749</v>
      </c>
    </row>
    <row r="26" customFormat="false" ht="76" hidden="false" customHeight="true" outlineLevel="0" collapsed="false">
      <c r="A26" s="145" t="s">
        <v>4433</v>
      </c>
      <c r="B26" s="145" t="s">
        <v>4842</v>
      </c>
      <c r="C26" s="145" t="s">
        <v>4743</v>
      </c>
      <c r="D26" s="145" t="s">
        <v>4744</v>
      </c>
      <c r="E26" s="145" t="s">
        <v>4855</v>
      </c>
      <c r="F26" s="145" t="s">
        <v>4856</v>
      </c>
      <c r="G26" s="145" t="s">
        <v>4857</v>
      </c>
      <c r="H26" s="145" t="s">
        <v>4858</v>
      </c>
      <c r="I26" s="145" t="s">
        <v>4749</v>
      </c>
    </row>
    <row r="27" customFormat="false" ht="84" hidden="false" customHeight="true" outlineLevel="0" collapsed="false">
      <c r="A27" s="145" t="s">
        <v>4433</v>
      </c>
      <c r="B27" s="145" t="s">
        <v>4859</v>
      </c>
      <c r="C27" s="145" t="s">
        <v>4860</v>
      </c>
      <c r="D27" s="145" t="s">
        <v>4861</v>
      </c>
      <c r="E27" s="145" t="s">
        <v>4862</v>
      </c>
      <c r="F27" s="145" t="s">
        <v>4863</v>
      </c>
      <c r="G27" s="145" t="s">
        <v>4864</v>
      </c>
      <c r="H27" s="145" t="s">
        <v>4865</v>
      </c>
      <c r="I27" s="145" t="s">
        <v>4749</v>
      </c>
    </row>
    <row r="28" customFormat="false" ht="76" hidden="false" customHeight="true" outlineLevel="0" collapsed="false">
      <c r="A28" s="145" t="s">
        <v>4433</v>
      </c>
      <c r="B28" s="145" t="s">
        <v>4859</v>
      </c>
      <c r="C28" s="145" t="s">
        <v>4866</v>
      </c>
      <c r="D28" s="145" t="s">
        <v>4867</v>
      </c>
      <c r="E28" s="145" t="s">
        <v>4868</v>
      </c>
      <c r="F28" s="145" t="s">
        <v>4869</v>
      </c>
      <c r="G28" s="145" t="s">
        <v>4870</v>
      </c>
      <c r="H28" s="145" t="s">
        <v>4871</v>
      </c>
      <c r="I28" s="145" t="s">
        <v>4749</v>
      </c>
    </row>
    <row r="29" customFormat="false" ht="76" hidden="false" customHeight="true" outlineLevel="0" collapsed="false">
      <c r="A29" s="145" t="s">
        <v>4433</v>
      </c>
      <c r="B29" s="145" t="s">
        <v>4859</v>
      </c>
      <c r="C29" s="145" t="s">
        <v>4872</v>
      </c>
      <c r="D29" s="145" t="s">
        <v>4873</v>
      </c>
      <c r="E29" s="145" t="s">
        <v>4874</v>
      </c>
      <c r="F29" s="145" t="s">
        <v>4875</v>
      </c>
      <c r="G29" s="145" t="s">
        <v>4876</v>
      </c>
      <c r="H29" s="145" t="s">
        <v>4877</v>
      </c>
      <c r="I29" s="145" t="s">
        <v>4749</v>
      </c>
    </row>
    <row r="30" customFormat="false" ht="76" hidden="false" customHeight="true" outlineLevel="0" collapsed="false">
      <c r="A30" s="145" t="s">
        <v>4433</v>
      </c>
      <c r="B30" s="145" t="s">
        <v>4878</v>
      </c>
      <c r="C30" s="145" t="s">
        <v>4743</v>
      </c>
      <c r="D30" s="145" t="s">
        <v>4744</v>
      </c>
      <c r="E30" s="145" t="s">
        <v>4879</v>
      </c>
      <c r="F30" s="145" t="s">
        <v>4880</v>
      </c>
      <c r="G30" s="145" t="s">
        <v>4881</v>
      </c>
      <c r="H30" s="145" t="s">
        <v>4882</v>
      </c>
      <c r="I30" s="145" t="s">
        <v>4749</v>
      </c>
    </row>
    <row r="31" customFormat="false" ht="76" hidden="false" customHeight="true" outlineLevel="0" collapsed="false">
      <c r="A31" s="145" t="s">
        <v>4450</v>
      </c>
      <c r="B31" s="145" t="s">
        <v>4883</v>
      </c>
      <c r="C31" s="145" t="s">
        <v>4884</v>
      </c>
      <c r="D31" s="145" t="s">
        <v>4885</v>
      </c>
      <c r="E31" s="145" t="s">
        <v>4886</v>
      </c>
      <c r="F31" s="145" t="s">
        <v>4887</v>
      </c>
      <c r="G31" s="145" t="s">
        <v>4888</v>
      </c>
      <c r="H31" s="145" t="s">
        <v>4889</v>
      </c>
      <c r="I31" s="145" t="s">
        <v>4749</v>
      </c>
    </row>
    <row r="32" customFormat="false" ht="76" hidden="false" customHeight="true" outlineLevel="0" collapsed="false">
      <c r="A32" s="145" t="s">
        <v>4450</v>
      </c>
      <c r="B32" s="145" t="s">
        <v>4883</v>
      </c>
      <c r="C32" s="145" t="s">
        <v>4890</v>
      </c>
      <c r="D32" s="145" t="s">
        <v>4867</v>
      </c>
      <c r="E32" s="145" t="s">
        <v>4891</v>
      </c>
      <c r="F32" s="145" t="s">
        <v>4892</v>
      </c>
      <c r="G32" s="145" t="s">
        <v>4893</v>
      </c>
      <c r="H32" s="145" t="s">
        <v>4894</v>
      </c>
      <c r="I32" s="145" t="s">
        <v>4749</v>
      </c>
    </row>
    <row r="33" customFormat="false" ht="76" hidden="false" customHeight="true" outlineLevel="0" collapsed="false">
      <c r="A33" s="145" t="s">
        <v>4450</v>
      </c>
      <c r="B33" s="145" t="s">
        <v>4895</v>
      </c>
      <c r="C33" s="145" t="s">
        <v>4743</v>
      </c>
      <c r="D33" s="145" t="s">
        <v>4783</v>
      </c>
      <c r="E33" s="145" t="s">
        <v>4896</v>
      </c>
      <c r="F33" s="145" t="s">
        <v>4897</v>
      </c>
      <c r="G33" s="145" t="s">
        <v>4898</v>
      </c>
      <c r="H33" s="145" t="s">
        <v>4899</v>
      </c>
      <c r="I33" s="145" t="s">
        <v>4749</v>
      </c>
    </row>
    <row r="34" customFormat="false" ht="76" hidden="false" customHeight="true" outlineLevel="0" collapsed="false">
      <c r="A34" s="145" t="s">
        <v>4450</v>
      </c>
      <c r="B34" s="145" t="s">
        <v>4895</v>
      </c>
      <c r="C34" s="145" t="s">
        <v>4743</v>
      </c>
      <c r="D34" s="145" t="s">
        <v>4900</v>
      </c>
      <c r="E34" s="145" t="s">
        <v>4901</v>
      </c>
      <c r="F34" s="145" t="s">
        <v>4902</v>
      </c>
      <c r="G34" s="145" t="s">
        <v>4903</v>
      </c>
      <c r="H34" s="145" t="s">
        <v>4904</v>
      </c>
      <c r="I34" s="145" t="s">
        <v>4749</v>
      </c>
    </row>
    <row r="35" customFormat="false" ht="76" hidden="false" customHeight="true" outlineLevel="0" collapsed="false">
      <c r="A35" s="145" t="s">
        <v>4450</v>
      </c>
      <c r="B35" s="145" t="s">
        <v>4895</v>
      </c>
      <c r="C35" s="145" t="s">
        <v>4743</v>
      </c>
      <c r="D35" s="145" t="s">
        <v>4905</v>
      </c>
      <c r="E35" s="145" t="s">
        <v>4906</v>
      </c>
      <c r="F35" s="145" t="s">
        <v>4907</v>
      </c>
      <c r="G35" s="145" t="s">
        <v>4908</v>
      </c>
      <c r="H35" s="145" t="s">
        <v>4909</v>
      </c>
      <c r="I35" s="145" t="s">
        <v>4749</v>
      </c>
    </row>
    <row r="36" customFormat="false" ht="76" hidden="false" customHeight="true" outlineLevel="0" collapsed="false">
      <c r="A36" s="145" t="s">
        <v>4450</v>
      </c>
      <c r="B36" s="145" t="s">
        <v>4895</v>
      </c>
      <c r="C36" s="145" t="s">
        <v>4743</v>
      </c>
      <c r="D36" s="145" t="s">
        <v>4910</v>
      </c>
      <c r="E36" s="145" t="s">
        <v>4911</v>
      </c>
      <c r="F36" s="145" t="s">
        <v>4912</v>
      </c>
      <c r="G36" s="145" t="s">
        <v>4913</v>
      </c>
      <c r="H36" s="145" t="s">
        <v>4914</v>
      </c>
      <c r="I36" s="145" t="s">
        <v>4749</v>
      </c>
    </row>
    <row r="37" customFormat="false" ht="76" hidden="false" customHeight="true" outlineLevel="0" collapsed="false">
      <c r="A37" s="145" t="s">
        <v>4450</v>
      </c>
      <c r="B37" s="145" t="s">
        <v>4895</v>
      </c>
      <c r="C37" s="145" t="s">
        <v>4743</v>
      </c>
      <c r="D37" s="145" t="s">
        <v>4915</v>
      </c>
      <c r="E37" s="145" t="s">
        <v>4916</v>
      </c>
      <c r="F37" s="145" t="s">
        <v>4917</v>
      </c>
      <c r="G37" s="145" t="s">
        <v>4918</v>
      </c>
      <c r="H37" s="145" t="s">
        <v>4919</v>
      </c>
      <c r="I37" s="145" t="s">
        <v>4749</v>
      </c>
    </row>
    <row r="38" customFormat="false" ht="76" hidden="false" customHeight="true" outlineLevel="0" collapsed="false">
      <c r="A38" s="145" t="s">
        <v>4450</v>
      </c>
      <c r="B38" s="145" t="s">
        <v>4920</v>
      </c>
      <c r="C38" s="145" t="s">
        <v>4743</v>
      </c>
      <c r="D38" s="145" t="s">
        <v>4744</v>
      </c>
      <c r="E38" s="145" t="s">
        <v>4921</v>
      </c>
      <c r="F38" s="145" t="s">
        <v>4922</v>
      </c>
      <c r="G38" s="145" t="s">
        <v>4923</v>
      </c>
      <c r="H38" s="145" t="s">
        <v>4924</v>
      </c>
      <c r="I38" s="145" t="s">
        <v>4749</v>
      </c>
    </row>
    <row r="39" customFormat="false" ht="76" hidden="false" customHeight="true" outlineLevel="0" collapsed="false">
      <c r="A39" s="145" t="s">
        <v>4450</v>
      </c>
      <c r="B39" s="145" t="s">
        <v>4920</v>
      </c>
      <c r="C39" s="145" t="s">
        <v>4743</v>
      </c>
      <c r="D39" s="145" t="s">
        <v>4744</v>
      </c>
      <c r="E39" s="145" t="s">
        <v>4925</v>
      </c>
      <c r="F39" s="145" t="s">
        <v>4926</v>
      </c>
      <c r="G39" s="145" t="s">
        <v>4927</v>
      </c>
      <c r="H39" s="145" t="s">
        <v>4928</v>
      </c>
      <c r="I39" s="145" t="s">
        <v>4749</v>
      </c>
    </row>
    <row r="40" customFormat="false" ht="76" hidden="false" customHeight="true" outlineLevel="0" collapsed="false">
      <c r="A40" s="145" t="s">
        <v>4450</v>
      </c>
      <c r="B40" s="145" t="s">
        <v>4920</v>
      </c>
      <c r="C40" s="145" t="s">
        <v>4743</v>
      </c>
      <c r="D40" s="145" t="s">
        <v>4744</v>
      </c>
      <c r="E40" s="145" t="s">
        <v>4929</v>
      </c>
      <c r="F40" s="145" t="s">
        <v>4930</v>
      </c>
      <c r="G40" s="145" t="s">
        <v>4931</v>
      </c>
      <c r="H40" s="145" t="s">
        <v>4932</v>
      </c>
      <c r="I40" s="145" t="s">
        <v>4749</v>
      </c>
    </row>
    <row r="41" customFormat="false" ht="76" hidden="false" customHeight="true" outlineLevel="0" collapsed="false">
      <c r="A41" s="145" t="s">
        <v>4450</v>
      </c>
      <c r="B41" s="145" t="s">
        <v>4933</v>
      </c>
      <c r="C41" s="145" t="s">
        <v>4743</v>
      </c>
      <c r="D41" s="145" t="s">
        <v>4744</v>
      </c>
      <c r="E41" s="145" t="s">
        <v>4934</v>
      </c>
      <c r="F41" s="145" t="s">
        <v>4935</v>
      </c>
      <c r="G41" s="145" t="s">
        <v>4936</v>
      </c>
      <c r="H41" s="145" t="s">
        <v>4937</v>
      </c>
      <c r="I41" s="145" t="s">
        <v>4749</v>
      </c>
    </row>
    <row r="42" customFormat="false" ht="76" hidden="false" customHeight="true" outlineLevel="0" collapsed="false">
      <c r="A42" s="145" t="s">
        <v>4450</v>
      </c>
      <c r="B42" s="145" t="s">
        <v>4933</v>
      </c>
      <c r="C42" s="145" t="s">
        <v>4743</v>
      </c>
      <c r="D42" s="145" t="s">
        <v>4744</v>
      </c>
      <c r="E42" s="145" t="s">
        <v>4938</v>
      </c>
      <c r="F42" s="145" t="s">
        <v>4939</v>
      </c>
      <c r="G42" s="145" t="s">
        <v>4940</v>
      </c>
      <c r="H42" s="145" t="s">
        <v>4941</v>
      </c>
      <c r="I42" s="145" t="s">
        <v>4749</v>
      </c>
    </row>
    <row r="43" customFormat="false" ht="76" hidden="false" customHeight="true" outlineLevel="0" collapsed="false">
      <c r="A43" s="145" t="s">
        <v>4450</v>
      </c>
      <c r="B43" s="145" t="s">
        <v>4933</v>
      </c>
      <c r="C43" s="145" t="s">
        <v>4743</v>
      </c>
      <c r="D43" s="145" t="s">
        <v>4744</v>
      </c>
      <c r="E43" s="145" t="s">
        <v>4942</v>
      </c>
      <c r="F43" s="145" t="s">
        <v>4943</v>
      </c>
      <c r="G43" s="145" t="s">
        <v>4944</v>
      </c>
      <c r="H43" s="145" t="s">
        <v>4945</v>
      </c>
      <c r="I43" s="145" t="s">
        <v>4749</v>
      </c>
    </row>
    <row r="44" customFormat="false" ht="76" hidden="false" customHeight="true" outlineLevel="0" collapsed="false">
      <c r="A44" s="145" t="s">
        <v>4450</v>
      </c>
      <c r="B44" s="145" t="s">
        <v>4933</v>
      </c>
      <c r="C44" s="145" t="s">
        <v>4743</v>
      </c>
      <c r="D44" s="145" t="s">
        <v>4744</v>
      </c>
      <c r="E44" s="145" t="s">
        <v>4946</v>
      </c>
      <c r="F44" s="145" t="s">
        <v>4947</v>
      </c>
      <c r="G44" s="145" t="s">
        <v>4948</v>
      </c>
      <c r="H44" s="145" t="s">
        <v>4949</v>
      </c>
      <c r="I44" s="145" t="s">
        <v>4749</v>
      </c>
    </row>
    <row r="45" customFormat="false" ht="76" hidden="false" customHeight="true" outlineLevel="0" collapsed="false">
      <c r="A45" s="145" t="s">
        <v>4450</v>
      </c>
      <c r="B45" s="145" t="s">
        <v>4933</v>
      </c>
      <c r="C45" s="145" t="s">
        <v>4743</v>
      </c>
      <c r="D45" s="145" t="s">
        <v>4744</v>
      </c>
      <c r="E45" s="145" t="s">
        <v>4950</v>
      </c>
      <c r="F45" s="145" t="s">
        <v>4951</v>
      </c>
      <c r="G45" s="145" t="s">
        <v>4952</v>
      </c>
      <c r="H45" s="145" t="s">
        <v>4953</v>
      </c>
      <c r="I45" s="145" t="s">
        <v>4749</v>
      </c>
    </row>
    <row r="46" customFormat="false" ht="76" hidden="false" customHeight="true" outlineLevel="0" collapsed="false">
      <c r="A46" s="145" t="s">
        <v>4450</v>
      </c>
      <c r="B46" s="145" t="s">
        <v>4066</v>
      </c>
      <c r="C46" s="145" t="s">
        <v>4743</v>
      </c>
      <c r="D46" s="145" t="s">
        <v>4744</v>
      </c>
      <c r="E46" s="145" t="s">
        <v>4954</v>
      </c>
      <c r="F46" s="145" t="s">
        <v>4955</v>
      </c>
      <c r="G46" s="145" t="s">
        <v>4956</v>
      </c>
      <c r="H46" s="145" t="s">
        <v>4957</v>
      </c>
      <c r="I46" s="145" t="s">
        <v>4749</v>
      </c>
    </row>
    <row r="47" customFormat="false" ht="76" hidden="false" customHeight="true" outlineLevel="0" collapsed="false">
      <c r="A47" s="145" t="s">
        <v>4466</v>
      </c>
      <c r="B47" s="145" t="s">
        <v>4883</v>
      </c>
      <c r="C47" s="145" t="s">
        <v>4958</v>
      </c>
      <c r="D47" s="145" t="s">
        <v>4959</v>
      </c>
      <c r="E47" s="145" t="s">
        <v>4960</v>
      </c>
      <c r="F47" s="145" t="s">
        <v>4961</v>
      </c>
      <c r="G47" s="145" t="s">
        <v>4962</v>
      </c>
      <c r="H47" s="145" t="s">
        <v>4963</v>
      </c>
      <c r="I47" s="145" t="s">
        <v>4749</v>
      </c>
    </row>
    <row r="48" customFormat="false" ht="84" hidden="false" customHeight="true" outlineLevel="0" collapsed="false">
      <c r="A48" s="145" t="s">
        <v>4466</v>
      </c>
      <c r="B48" s="145" t="s">
        <v>4883</v>
      </c>
      <c r="C48" s="145" t="s">
        <v>4964</v>
      </c>
      <c r="D48" s="145" t="s">
        <v>4965</v>
      </c>
      <c r="E48" s="145" t="s">
        <v>4966</v>
      </c>
      <c r="F48" s="145" t="s">
        <v>4967</v>
      </c>
      <c r="G48" s="145" t="s">
        <v>4968</v>
      </c>
      <c r="H48" s="145" t="s">
        <v>4969</v>
      </c>
      <c r="I48" s="145" t="s">
        <v>4749</v>
      </c>
    </row>
    <row r="49" customFormat="false" ht="76" hidden="false" customHeight="true" outlineLevel="0" collapsed="false">
      <c r="A49" s="145" t="s">
        <v>4466</v>
      </c>
      <c r="B49" s="145" t="s">
        <v>4883</v>
      </c>
      <c r="C49" s="145" t="s">
        <v>4970</v>
      </c>
      <c r="D49" s="145" t="s">
        <v>4971</v>
      </c>
      <c r="E49" s="145" t="s">
        <v>4972</v>
      </c>
      <c r="F49" s="145" t="s">
        <v>4973</v>
      </c>
      <c r="G49" s="145" t="s">
        <v>4974</v>
      </c>
      <c r="H49" s="145" t="s">
        <v>4975</v>
      </c>
      <c r="I49" s="145" t="s">
        <v>4749</v>
      </c>
    </row>
    <row r="50" customFormat="false" ht="76" hidden="false" customHeight="true" outlineLevel="0" collapsed="false">
      <c r="A50" s="145" t="s">
        <v>4466</v>
      </c>
      <c r="B50" s="145" t="s">
        <v>4895</v>
      </c>
      <c r="C50" s="145" t="s">
        <v>4743</v>
      </c>
      <c r="D50" s="145" t="s">
        <v>4976</v>
      </c>
      <c r="E50" s="145" t="s">
        <v>4977</v>
      </c>
      <c r="F50" s="145" t="s">
        <v>4978</v>
      </c>
      <c r="G50" s="145" t="s">
        <v>4979</v>
      </c>
      <c r="H50" s="145" t="s">
        <v>4980</v>
      </c>
      <c r="I50" s="145" t="s">
        <v>4749</v>
      </c>
    </row>
    <row r="51" customFormat="false" ht="76" hidden="false" customHeight="true" outlineLevel="0" collapsed="false">
      <c r="A51" s="145" t="s">
        <v>4466</v>
      </c>
      <c r="B51" s="145" t="s">
        <v>4895</v>
      </c>
      <c r="C51" s="145" t="s">
        <v>4743</v>
      </c>
      <c r="D51" s="145" t="s">
        <v>4981</v>
      </c>
      <c r="E51" s="145" t="s">
        <v>4982</v>
      </c>
      <c r="F51" s="145" t="s">
        <v>4983</v>
      </c>
      <c r="G51" s="145" t="s">
        <v>4984</v>
      </c>
      <c r="H51" s="145" t="s">
        <v>4985</v>
      </c>
      <c r="I51" s="145" t="s">
        <v>4749</v>
      </c>
    </row>
    <row r="52" customFormat="false" ht="76" hidden="false" customHeight="true" outlineLevel="0" collapsed="false">
      <c r="A52" s="145" t="s">
        <v>4466</v>
      </c>
      <c r="B52" s="145" t="s">
        <v>4895</v>
      </c>
      <c r="C52" s="145" t="s">
        <v>4743</v>
      </c>
      <c r="D52" s="145" t="s">
        <v>4986</v>
      </c>
      <c r="E52" s="145" t="s">
        <v>4987</v>
      </c>
      <c r="F52" s="145" t="s">
        <v>4988</v>
      </c>
      <c r="G52" s="145" t="s">
        <v>4989</v>
      </c>
      <c r="H52" s="145" t="s">
        <v>4990</v>
      </c>
      <c r="I52" s="145" t="s">
        <v>4749</v>
      </c>
    </row>
    <row r="53" customFormat="false" ht="76" hidden="false" customHeight="true" outlineLevel="0" collapsed="false">
      <c r="A53" s="145" t="s">
        <v>4466</v>
      </c>
      <c r="B53" s="145" t="s">
        <v>4895</v>
      </c>
      <c r="C53" s="145" t="s">
        <v>4743</v>
      </c>
      <c r="D53" s="145" t="s">
        <v>4991</v>
      </c>
      <c r="E53" s="145" t="s">
        <v>4992</v>
      </c>
      <c r="F53" s="145" t="s">
        <v>4993</v>
      </c>
      <c r="G53" s="145" t="s">
        <v>4994</v>
      </c>
      <c r="H53" s="145" t="s">
        <v>4995</v>
      </c>
      <c r="I53" s="145" t="s">
        <v>4749</v>
      </c>
    </row>
    <row r="54" customFormat="false" ht="76" hidden="false" customHeight="true" outlineLevel="0" collapsed="false">
      <c r="A54" s="145" t="s">
        <v>4466</v>
      </c>
      <c r="B54" s="145" t="s">
        <v>4895</v>
      </c>
      <c r="C54" s="145" t="s">
        <v>4743</v>
      </c>
      <c r="D54" s="145" t="s">
        <v>4996</v>
      </c>
      <c r="E54" s="145" t="s">
        <v>4997</v>
      </c>
      <c r="F54" s="145" t="s">
        <v>4998</v>
      </c>
      <c r="G54" s="145" t="s">
        <v>4999</v>
      </c>
      <c r="H54" s="145" t="s">
        <v>5000</v>
      </c>
      <c r="I54" s="145" t="s">
        <v>4749</v>
      </c>
    </row>
    <row r="55" customFormat="false" ht="76" hidden="false" customHeight="true" outlineLevel="0" collapsed="false">
      <c r="A55" s="145" t="s">
        <v>4466</v>
      </c>
      <c r="B55" s="145" t="s">
        <v>4920</v>
      </c>
      <c r="C55" s="145" t="s">
        <v>4743</v>
      </c>
      <c r="D55" s="145" t="s">
        <v>4744</v>
      </c>
      <c r="E55" s="145" t="s">
        <v>5001</v>
      </c>
      <c r="F55" s="145" t="s">
        <v>5002</v>
      </c>
      <c r="G55" s="145" t="s">
        <v>5003</v>
      </c>
      <c r="H55" s="145" t="s">
        <v>5004</v>
      </c>
      <c r="I55" s="145" t="s">
        <v>4749</v>
      </c>
    </row>
    <row r="56" customFormat="false" ht="76" hidden="false" customHeight="true" outlineLevel="0" collapsed="false">
      <c r="A56" s="145" t="s">
        <v>4466</v>
      </c>
      <c r="B56" s="145" t="s">
        <v>4920</v>
      </c>
      <c r="C56" s="145" t="s">
        <v>4743</v>
      </c>
      <c r="D56" s="145" t="s">
        <v>4744</v>
      </c>
      <c r="E56" s="145" t="s">
        <v>5005</v>
      </c>
      <c r="F56" s="145" t="s">
        <v>5006</v>
      </c>
      <c r="G56" s="145" t="s">
        <v>5007</v>
      </c>
      <c r="H56" s="145" t="s">
        <v>5008</v>
      </c>
      <c r="I56" s="145" t="s">
        <v>4749</v>
      </c>
    </row>
    <row r="57" customFormat="false" ht="76" hidden="false" customHeight="true" outlineLevel="0" collapsed="false">
      <c r="A57" s="145" t="s">
        <v>4466</v>
      </c>
      <c r="B57" s="145" t="s">
        <v>4920</v>
      </c>
      <c r="C57" s="145" t="s">
        <v>4743</v>
      </c>
      <c r="D57" s="145" t="s">
        <v>4744</v>
      </c>
      <c r="E57" s="145" t="s">
        <v>5009</v>
      </c>
      <c r="F57" s="145" t="s">
        <v>5010</v>
      </c>
      <c r="G57" s="145" t="s">
        <v>5011</v>
      </c>
      <c r="H57" s="145" t="s">
        <v>5012</v>
      </c>
      <c r="I57" s="145" t="s">
        <v>4749</v>
      </c>
    </row>
    <row r="58" customFormat="false" ht="76" hidden="false" customHeight="true" outlineLevel="0" collapsed="false">
      <c r="A58" s="145" t="s">
        <v>4466</v>
      </c>
      <c r="B58" s="145" t="s">
        <v>4933</v>
      </c>
      <c r="C58" s="145" t="s">
        <v>4743</v>
      </c>
      <c r="D58" s="145" t="s">
        <v>4744</v>
      </c>
      <c r="E58" s="145" t="s">
        <v>5013</v>
      </c>
      <c r="F58" s="145" t="s">
        <v>5014</v>
      </c>
      <c r="G58" s="145" t="s">
        <v>5015</v>
      </c>
      <c r="H58" s="145" t="s">
        <v>5016</v>
      </c>
      <c r="I58" s="145" t="s">
        <v>4749</v>
      </c>
    </row>
    <row r="59" customFormat="false" ht="76" hidden="false" customHeight="true" outlineLevel="0" collapsed="false">
      <c r="A59" s="145" t="s">
        <v>4466</v>
      </c>
      <c r="B59" s="145" t="s">
        <v>4933</v>
      </c>
      <c r="C59" s="145" t="s">
        <v>4743</v>
      </c>
      <c r="D59" s="145" t="s">
        <v>4744</v>
      </c>
      <c r="E59" s="145" t="s">
        <v>5017</v>
      </c>
      <c r="F59" s="145" t="s">
        <v>5018</v>
      </c>
      <c r="G59" s="145" t="s">
        <v>5019</v>
      </c>
      <c r="H59" s="145" t="s">
        <v>5020</v>
      </c>
      <c r="I59" s="145" t="s">
        <v>4749</v>
      </c>
    </row>
    <row r="60" customFormat="false" ht="76" hidden="false" customHeight="true" outlineLevel="0" collapsed="false">
      <c r="A60" s="145" t="s">
        <v>4466</v>
      </c>
      <c r="B60" s="145" t="s">
        <v>4933</v>
      </c>
      <c r="C60" s="145" t="s">
        <v>4743</v>
      </c>
      <c r="D60" s="145" t="s">
        <v>4744</v>
      </c>
      <c r="E60" s="145" t="s">
        <v>5021</v>
      </c>
      <c r="F60" s="145" t="s">
        <v>5022</v>
      </c>
      <c r="G60" s="145" t="s">
        <v>5023</v>
      </c>
      <c r="H60" s="145" t="s">
        <v>5024</v>
      </c>
      <c r="I60" s="145" t="s">
        <v>4749</v>
      </c>
    </row>
    <row r="61" customFormat="false" ht="76" hidden="false" customHeight="true" outlineLevel="0" collapsed="false">
      <c r="A61" s="145" t="s">
        <v>4466</v>
      </c>
      <c r="B61" s="145" t="s">
        <v>4933</v>
      </c>
      <c r="C61" s="145" t="s">
        <v>4743</v>
      </c>
      <c r="D61" s="145" t="s">
        <v>4744</v>
      </c>
      <c r="E61" s="145" t="s">
        <v>5025</v>
      </c>
      <c r="F61" s="145" t="s">
        <v>5026</v>
      </c>
      <c r="G61" s="145" t="s">
        <v>5027</v>
      </c>
      <c r="H61" s="145" t="s">
        <v>5028</v>
      </c>
      <c r="I61" s="145" t="s">
        <v>4749</v>
      </c>
    </row>
    <row r="62" customFormat="false" ht="76" hidden="false" customHeight="true" outlineLevel="0" collapsed="false">
      <c r="A62" s="145" t="s">
        <v>4466</v>
      </c>
      <c r="B62" s="145" t="s">
        <v>4933</v>
      </c>
      <c r="C62" s="145" t="s">
        <v>4743</v>
      </c>
      <c r="D62" s="145" t="s">
        <v>4744</v>
      </c>
      <c r="E62" s="145" t="s">
        <v>5029</v>
      </c>
      <c r="F62" s="145" t="s">
        <v>5030</v>
      </c>
      <c r="G62" s="145" t="s">
        <v>5031</v>
      </c>
      <c r="H62" s="145" t="s">
        <v>5032</v>
      </c>
      <c r="I62" s="145" t="s">
        <v>4749</v>
      </c>
    </row>
    <row r="63" customFormat="false" ht="76" hidden="false" customHeight="true" outlineLevel="0" collapsed="false">
      <c r="A63" s="145" t="s">
        <v>4466</v>
      </c>
      <c r="B63" s="145" t="s">
        <v>4066</v>
      </c>
      <c r="C63" s="145" t="s">
        <v>4743</v>
      </c>
      <c r="D63" s="145" t="s">
        <v>4744</v>
      </c>
      <c r="E63" s="145" t="s">
        <v>4954</v>
      </c>
      <c r="F63" s="145" t="s">
        <v>5033</v>
      </c>
      <c r="G63" s="145" t="s">
        <v>5034</v>
      </c>
      <c r="H63" s="145" t="s">
        <v>4957</v>
      </c>
      <c r="I63" s="145" t="s">
        <v>4749</v>
      </c>
    </row>
    <row r="64" customFormat="false" ht="112" hidden="false" customHeight="true" outlineLevel="0" collapsed="false">
      <c r="A64" s="145" t="s">
        <v>4479</v>
      </c>
      <c r="B64" s="145" t="s">
        <v>4883</v>
      </c>
      <c r="C64" s="145" t="s">
        <v>4483</v>
      </c>
      <c r="D64" s="145" t="s">
        <v>5035</v>
      </c>
      <c r="E64" s="145" t="s">
        <v>5036</v>
      </c>
      <c r="F64" s="145" t="s">
        <v>5037</v>
      </c>
      <c r="G64" s="145" t="s">
        <v>5038</v>
      </c>
      <c r="H64" s="145" t="s">
        <v>5039</v>
      </c>
      <c r="I64" s="145" t="s">
        <v>4749</v>
      </c>
    </row>
    <row r="65" customFormat="false" ht="112" hidden="false" customHeight="true" outlineLevel="0" collapsed="false">
      <c r="A65" s="145" t="s">
        <v>4479</v>
      </c>
      <c r="B65" s="145" t="s">
        <v>4895</v>
      </c>
      <c r="C65" s="145" t="s">
        <v>4743</v>
      </c>
      <c r="D65" s="145" t="s">
        <v>5040</v>
      </c>
      <c r="E65" s="145" t="s">
        <v>5041</v>
      </c>
      <c r="F65" s="145" t="s">
        <v>5042</v>
      </c>
      <c r="G65" s="145" t="s">
        <v>5043</v>
      </c>
      <c r="H65" s="145" t="s">
        <v>5044</v>
      </c>
      <c r="I65" s="145" t="s">
        <v>4749</v>
      </c>
    </row>
    <row r="66" customFormat="false" ht="76" hidden="false" customHeight="true" outlineLevel="0" collapsed="false">
      <c r="A66" s="145" t="s">
        <v>4479</v>
      </c>
      <c r="B66" s="145" t="s">
        <v>4895</v>
      </c>
      <c r="C66" s="145" t="s">
        <v>4743</v>
      </c>
      <c r="D66" s="145" t="s">
        <v>5045</v>
      </c>
      <c r="E66" s="145" t="s">
        <v>5046</v>
      </c>
      <c r="F66" s="145" t="s">
        <v>5047</v>
      </c>
      <c r="G66" s="145" t="s">
        <v>5048</v>
      </c>
      <c r="H66" s="145" t="s">
        <v>5049</v>
      </c>
      <c r="I66" s="145" t="s">
        <v>4749</v>
      </c>
    </row>
    <row r="67" customFormat="false" ht="76" hidden="false" customHeight="true" outlineLevel="0" collapsed="false">
      <c r="A67" s="145" t="s">
        <v>4479</v>
      </c>
      <c r="B67" s="145" t="s">
        <v>4895</v>
      </c>
      <c r="C67" s="145" t="s">
        <v>4743</v>
      </c>
      <c r="D67" s="145" t="s">
        <v>5050</v>
      </c>
      <c r="E67" s="145" t="s">
        <v>5051</v>
      </c>
      <c r="F67" s="145" t="s">
        <v>5052</v>
      </c>
      <c r="G67" s="145" t="s">
        <v>5053</v>
      </c>
      <c r="H67" s="145" t="s">
        <v>5054</v>
      </c>
      <c r="I67" s="145" t="s">
        <v>4749</v>
      </c>
    </row>
    <row r="68" customFormat="false" ht="76" hidden="false" customHeight="true" outlineLevel="0" collapsed="false">
      <c r="A68" s="145" t="s">
        <v>4479</v>
      </c>
      <c r="B68" s="145" t="s">
        <v>4895</v>
      </c>
      <c r="C68" s="145" t="s">
        <v>4743</v>
      </c>
      <c r="D68" s="145" t="s">
        <v>5055</v>
      </c>
      <c r="E68" s="145" t="s">
        <v>5056</v>
      </c>
      <c r="F68" s="145" t="s">
        <v>5057</v>
      </c>
      <c r="G68" s="145" t="s">
        <v>5058</v>
      </c>
      <c r="H68" s="145" t="s">
        <v>5059</v>
      </c>
      <c r="I68" s="145" t="s">
        <v>4749</v>
      </c>
    </row>
    <row r="69" customFormat="false" ht="76" hidden="false" customHeight="true" outlineLevel="0" collapsed="false">
      <c r="A69" s="145" t="s">
        <v>4479</v>
      </c>
      <c r="B69" s="145" t="s">
        <v>4895</v>
      </c>
      <c r="C69" s="145" t="s">
        <v>4743</v>
      </c>
      <c r="D69" s="145" t="s">
        <v>5060</v>
      </c>
      <c r="E69" s="145" t="s">
        <v>5061</v>
      </c>
      <c r="F69" s="145" t="s">
        <v>5062</v>
      </c>
      <c r="G69" s="145" t="s">
        <v>5063</v>
      </c>
      <c r="H69" s="145" t="s">
        <v>5064</v>
      </c>
      <c r="I69" s="145" t="s">
        <v>4749</v>
      </c>
    </row>
    <row r="70" customFormat="false" ht="76" hidden="false" customHeight="true" outlineLevel="0" collapsed="false">
      <c r="A70" s="145" t="s">
        <v>4479</v>
      </c>
      <c r="B70" s="145" t="s">
        <v>4895</v>
      </c>
      <c r="C70" s="145" t="s">
        <v>4743</v>
      </c>
      <c r="D70" s="145" t="s">
        <v>5035</v>
      </c>
      <c r="E70" s="145" t="s">
        <v>5065</v>
      </c>
      <c r="F70" s="145" t="s">
        <v>5066</v>
      </c>
      <c r="G70" s="145" t="s">
        <v>5067</v>
      </c>
      <c r="H70" s="145" t="s">
        <v>5068</v>
      </c>
      <c r="I70" s="145" t="s">
        <v>4749</v>
      </c>
    </row>
    <row r="71" customFormat="false" ht="76" hidden="false" customHeight="true" outlineLevel="0" collapsed="false">
      <c r="A71" s="145" t="s">
        <v>4479</v>
      </c>
      <c r="B71" s="145" t="s">
        <v>4895</v>
      </c>
      <c r="C71" s="145" t="s">
        <v>4743</v>
      </c>
      <c r="D71" s="145" t="s">
        <v>5069</v>
      </c>
      <c r="E71" s="145" t="s">
        <v>5070</v>
      </c>
      <c r="F71" s="145" t="s">
        <v>5071</v>
      </c>
      <c r="G71" s="145" t="s">
        <v>5072</v>
      </c>
      <c r="H71" s="145" t="s">
        <v>5073</v>
      </c>
      <c r="I71" s="145" t="s">
        <v>4749</v>
      </c>
    </row>
    <row r="72" customFormat="false" ht="76" hidden="false" customHeight="true" outlineLevel="0" collapsed="false">
      <c r="A72" s="145" t="s">
        <v>4479</v>
      </c>
      <c r="B72" s="145" t="s">
        <v>4920</v>
      </c>
      <c r="C72" s="145" t="s">
        <v>4743</v>
      </c>
      <c r="D72" s="145" t="s">
        <v>5074</v>
      </c>
      <c r="E72" s="145" t="s">
        <v>5075</v>
      </c>
      <c r="F72" s="145" t="s">
        <v>5076</v>
      </c>
      <c r="G72" s="145" t="s">
        <v>5077</v>
      </c>
      <c r="H72" s="145" t="s">
        <v>5078</v>
      </c>
      <c r="I72" s="145" t="s">
        <v>4749</v>
      </c>
    </row>
    <row r="73" customFormat="false" ht="76" hidden="false" customHeight="true" outlineLevel="0" collapsed="false">
      <c r="A73" s="145" t="s">
        <v>4479</v>
      </c>
      <c r="B73" s="145" t="s">
        <v>4920</v>
      </c>
      <c r="C73" s="145" t="s">
        <v>4743</v>
      </c>
      <c r="D73" s="145" t="s">
        <v>5035</v>
      </c>
      <c r="E73" s="145" t="s">
        <v>5079</v>
      </c>
      <c r="F73" s="145" t="s">
        <v>5080</v>
      </c>
      <c r="G73" s="145" t="s">
        <v>5081</v>
      </c>
      <c r="H73" s="145" t="s">
        <v>5082</v>
      </c>
      <c r="I73" s="145" t="s">
        <v>4749</v>
      </c>
    </row>
    <row r="74" customFormat="false" ht="98" hidden="false" customHeight="true" outlineLevel="0" collapsed="false">
      <c r="A74" s="145" t="s">
        <v>4479</v>
      </c>
      <c r="B74" s="145" t="s">
        <v>4933</v>
      </c>
      <c r="C74" s="145" t="s">
        <v>4743</v>
      </c>
      <c r="D74" s="145" t="s">
        <v>4744</v>
      </c>
      <c r="E74" s="145" t="s">
        <v>5083</v>
      </c>
      <c r="F74" s="145" t="s">
        <v>5084</v>
      </c>
      <c r="G74" s="145" t="s">
        <v>5085</v>
      </c>
      <c r="H74" s="145" t="s">
        <v>5086</v>
      </c>
      <c r="I74" s="145" t="s">
        <v>4749</v>
      </c>
    </row>
    <row r="75" customFormat="false" ht="76" hidden="false" customHeight="true" outlineLevel="0" collapsed="false">
      <c r="A75" s="145" t="s">
        <v>4479</v>
      </c>
      <c r="B75" s="145" t="s">
        <v>4933</v>
      </c>
      <c r="C75" s="145" t="s">
        <v>4743</v>
      </c>
      <c r="D75" s="145" t="s">
        <v>4744</v>
      </c>
      <c r="E75" s="145" t="s">
        <v>5087</v>
      </c>
      <c r="F75" s="145" t="s">
        <v>5088</v>
      </c>
      <c r="G75" s="145" t="s">
        <v>5089</v>
      </c>
      <c r="H75" s="145" t="s">
        <v>5090</v>
      </c>
      <c r="I75" s="145" t="s">
        <v>4749</v>
      </c>
    </row>
    <row r="76" customFormat="false" ht="76" hidden="false" customHeight="true" outlineLevel="0" collapsed="false">
      <c r="A76" s="145" t="s">
        <v>4479</v>
      </c>
      <c r="B76" s="145" t="s">
        <v>4933</v>
      </c>
      <c r="C76" s="145" t="s">
        <v>4743</v>
      </c>
      <c r="D76" s="145" t="s">
        <v>4744</v>
      </c>
      <c r="E76" s="145" t="s">
        <v>5091</v>
      </c>
      <c r="F76" s="145" t="s">
        <v>5092</v>
      </c>
      <c r="G76" s="145" t="s">
        <v>5093</v>
      </c>
      <c r="H76" s="145" t="s">
        <v>5094</v>
      </c>
      <c r="I76" s="145" t="s">
        <v>4749</v>
      </c>
    </row>
    <row r="77" customFormat="false" ht="76" hidden="false" customHeight="true" outlineLevel="0" collapsed="false">
      <c r="A77" s="145" t="s">
        <v>4479</v>
      </c>
      <c r="B77" s="145" t="s">
        <v>4933</v>
      </c>
      <c r="C77" s="145" t="s">
        <v>4743</v>
      </c>
      <c r="D77" s="145" t="s">
        <v>4744</v>
      </c>
      <c r="E77" s="145" t="s">
        <v>5095</v>
      </c>
      <c r="F77" s="145" t="s">
        <v>5096</v>
      </c>
      <c r="G77" s="145" t="s">
        <v>5097</v>
      </c>
      <c r="H77" s="145" t="s">
        <v>5098</v>
      </c>
      <c r="I77" s="145" t="s">
        <v>4749</v>
      </c>
    </row>
    <row r="78" customFormat="false" ht="76" hidden="false" customHeight="true" outlineLevel="0" collapsed="false">
      <c r="A78" s="145" t="s">
        <v>4479</v>
      </c>
      <c r="B78" s="145" t="s">
        <v>4933</v>
      </c>
      <c r="C78" s="145" t="s">
        <v>4743</v>
      </c>
      <c r="D78" s="145" t="s">
        <v>4744</v>
      </c>
      <c r="E78" s="145" t="s">
        <v>5099</v>
      </c>
      <c r="F78" s="145" t="s">
        <v>5100</v>
      </c>
      <c r="G78" s="145" t="s">
        <v>5101</v>
      </c>
      <c r="H78" s="145" t="s">
        <v>5102</v>
      </c>
      <c r="I78" s="145" t="s">
        <v>4749</v>
      </c>
    </row>
    <row r="79" customFormat="false" ht="76" hidden="false" customHeight="true" outlineLevel="0" collapsed="false">
      <c r="A79" s="145" t="s">
        <v>4479</v>
      </c>
      <c r="B79" s="145" t="s">
        <v>4933</v>
      </c>
      <c r="C79" s="145" t="s">
        <v>4743</v>
      </c>
      <c r="D79" s="145" t="s">
        <v>4744</v>
      </c>
      <c r="E79" s="145" t="s">
        <v>5103</v>
      </c>
      <c r="F79" s="145" t="s">
        <v>5104</v>
      </c>
      <c r="G79" s="145" t="s">
        <v>5105</v>
      </c>
      <c r="H79" s="145" t="s">
        <v>5106</v>
      </c>
      <c r="I79" s="145" t="s">
        <v>4749</v>
      </c>
    </row>
    <row r="80" customFormat="false" ht="76" hidden="false" customHeight="true" outlineLevel="0" collapsed="false">
      <c r="A80" s="145" t="s">
        <v>4479</v>
      </c>
      <c r="B80" s="145" t="s">
        <v>4933</v>
      </c>
      <c r="C80" s="145" t="s">
        <v>4743</v>
      </c>
      <c r="D80" s="145" t="s">
        <v>4744</v>
      </c>
      <c r="E80" s="145" t="s">
        <v>5107</v>
      </c>
      <c r="F80" s="145" t="s">
        <v>5108</v>
      </c>
      <c r="G80" s="145" t="s">
        <v>5109</v>
      </c>
      <c r="H80" s="145" t="s">
        <v>5110</v>
      </c>
      <c r="I80" s="145" t="s">
        <v>4749</v>
      </c>
    </row>
    <row r="81" customFormat="false" ht="76" hidden="false" customHeight="true" outlineLevel="0" collapsed="false">
      <c r="A81" s="145" t="s">
        <v>4479</v>
      </c>
      <c r="B81" s="145" t="s">
        <v>4066</v>
      </c>
      <c r="C81" s="145" t="s">
        <v>4743</v>
      </c>
      <c r="D81" s="145" t="s">
        <v>4744</v>
      </c>
      <c r="E81" s="145" t="s">
        <v>4954</v>
      </c>
      <c r="F81" s="145" t="s">
        <v>5111</v>
      </c>
      <c r="G81" s="145" t="s">
        <v>5112</v>
      </c>
      <c r="H81" s="145" t="s">
        <v>4957</v>
      </c>
      <c r="I81" s="145" t="s">
        <v>4749</v>
      </c>
    </row>
    <row r="82" customFormat="false" ht="98" hidden="false" customHeight="true" outlineLevel="0" collapsed="false">
      <c r="A82" s="145" t="s">
        <v>4493</v>
      </c>
      <c r="B82" s="145" t="s">
        <v>4742</v>
      </c>
      <c r="C82" s="145" t="s">
        <v>4743</v>
      </c>
      <c r="D82" s="145" t="s">
        <v>4744</v>
      </c>
      <c r="E82" s="145" t="s">
        <v>5113</v>
      </c>
      <c r="F82" s="145" t="s">
        <v>5114</v>
      </c>
      <c r="G82" s="145" t="s">
        <v>5115</v>
      </c>
      <c r="H82" s="145" t="s">
        <v>5116</v>
      </c>
      <c r="I82" s="145" t="s">
        <v>4749</v>
      </c>
    </row>
    <row r="83" customFormat="false" ht="84" hidden="false" customHeight="true" outlineLevel="0" collapsed="false">
      <c r="A83" s="145" t="s">
        <v>4493</v>
      </c>
      <c r="B83" s="145" t="s">
        <v>4742</v>
      </c>
      <c r="C83" s="145" t="s">
        <v>4743</v>
      </c>
      <c r="D83" s="145" t="s">
        <v>4744</v>
      </c>
      <c r="E83" s="145" t="s">
        <v>5117</v>
      </c>
      <c r="F83" s="145" t="s">
        <v>5118</v>
      </c>
      <c r="G83" s="145" t="s">
        <v>5119</v>
      </c>
      <c r="H83" s="145" t="s">
        <v>5120</v>
      </c>
      <c r="I83" s="145" t="s">
        <v>4749</v>
      </c>
    </row>
    <row r="84" customFormat="false" ht="84" hidden="false" customHeight="true" outlineLevel="0" collapsed="false">
      <c r="A84" s="145" t="s">
        <v>4493</v>
      </c>
      <c r="B84" s="145" t="s">
        <v>4742</v>
      </c>
      <c r="C84" s="145" t="s">
        <v>4743</v>
      </c>
      <c r="D84" s="145" t="s">
        <v>4744</v>
      </c>
      <c r="E84" s="145" t="s">
        <v>5121</v>
      </c>
      <c r="F84" s="145" t="s">
        <v>5122</v>
      </c>
      <c r="G84" s="145" t="s">
        <v>5123</v>
      </c>
      <c r="H84" s="145" t="s">
        <v>5124</v>
      </c>
      <c r="I84" s="145" t="s">
        <v>4749</v>
      </c>
    </row>
    <row r="85" customFormat="false" ht="98" hidden="false" customHeight="true" outlineLevel="0" collapsed="false">
      <c r="A85" s="145" t="s">
        <v>4493</v>
      </c>
      <c r="B85" s="145" t="s">
        <v>4742</v>
      </c>
      <c r="C85" s="145" t="s">
        <v>4743</v>
      </c>
      <c r="D85" s="145" t="s">
        <v>4744</v>
      </c>
      <c r="E85" s="145" t="s">
        <v>5125</v>
      </c>
      <c r="F85" s="145" t="s">
        <v>5126</v>
      </c>
      <c r="G85" s="145" t="s">
        <v>5127</v>
      </c>
      <c r="H85" s="145" t="s">
        <v>5128</v>
      </c>
      <c r="I85" s="145" t="s">
        <v>4749</v>
      </c>
    </row>
    <row r="86" customFormat="false" ht="84" hidden="false" customHeight="true" outlineLevel="0" collapsed="false">
      <c r="A86" s="145" t="s">
        <v>4493</v>
      </c>
      <c r="B86" s="145" t="s">
        <v>4742</v>
      </c>
      <c r="C86" s="145" t="s">
        <v>4743</v>
      </c>
      <c r="D86" s="145" t="s">
        <v>4744</v>
      </c>
      <c r="E86" s="145" t="s">
        <v>5129</v>
      </c>
      <c r="F86" s="145" t="s">
        <v>5130</v>
      </c>
      <c r="G86" s="145" t="s">
        <v>5131</v>
      </c>
      <c r="H86" s="145" t="s">
        <v>5132</v>
      </c>
      <c r="I86" s="145" t="s">
        <v>4749</v>
      </c>
    </row>
    <row r="87" customFormat="false" ht="84" hidden="false" customHeight="true" outlineLevel="0" collapsed="false">
      <c r="A87" s="145" t="s">
        <v>4493</v>
      </c>
      <c r="B87" s="145" t="s">
        <v>4742</v>
      </c>
      <c r="C87" s="145" t="s">
        <v>4743</v>
      </c>
      <c r="D87" s="145" t="s">
        <v>4744</v>
      </c>
      <c r="E87" s="145" t="s">
        <v>5133</v>
      </c>
      <c r="F87" s="145" t="s">
        <v>5134</v>
      </c>
      <c r="G87" s="145" t="s">
        <v>5135</v>
      </c>
      <c r="H87" s="145" t="s">
        <v>5136</v>
      </c>
      <c r="I87" s="145" t="s">
        <v>4749</v>
      </c>
    </row>
    <row r="88" customFormat="false" ht="84" hidden="false" customHeight="true" outlineLevel="0" collapsed="false">
      <c r="A88" s="145" t="s">
        <v>4493</v>
      </c>
      <c r="B88" s="145" t="s">
        <v>4742</v>
      </c>
      <c r="C88" s="145" t="s">
        <v>4743</v>
      </c>
      <c r="D88" s="145" t="s">
        <v>4744</v>
      </c>
      <c r="E88" s="145" t="s">
        <v>5137</v>
      </c>
      <c r="F88" s="145" t="s">
        <v>5138</v>
      </c>
      <c r="G88" s="145" t="s">
        <v>5139</v>
      </c>
      <c r="H88" s="145" t="s">
        <v>5140</v>
      </c>
      <c r="I88" s="145" t="s">
        <v>4749</v>
      </c>
    </row>
    <row r="89" customFormat="false" ht="84" hidden="false" customHeight="true" outlineLevel="0" collapsed="false">
      <c r="A89" s="145" t="s">
        <v>4493</v>
      </c>
      <c r="B89" s="145" t="s">
        <v>4742</v>
      </c>
      <c r="C89" s="145" t="s">
        <v>4743</v>
      </c>
      <c r="D89" s="145" t="s">
        <v>4744</v>
      </c>
      <c r="E89" s="145" t="s">
        <v>5141</v>
      </c>
      <c r="F89" s="145" t="s">
        <v>5142</v>
      </c>
      <c r="G89" s="145" t="s">
        <v>5143</v>
      </c>
      <c r="H89" s="145" t="s">
        <v>5144</v>
      </c>
      <c r="I89" s="145" t="s">
        <v>4749</v>
      </c>
    </row>
    <row r="90" customFormat="false" ht="84" hidden="false" customHeight="true" outlineLevel="0" collapsed="false">
      <c r="A90" s="145" t="s">
        <v>4493</v>
      </c>
      <c r="B90" s="145" t="s">
        <v>4742</v>
      </c>
      <c r="C90" s="145" t="s">
        <v>4743</v>
      </c>
      <c r="D90" s="145" t="s">
        <v>4744</v>
      </c>
      <c r="E90" s="145" t="s">
        <v>5145</v>
      </c>
      <c r="F90" s="145" t="s">
        <v>5146</v>
      </c>
      <c r="G90" s="145" t="s">
        <v>5147</v>
      </c>
      <c r="H90" s="145" t="s">
        <v>5148</v>
      </c>
      <c r="I90" s="145" t="s">
        <v>4749</v>
      </c>
    </row>
    <row r="91" customFormat="false" ht="84" hidden="false" customHeight="true" outlineLevel="0" collapsed="false">
      <c r="A91" s="145" t="s">
        <v>4493</v>
      </c>
      <c r="B91" s="145" t="s">
        <v>4742</v>
      </c>
      <c r="C91" s="145" t="s">
        <v>4743</v>
      </c>
      <c r="D91" s="145" t="s">
        <v>4744</v>
      </c>
      <c r="E91" s="145" t="s">
        <v>5149</v>
      </c>
      <c r="F91" s="145" t="s">
        <v>5150</v>
      </c>
      <c r="G91" s="145" t="s">
        <v>5151</v>
      </c>
      <c r="H91" s="145" t="s">
        <v>5152</v>
      </c>
      <c r="I91" s="145" t="s">
        <v>4749</v>
      </c>
    </row>
    <row r="92" customFormat="false" ht="84" hidden="false" customHeight="true" outlineLevel="0" collapsed="false">
      <c r="A92" s="145" t="s">
        <v>4493</v>
      </c>
      <c r="B92" s="145" t="s">
        <v>4742</v>
      </c>
      <c r="C92" s="145" t="s">
        <v>4743</v>
      </c>
      <c r="D92" s="145" t="s">
        <v>4744</v>
      </c>
      <c r="E92" s="145" t="s">
        <v>5153</v>
      </c>
      <c r="F92" s="145" t="s">
        <v>5154</v>
      </c>
      <c r="G92" s="145" t="s">
        <v>5155</v>
      </c>
      <c r="H92" s="145" t="s">
        <v>5156</v>
      </c>
      <c r="I92" s="145" t="s">
        <v>4749</v>
      </c>
    </row>
    <row r="93" customFormat="false" ht="84" hidden="false" customHeight="true" outlineLevel="0" collapsed="false">
      <c r="A93" s="145" t="s">
        <v>4493</v>
      </c>
      <c r="B93" s="145" t="s">
        <v>4782</v>
      </c>
      <c r="C93" s="145" t="s">
        <v>4743</v>
      </c>
      <c r="D93" s="145" t="s">
        <v>5157</v>
      </c>
      <c r="E93" s="145" t="s">
        <v>5158</v>
      </c>
      <c r="F93" s="145" t="s">
        <v>5159</v>
      </c>
      <c r="G93" s="145" t="s">
        <v>5160</v>
      </c>
      <c r="H93" s="145" t="s">
        <v>5161</v>
      </c>
      <c r="I93" s="145" t="s">
        <v>4749</v>
      </c>
    </row>
    <row r="94" customFormat="false" ht="84" hidden="false" customHeight="true" outlineLevel="0" collapsed="false">
      <c r="A94" s="145" t="s">
        <v>4493</v>
      </c>
      <c r="B94" s="145" t="s">
        <v>4782</v>
      </c>
      <c r="C94" s="145" t="s">
        <v>4743</v>
      </c>
      <c r="D94" s="145" t="s">
        <v>5162</v>
      </c>
      <c r="E94" s="145" t="s">
        <v>5163</v>
      </c>
      <c r="F94" s="145" t="s">
        <v>5164</v>
      </c>
      <c r="G94" s="145" t="s">
        <v>5165</v>
      </c>
      <c r="H94" s="145" t="s">
        <v>5166</v>
      </c>
      <c r="I94" s="145" t="s">
        <v>4749</v>
      </c>
    </row>
    <row r="95" customFormat="false" ht="76" hidden="false" customHeight="true" outlineLevel="0" collapsed="false">
      <c r="A95" s="145" t="s">
        <v>4493</v>
      </c>
      <c r="B95" s="145" t="s">
        <v>4782</v>
      </c>
      <c r="C95" s="145" t="s">
        <v>4743</v>
      </c>
      <c r="D95" s="145" t="s">
        <v>5167</v>
      </c>
      <c r="E95" s="145" t="s">
        <v>5168</v>
      </c>
      <c r="F95" s="145" t="s">
        <v>5169</v>
      </c>
      <c r="G95" s="145" t="s">
        <v>5170</v>
      </c>
      <c r="H95" s="145" t="s">
        <v>5171</v>
      </c>
      <c r="I95" s="145" t="s">
        <v>4749</v>
      </c>
    </row>
    <row r="96" customFormat="false" ht="84" hidden="false" customHeight="true" outlineLevel="0" collapsed="false">
      <c r="A96" s="145" t="s">
        <v>4493</v>
      </c>
      <c r="B96" s="145" t="s">
        <v>4782</v>
      </c>
      <c r="C96" s="145" t="s">
        <v>4743</v>
      </c>
      <c r="D96" s="145" t="s">
        <v>5172</v>
      </c>
      <c r="E96" s="145" t="s">
        <v>5173</v>
      </c>
      <c r="F96" s="145" t="s">
        <v>5174</v>
      </c>
      <c r="G96" s="145" t="s">
        <v>5175</v>
      </c>
      <c r="H96" s="145" t="s">
        <v>5176</v>
      </c>
      <c r="I96" s="145" t="s">
        <v>4749</v>
      </c>
    </row>
    <row r="97" customFormat="false" ht="112" hidden="false" customHeight="true" outlineLevel="0" collapsed="false">
      <c r="A97" s="145" t="s">
        <v>4493</v>
      </c>
      <c r="B97" s="145" t="s">
        <v>4793</v>
      </c>
      <c r="C97" s="145" t="s">
        <v>4743</v>
      </c>
      <c r="D97" s="145" t="s">
        <v>4744</v>
      </c>
      <c r="E97" s="145" t="s">
        <v>5177</v>
      </c>
      <c r="F97" s="145" t="s">
        <v>5178</v>
      </c>
      <c r="G97" s="145" t="s">
        <v>5179</v>
      </c>
      <c r="H97" s="145" t="s">
        <v>5180</v>
      </c>
      <c r="I97" s="145" t="s">
        <v>4749</v>
      </c>
    </row>
    <row r="98" customFormat="false" ht="76" hidden="false" customHeight="true" outlineLevel="0" collapsed="false">
      <c r="A98" s="145" t="s">
        <v>4493</v>
      </c>
      <c r="B98" s="145" t="s">
        <v>4798</v>
      </c>
      <c r="C98" s="145" t="s">
        <v>4743</v>
      </c>
      <c r="D98" s="145" t="s">
        <v>5157</v>
      </c>
      <c r="E98" s="145" t="s">
        <v>5181</v>
      </c>
      <c r="F98" s="145" t="s">
        <v>5182</v>
      </c>
      <c r="G98" s="145" t="s">
        <v>5183</v>
      </c>
      <c r="H98" s="145" t="s">
        <v>5184</v>
      </c>
      <c r="I98" s="145" t="s">
        <v>4749</v>
      </c>
    </row>
    <row r="99" customFormat="false" ht="76" hidden="false" customHeight="true" outlineLevel="0" collapsed="false">
      <c r="A99" s="145" t="s">
        <v>4493</v>
      </c>
      <c r="B99" s="145" t="s">
        <v>4798</v>
      </c>
      <c r="C99" s="145" t="s">
        <v>4743</v>
      </c>
      <c r="D99" s="145" t="s">
        <v>5185</v>
      </c>
      <c r="E99" s="145" t="s">
        <v>5186</v>
      </c>
      <c r="F99" s="145" t="s">
        <v>5187</v>
      </c>
      <c r="G99" s="145" t="s">
        <v>5188</v>
      </c>
      <c r="H99" s="145" t="s">
        <v>5189</v>
      </c>
      <c r="I99" s="145" t="s">
        <v>4749</v>
      </c>
    </row>
    <row r="100" customFormat="false" ht="76" hidden="false" customHeight="true" outlineLevel="0" collapsed="false">
      <c r="A100" s="145" t="s">
        <v>4493</v>
      </c>
      <c r="B100" s="145" t="s">
        <v>4798</v>
      </c>
      <c r="C100" s="145" t="s">
        <v>4743</v>
      </c>
      <c r="D100" s="145" t="s">
        <v>5190</v>
      </c>
      <c r="E100" s="145" t="s">
        <v>5191</v>
      </c>
      <c r="F100" s="145" t="s">
        <v>5192</v>
      </c>
      <c r="G100" s="145" t="s">
        <v>5193</v>
      </c>
      <c r="H100" s="145" t="s">
        <v>5194</v>
      </c>
      <c r="I100" s="145" t="s">
        <v>4749</v>
      </c>
    </row>
    <row r="101" customFormat="false" ht="76" hidden="false" customHeight="true" outlineLevel="0" collapsed="false">
      <c r="A101" s="145" t="s">
        <v>4493</v>
      </c>
      <c r="B101" s="145" t="s">
        <v>4798</v>
      </c>
      <c r="C101" s="145" t="s">
        <v>4743</v>
      </c>
      <c r="D101" s="145" t="s">
        <v>5195</v>
      </c>
      <c r="E101" s="145" t="s">
        <v>5196</v>
      </c>
      <c r="F101" s="145" t="s">
        <v>5197</v>
      </c>
      <c r="G101" s="145" t="s">
        <v>5198</v>
      </c>
      <c r="H101" s="145" t="s">
        <v>5199</v>
      </c>
      <c r="I101" s="145" t="s">
        <v>4749</v>
      </c>
    </row>
    <row r="102" customFormat="false" ht="76" hidden="false" customHeight="true" outlineLevel="0" collapsed="false">
      <c r="A102" s="145" t="s">
        <v>4493</v>
      </c>
      <c r="B102" s="145" t="s">
        <v>4798</v>
      </c>
      <c r="C102" s="145" t="s">
        <v>4743</v>
      </c>
      <c r="D102" s="145" t="s">
        <v>5200</v>
      </c>
      <c r="E102" s="145" t="s">
        <v>5201</v>
      </c>
      <c r="F102" s="145" t="s">
        <v>5202</v>
      </c>
      <c r="G102" s="145" t="s">
        <v>5203</v>
      </c>
      <c r="H102" s="145" t="s">
        <v>5204</v>
      </c>
      <c r="I102" s="145" t="s">
        <v>4749</v>
      </c>
    </row>
    <row r="103" customFormat="false" ht="76" hidden="false" customHeight="true" outlineLevel="0" collapsed="false">
      <c r="A103" s="145" t="s">
        <v>4493</v>
      </c>
      <c r="B103" s="145" t="s">
        <v>4798</v>
      </c>
      <c r="C103" s="145" t="s">
        <v>4743</v>
      </c>
      <c r="D103" s="145" t="s">
        <v>5205</v>
      </c>
      <c r="E103" s="145" t="s">
        <v>5206</v>
      </c>
      <c r="F103" s="145" t="s">
        <v>5207</v>
      </c>
      <c r="G103" s="145" t="s">
        <v>5208</v>
      </c>
      <c r="H103" s="145" t="s">
        <v>5209</v>
      </c>
      <c r="I103" s="145" t="s">
        <v>4749</v>
      </c>
    </row>
    <row r="104" customFormat="false" ht="76" hidden="false" customHeight="true" outlineLevel="0" collapsed="false">
      <c r="A104" s="145" t="s">
        <v>4493</v>
      </c>
      <c r="B104" s="145" t="s">
        <v>4798</v>
      </c>
      <c r="C104" s="145" t="s">
        <v>4743</v>
      </c>
      <c r="D104" s="145" t="s">
        <v>5210</v>
      </c>
      <c r="E104" s="145" t="s">
        <v>5211</v>
      </c>
      <c r="F104" s="145" t="s">
        <v>5212</v>
      </c>
      <c r="G104" s="145" t="s">
        <v>5213</v>
      </c>
      <c r="H104" s="145" t="s">
        <v>5214</v>
      </c>
      <c r="I104" s="145" t="s">
        <v>4749</v>
      </c>
    </row>
    <row r="105" customFormat="false" ht="76" hidden="false" customHeight="true" outlineLevel="0" collapsed="false">
      <c r="A105" s="145" t="s">
        <v>4493</v>
      </c>
      <c r="B105" s="145" t="s">
        <v>4798</v>
      </c>
      <c r="C105" s="145" t="s">
        <v>4743</v>
      </c>
      <c r="D105" s="145" t="s">
        <v>5215</v>
      </c>
      <c r="E105" s="145" t="s">
        <v>5216</v>
      </c>
      <c r="F105" s="145" t="s">
        <v>5217</v>
      </c>
      <c r="G105" s="145" t="s">
        <v>5218</v>
      </c>
      <c r="H105" s="145" t="s">
        <v>5219</v>
      </c>
      <c r="I105" s="145" t="s">
        <v>4749</v>
      </c>
    </row>
    <row r="106" customFormat="false" ht="76" hidden="false" customHeight="true" outlineLevel="0" collapsed="false">
      <c r="A106" s="145" t="s">
        <v>4493</v>
      </c>
      <c r="B106" s="145" t="s">
        <v>4798</v>
      </c>
      <c r="C106" s="145" t="s">
        <v>4743</v>
      </c>
      <c r="D106" s="145" t="s">
        <v>5220</v>
      </c>
      <c r="E106" s="145" t="s">
        <v>5221</v>
      </c>
      <c r="F106" s="145" t="s">
        <v>5222</v>
      </c>
      <c r="G106" s="145" t="s">
        <v>5223</v>
      </c>
      <c r="H106" s="145" t="s">
        <v>5224</v>
      </c>
      <c r="I106" s="145" t="s">
        <v>4749</v>
      </c>
    </row>
    <row r="107" customFormat="false" ht="76" hidden="false" customHeight="true" outlineLevel="0" collapsed="false">
      <c r="A107" s="145" t="s">
        <v>4493</v>
      </c>
      <c r="B107" s="145" t="s">
        <v>4798</v>
      </c>
      <c r="C107" s="145" t="s">
        <v>4743</v>
      </c>
      <c r="D107" s="145" t="s">
        <v>5225</v>
      </c>
      <c r="E107" s="145" t="s">
        <v>5226</v>
      </c>
      <c r="F107" s="145" t="s">
        <v>5227</v>
      </c>
      <c r="G107" s="145" t="s">
        <v>5228</v>
      </c>
      <c r="H107" s="145" t="s">
        <v>5229</v>
      </c>
      <c r="I107" s="145" t="s">
        <v>4749</v>
      </c>
    </row>
    <row r="108" customFormat="false" ht="76" hidden="false" customHeight="true" outlineLevel="0" collapsed="false">
      <c r="A108" s="145" t="s">
        <v>4493</v>
      </c>
      <c r="B108" s="145" t="s">
        <v>4798</v>
      </c>
      <c r="C108" s="145" t="s">
        <v>4743</v>
      </c>
      <c r="D108" s="145" t="s">
        <v>5230</v>
      </c>
      <c r="E108" s="145" t="s">
        <v>5231</v>
      </c>
      <c r="F108" s="145" t="s">
        <v>5232</v>
      </c>
      <c r="G108" s="145" t="s">
        <v>5233</v>
      </c>
      <c r="H108" s="145" t="s">
        <v>5234</v>
      </c>
      <c r="I108" s="145" t="s">
        <v>4749</v>
      </c>
    </row>
    <row r="109" customFormat="false" ht="76" hidden="false" customHeight="true" outlineLevel="0" collapsed="false">
      <c r="A109" s="145" t="s">
        <v>4493</v>
      </c>
      <c r="B109" s="145" t="s">
        <v>4920</v>
      </c>
      <c r="C109" s="145" t="s">
        <v>4743</v>
      </c>
      <c r="D109" s="145" t="s">
        <v>5167</v>
      </c>
      <c r="E109" s="145" t="s">
        <v>5235</v>
      </c>
      <c r="F109" s="145" t="s">
        <v>5236</v>
      </c>
      <c r="G109" s="145" t="s">
        <v>5237</v>
      </c>
      <c r="H109" s="145" t="s">
        <v>5238</v>
      </c>
      <c r="I109" s="145" t="s">
        <v>4749</v>
      </c>
    </row>
    <row r="110" customFormat="false" ht="76" hidden="false" customHeight="true" outlineLevel="0" collapsed="false">
      <c r="A110" s="145" t="s">
        <v>4493</v>
      </c>
      <c r="B110" s="145" t="s">
        <v>4920</v>
      </c>
      <c r="C110" s="145" t="s">
        <v>4743</v>
      </c>
      <c r="D110" s="145" t="s">
        <v>5239</v>
      </c>
      <c r="E110" s="145" t="s">
        <v>5240</v>
      </c>
      <c r="F110" s="145" t="s">
        <v>5241</v>
      </c>
      <c r="G110" s="145" t="s">
        <v>5242</v>
      </c>
      <c r="H110" s="145" t="s">
        <v>5243</v>
      </c>
      <c r="I110" s="145" t="s">
        <v>4749</v>
      </c>
    </row>
    <row r="111" customFormat="false" ht="76" hidden="false" customHeight="true" outlineLevel="0" collapsed="false">
      <c r="A111" s="145" t="s">
        <v>4493</v>
      </c>
      <c r="B111" s="145" t="s">
        <v>4920</v>
      </c>
      <c r="C111" s="145" t="s">
        <v>4743</v>
      </c>
      <c r="D111" s="145" t="s">
        <v>5172</v>
      </c>
      <c r="E111" s="145" t="s">
        <v>5244</v>
      </c>
      <c r="F111" s="145" t="s">
        <v>5245</v>
      </c>
      <c r="G111" s="145" t="s">
        <v>5246</v>
      </c>
      <c r="H111" s="145" t="s">
        <v>5247</v>
      </c>
      <c r="I111" s="145" t="s">
        <v>4749</v>
      </c>
    </row>
    <row r="112" customFormat="false" ht="76" hidden="false" customHeight="true" outlineLevel="0" collapsed="false">
      <c r="A112" s="145" t="s">
        <v>4493</v>
      </c>
      <c r="B112" s="145" t="s">
        <v>4842</v>
      </c>
      <c r="C112" s="145" t="s">
        <v>4743</v>
      </c>
      <c r="D112" s="145" t="s">
        <v>4744</v>
      </c>
      <c r="E112" s="145" t="s">
        <v>5248</v>
      </c>
      <c r="F112" s="145" t="s">
        <v>5249</v>
      </c>
      <c r="G112" s="145" t="s">
        <v>5250</v>
      </c>
      <c r="H112" s="145" t="s">
        <v>5251</v>
      </c>
      <c r="I112" s="145" t="s">
        <v>4749</v>
      </c>
    </row>
    <row r="113" customFormat="false" ht="76" hidden="false" customHeight="true" outlineLevel="0" collapsed="false">
      <c r="A113" s="145" t="s">
        <v>4493</v>
      </c>
      <c r="B113" s="145" t="s">
        <v>4842</v>
      </c>
      <c r="C113" s="145" t="s">
        <v>4743</v>
      </c>
      <c r="D113" s="145" t="s">
        <v>4744</v>
      </c>
      <c r="E113" s="145" t="s">
        <v>5252</v>
      </c>
      <c r="F113" s="145" t="s">
        <v>5253</v>
      </c>
      <c r="G113" s="145" t="s">
        <v>5254</v>
      </c>
      <c r="H113" s="145" t="s">
        <v>5255</v>
      </c>
      <c r="I113" s="145" t="s">
        <v>4749</v>
      </c>
    </row>
    <row r="114" customFormat="false" ht="76" hidden="false" customHeight="true" outlineLevel="0" collapsed="false">
      <c r="A114" s="145" t="s">
        <v>4493</v>
      </c>
      <c r="B114" s="145" t="s">
        <v>4842</v>
      </c>
      <c r="C114" s="145" t="s">
        <v>4743</v>
      </c>
      <c r="D114" s="145" t="s">
        <v>4744</v>
      </c>
      <c r="E114" s="145" t="s">
        <v>5256</v>
      </c>
      <c r="F114" s="145" t="s">
        <v>5257</v>
      </c>
      <c r="G114" s="145" t="s">
        <v>5258</v>
      </c>
      <c r="H114" s="145" t="s">
        <v>5259</v>
      </c>
      <c r="I114" s="145" t="s">
        <v>4749</v>
      </c>
    </row>
    <row r="115" customFormat="false" ht="76" hidden="false" customHeight="true" outlineLevel="0" collapsed="false">
      <c r="A115" s="145" t="s">
        <v>4493</v>
      </c>
      <c r="B115" s="145" t="s">
        <v>4842</v>
      </c>
      <c r="C115" s="145" t="s">
        <v>4743</v>
      </c>
      <c r="D115" s="145" t="s">
        <v>4744</v>
      </c>
      <c r="E115" s="145" t="s">
        <v>5260</v>
      </c>
      <c r="F115" s="145" t="s">
        <v>5261</v>
      </c>
      <c r="G115" s="145" t="s">
        <v>5262</v>
      </c>
      <c r="H115" s="145" t="s">
        <v>5263</v>
      </c>
      <c r="I115" s="145" t="s">
        <v>4749</v>
      </c>
    </row>
    <row r="116" customFormat="false" ht="98" hidden="false" customHeight="true" outlineLevel="0" collapsed="false">
      <c r="A116" s="145" t="s">
        <v>4493</v>
      </c>
      <c r="B116" s="145" t="s">
        <v>4859</v>
      </c>
      <c r="C116" s="145" t="s">
        <v>4498</v>
      </c>
      <c r="D116" s="145" t="s">
        <v>5264</v>
      </c>
      <c r="E116" s="145" t="s">
        <v>5265</v>
      </c>
      <c r="F116" s="145" t="s">
        <v>5266</v>
      </c>
      <c r="G116" s="145" t="s">
        <v>5267</v>
      </c>
      <c r="H116" s="145" t="s">
        <v>5268</v>
      </c>
      <c r="I116" s="145" t="s">
        <v>4749</v>
      </c>
    </row>
    <row r="117" customFormat="false" ht="76" hidden="false" customHeight="true" outlineLevel="0" collapsed="false">
      <c r="A117" s="145" t="s">
        <v>4493</v>
      </c>
      <c r="B117" s="145" t="s">
        <v>4878</v>
      </c>
      <c r="C117" s="145" t="s">
        <v>4743</v>
      </c>
      <c r="D117" s="145" t="s">
        <v>4744</v>
      </c>
      <c r="E117" s="145" t="s">
        <v>5269</v>
      </c>
      <c r="F117" s="145" t="s">
        <v>5270</v>
      </c>
      <c r="G117" s="145" t="s">
        <v>5271</v>
      </c>
      <c r="H117" s="145" t="s">
        <v>5272</v>
      </c>
      <c r="I117" s="145" t="s">
        <v>4749</v>
      </c>
    </row>
    <row r="118" customFormat="false" ht="98" hidden="false" customHeight="true" outlineLevel="0" collapsed="false">
      <c r="A118" s="145" t="s">
        <v>4509</v>
      </c>
      <c r="B118" s="145" t="s">
        <v>4883</v>
      </c>
      <c r="C118" s="145" t="s">
        <v>5273</v>
      </c>
      <c r="D118" s="145" t="s">
        <v>5274</v>
      </c>
      <c r="E118" s="145" t="s">
        <v>5275</v>
      </c>
      <c r="F118" s="145" t="s">
        <v>5276</v>
      </c>
      <c r="G118" s="145" t="s">
        <v>5277</v>
      </c>
      <c r="H118" s="145" t="s">
        <v>5278</v>
      </c>
      <c r="I118" s="145" t="s">
        <v>4749</v>
      </c>
    </row>
    <row r="119" customFormat="false" ht="76" hidden="false" customHeight="true" outlineLevel="0" collapsed="false">
      <c r="A119" s="145" t="s">
        <v>4509</v>
      </c>
      <c r="B119" s="145" t="s">
        <v>4883</v>
      </c>
      <c r="C119" s="145" t="s">
        <v>5279</v>
      </c>
      <c r="D119" s="145" t="s">
        <v>5280</v>
      </c>
      <c r="E119" s="145" t="s">
        <v>5281</v>
      </c>
      <c r="F119" s="145" t="s">
        <v>5282</v>
      </c>
      <c r="G119" s="145" t="s">
        <v>5283</v>
      </c>
      <c r="H119" s="145" t="s">
        <v>5284</v>
      </c>
      <c r="I119" s="145" t="s">
        <v>4749</v>
      </c>
    </row>
    <row r="120" customFormat="false" ht="84" hidden="false" customHeight="true" outlineLevel="0" collapsed="false">
      <c r="A120" s="145" t="s">
        <v>4509</v>
      </c>
      <c r="B120" s="145" t="s">
        <v>4883</v>
      </c>
      <c r="C120" s="145" t="s">
        <v>5285</v>
      </c>
      <c r="D120" s="145" t="s">
        <v>5286</v>
      </c>
      <c r="E120" s="145" t="s">
        <v>5287</v>
      </c>
      <c r="F120" s="145" t="s">
        <v>5288</v>
      </c>
      <c r="G120" s="145" t="s">
        <v>5289</v>
      </c>
      <c r="H120" s="145" t="s">
        <v>5290</v>
      </c>
      <c r="I120" s="145" t="s">
        <v>4749</v>
      </c>
    </row>
    <row r="121" customFormat="false" ht="76" hidden="false" customHeight="true" outlineLevel="0" collapsed="false">
      <c r="A121" s="145" t="s">
        <v>4509</v>
      </c>
      <c r="B121" s="145" t="s">
        <v>4895</v>
      </c>
      <c r="C121" s="145" t="s">
        <v>4743</v>
      </c>
      <c r="D121" s="145" t="s">
        <v>5291</v>
      </c>
      <c r="E121" s="145" t="s">
        <v>5292</v>
      </c>
      <c r="F121" s="145" t="s">
        <v>5293</v>
      </c>
      <c r="G121" s="145" t="s">
        <v>5294</v>
      </c>
      <c r="H121" s="145" t="s">
        <v>5295</v>
      </c>
      <c r="I121" s="145" t="s">
        <v>4749</v>
      </c>
    </row>
    <row r="122" customFormat="false" ht="76" hidden="false" customHeight="true" outlineLevel="0" collapsed="false">
      <c r="A122" s="145" t="s">
        <v>4509</v>
      </c>
      <c r="B122" s="145" t="s">
        <v>4895</v>
      </c>
      <c r="C122" s="145" t="s">
        <v>4743</v>
      </c>
      <c r="D122" s="145" t="s">
        <v>5296</v>
      </c>
      <c r="E122" s="145" t="s">
        <v>5297</v>
      </c>
      <c r="F122" s="145" t="s">
        <v>5298</v>
      </c>
      <c r="G122" s="145" t="s">
        <v>5299</v>
      </c>
      <c r="H122" s="145" t="s">
        <v>5300</v>
      </c>
      <c r="I122" s="145" t="s">
        <v>4749</v>
      </c>
    </row>
    <row r="123" customFormat="false" ht="76" hidden="false" customHeight="true" outlineLevel="0" collapsed="false">
      <c r="A123" s="145" t="s">
        <v>4509</v>
      </c>
      <c r="B123" s="145" t="s">
        <v>4895</v>
      </c>
      <c r="C123" s="145" t="s">
        <v>4743</v>
      </c>
      <c r="D123" s="145" t="s">
        <v>5301</v>
      </c>
      <c r="E123" s="145" t="s">
        <v>5302</v>
      </c>
      <c r="F123" s="145" t="s">
        <v>5303</v>
      </c>
      <c r="G123" s="145" t="s">
        <v>5304</v>
      </c>
      <c r="H123" s="145" t="s">
        <v>5305</v>
      </c>
      <c r="I123" s="145" t="s">
        <v>4749</v>
      </c>
    </row>
    <row r="124" customFormat="false" ht="76" hidden="false" customHeight="true" outlineLevel="0" collapsed="false">
      <c r="A124" s="145" t="s">
        <v>4509</v>
      </c>
      <c r="B124" s="145" t="s">
        <v>4895</v>
      </c>
      <c r="C124" s="145" t="s">
        <v>4743</v>
      </c>
      <c r="D124" s="145" t="s">
        <v>5306</v>
      </c>
      <c r="E124" s="145" t="s">
        <v>5307</v>
      </c>
      <c r="F124" s="145" t="s">
        <v>5308</v>
      </c>
      <c r="G124" s="145" t="s">
        <v>5309</v>
      </c>
      <c r="H124" s="145" t="s">
        <v>5310</v>
      </c>
      <c r="I124" s="145" t="s">
        <v>4749</v>
      </c>
    </row>
    <row r="125" customFormat="false" ht="76" hidden="false" customHeight="true" outlineLevel="0" collapsed="false">
      <c r="A125" s="145" t="s">
        <v>4509</v>
      </c>
      <c r="B125" s="145" t="s">
        <v>4895</v>
      </c>
      <c r="C125" s="145" t="s">
        <v>4743</v>
      </c>
      <c r="D125" s="145" t="s">
        <v>5286</v>
      </c>
      <c r="E125" s="145" t="s">
        <v>5311</v>
      </c>
      <c r="F125" s="145" t="s">
        <v>5312</v>
      </c>
      <c r="G125" s="145" t="s">
        <v>5313</v>
      </c>
      <c r="H125" s="145" t="s">
        <v>5314</v>
      </c>
      <c r="I125" s="145" t="s">
        <v>4749</v>
      </c>
    </row>
    <row r="126" customFormat="false" ht="76" hidden="false" customHeight="true" outlineLevel="0" collapsed="false">
      <c r="A126" s="145" t="s">
        <v>4509</v>
      </c>
      <c r="B126" s="145" t="s">
        <v>4895</v>
      </c>
      <c r="C126" s="145" t="s">
        <v>4743</v>
      </c>
      <c r="D126" s="145" t="s">
        <v>5315</v>
      </c>
      <c r="E126" s="145" t="s">
        <v>5316</v>
      </c>
      <c r="F126" s="145" t="s">
        <v>5317</v>
      </c>
      <c r="G126" s="145" t="s">
        <v>5318</v>
      </c>
      <c r="H126" s="145" t="s">
        <v>5319</v>
      </c>
      <c r="I126" s="145" t="s">
        <v>4749</v>
      </c>
    </row>
    <row r="127" customFormat="false" ht="76" hidden="false" customHeight="true" outlineLevel="0" collapsed="false">
      <c r="A127" s="145" t="s">
        <v>4509</v>
      </c>
      <c r="B127" s="145" t="s">
        <v>4895</v>
      </c>
      <c r="C127" s="145" t="s">
        <v>4743</v>
      </c>
      <c r="D127" s="145" t="s">
        <v>5320</v>
      </c>
      <c r="E127" s="145" t="s">
        <v>5321</v>
      </c>
      <c r="F127" s="145" t="s">
        <v>5322</v>
      </c>
      <c r="G127" s="145" t="s">
        <v>5323</v>
      </c>
      <c r="H127" s="145" t="s">
        <v>5324</v>
      </c>
      <c r="I127" s="145" t="s">
        <v>4749</v>
      </c>
    </row>
    <row r="128" customFormat="false" ht="76" hidden="false" customHeight="true" outlineLevel="0" collapsed="false">
      <c r="A128" s="145" t="s">
        <v>4509</v>
      </c>
      <c r="B128" s="145" t="s">
        <v>4920</v>
      </c>
      <c r="C128" s="145" t="s">
        <v>4743</v>
      </c>
      <c r="D128" s="145" t="s">
        <v>5325</v>
      </c>
      <c r="E128" s="145" t="s">
        <v>5326</v>
      </c>
      <c r="F128" s="145" t="s">
        <v>5327</v>
      </c>
      <c r="G128" s="145" t="s">
        <v>5328</v>
      </c>
      <c r="H128" s="145" t="s">
        <v>5329</v>
      </c>
      <c r="I128" s="145" t="s">
        <v>4749</v>
      </c>
    </row>
    <row r="129" customFormat="false" ht="76" hidden="false" customHeight="true" outlineLevel="0" collapsed="false">
      <c r="A129" s="145" t="s">
        <v>4509</v>
      </c>
      <c r="B129" s="145" t="s">
        <v>4920</v>
      </c>
      <c r="C129" s="145" t="s">
        <v>4743</v>
      </c>
      <c r="D129" s="145" t="s">
        <v>5286</v>
      </c>
      <c r="E129" s="145" t="s">
        <v>5330</v>
      </c>
      <c r="F129" s="145" t="s">
        <v>5331</v>
      </c>
      <c r="G129" s="145" t="s">
        <v>5332</v>
      </c>
      <c r="H129" s="145" t="s">
        <v>5333</v>
      </c>
      <c r="I129" s="145" t="s">
        <v>4749</v>
      </c>
    </row>
    <row r="130" customFormat="false" ht="76" hidden="false" customHeight="true" outlineLevel="0" collapsed="false">
      <c r="A130" s="145" t="s">
        <v>4509</v>
      </c>
      <c r="B130" s="145" t="s">
        <v>4933</v>
      </c>
      <c r="C130" s="145" t="s">
        <v>4743</v>
      </c>
      <c r="D130" s="145" t="s">
        <v>4744</v>
      </c>
      <c r="E130" s="145" t="s">
        <v>5334</v>
      </c>
      <c r="F130" s="145" t="s">
        <v>5335</v>
      </c>
      <c r="G130" s="145" t="s">
        <v>5336</v>
      </c>
      <c r="H130" s="145" t="s">
        <v>5337</v>
      </c>
      <c r="I130" s="145" t="s">
        <v>4749</v>
      </c>
    </row>
    <row r="131" customFormat="false" ht="76" hidden="false" customHeight="true" outlineLevel="0" collapsed="false">
      <c r="A131" s="145" t="s">
        <v>4509</v>
      </c>
      <c r="B131" s="145" t="s">
        <v>4933</v>
      </c>
      <c r="C131" s="145" t="s">
        <v>4743</v>
      </c>
      <c r="D131" s="145" t="s">
        <v>4744</v>
      </c>
      <c r="E131" s="145" t="s">
        <v>5338</v>
      </c>
      <c r="F131" s="145" t="s">
        <v>5339</v>
      </c>
      <c r="G131" s="145" t="s">
        <v>5340</v>
      </c>
      <c r="H131" s="145" t="s">
        <v>5341</v>
      </c>
      <c r="I131" s="145" t="s">
        <v>4749</v>
      </c>
    </row>
    <row r="132" customFormat="false" ht="76" hidden="false" customHeight="true" outlineLevel="0" collapsed="false">
      <c r="A132" s="145" t="s">
        <v>4509</v>
      </c>
      <c r="B132" s="145" t="s">
        <v>4933</v>
      </c>
      <c r="C132" s="145" t="s">
        <v>4743</v>
      </c>
      <c r="D132" s="145" t="s">
        <v>4744</v>
      </c>
      <c r="E132" s="145" t="s">
        <v>5342</v>
      </c>
      <c r="F132" s="145" t="s">
        <v>5343</v>
      </c>
      <c r="G132" s="145" t="s">
        <v>5344</v>
      </c>
      <c r="H132" s="145" t="s">
        <v>5345</v>
      </c>
      <c r="I132" s="145" t="s">
        <v>4749</v>
      </c>
    </row>
    <row r="133" customFormat="false" ht="76" hidden="false" customHeight="true" outlineLevel="0" collapsed="false">
      <c r="A133" s="145" t="s">
        <v>4509</v>
      </c>
      <c r="B133" s="145" t="s">
        <v>4933</v>
      </c>
      <c r="C133" s="145" t="s">
        <v>4743</v>
      </c>
      <c r="D133" s="145" t="s">
        <v>4744</v>
      </c>
      <c r="E133" s="145" t="s">
        <v>5346</v>
      </c>
      <c r="F133" s="145" t="s">
        <v>5347</v>
      </c>
      <c r="G133" s="145" t="s">
        <v>5348</v>
      </c>
      <c r="H133" s="145" t="s">
        <v>5349</v>
      </c>
      <c r="I133" s="145" t="s">
        <v>4749</v>
      </c>
    </row>
    <row r="134" customFormat="false" ht="76" hidden="false" customHeight="true" outlineLevel="0" collapsed="false">
      <c r="A134" s="145" t="s">
        <v>4509</v>
      </c>
      <c r="B134" s="145" t="s">
        <v>4933</v>
      </c>
      <c r="C134" s="145" t="s">
        <v>4743</v>
      </c>
      <c r="D134" s="145" t="s">
        <v>4744</v>
      </c>
      <c r="E134" s="145" t="s">
        <v>5350</v>
      </c>
      <c r="F134" s="145" t="s">
        <v>5351</v>
      </c>
      <c r="G134" s="145" t="s">
        <v>5352</v>
      </c>
      <c r="H134" s="145" t="s">
        <v>5353</v>
      </c>
      <c r="I134" s="145" t="s">
        <v>4749</v>
      </c>
    </row>
    <row r="135" customFormat="false" ht="76" hidden="false" customHeight="true" outlineLevel="0" collapsed="false">
      <c r="A135" s="145" t="s">
        <v>4509</v>
      </c>
      <c r="B135" s="145" t="s">
        <v>4933</v>
      </c>
      <c r="C135" s="145" t="s">
        <v>4743</v>
      </c>
      <c r="D135" s="145" t="s">
        <v>4744</v>
      </c>
      <c r="E135" s="145" t="s">
        <v>5354</v>
      </c>
      <c r="F135" s="145" t="s">
        <v>5355</v>
      </c>
      <c r="G135" s="145" t="s">
        <v>5356</v>
      </c>
      <c r="H135" s="145" t="s">
        <v>5357</v>
      </c>
      <c r="I135" s="145" t="s">
        <v>4749</v>
      </c>
    </row>
    <row r="136" customFormat="false" ht="76" hidden="false" customHeight="true" outlineLevel="0" collapsed="false">
      <c r="A136" s="145" t="s">
        <v>4509</v>
      </c>
      <c r="B136" s="145" t="s">
        <v>4933</v>
      </c>
      <c r="C136" s="145" t="s">
        <v>4743</v>
      </c>
      <c r="D136" s="145" t="s">
        <v>4744</v>
      </c>
      <c r="E136" s="145" t="s">
        <v>5358</v>
      </c>
      <c r="F136" s="145" t="s">
        <v>5359</v>
      </c>
      <c r="G136" s="145" t="s">
        <v>5360</v>
      </c>
      <c r="H136" s="145" t="s">
        <v>5361</v>
      </c>
      <c r="I136" s="145" t="s">
        <v>4749</v>
      </c>
    </row>
    <row r="137" customFormat="false" ht="76" hidden="false" customHeight="true" outlineLevel="0" collapsed="false">
      <c r="A137" s="145" t="s">
        <v>4509</v>
      </c>
      <c r="B137" s="145" t="s">
        <v>4066</v>
      </c>
      <c r="C137" s="145" t="s">
        <v>4743</v>
      </c>
      <c r="D137" s="145" t="s">
        <v>4744</v>
      </c>
      <c r="E137" s="145" t="s">
        <v>4954</v>
      </c>
      <c r="F137" s="145" t="s">
        <v>5362</v>
      </c>
      <c r="G137" s="145" t="s">
        <v>5363</v>
      </c>
      <c r="H137" s="145" t="s">
        <v>4957</v>
      </c>
      <c r="I137" s="145" t="s">
        <v>4749</v>
      </c>
    </row>
    <row r="138" customFormat="false" ht="76" hidden="false" customHeight="true" outlineLevel="0" collapsed="false">
      <c r="A138" s="145" t="s">
        <v>4523</v>
      </c>
      <c r="B138" s="145" t="s">
        <v>4883</v>
      </c>
      <c r="C138" s="145" t="s">
        <v>5364</v>
      </c>
      <c r="D138" s="145" t="s">
        <v>5365</v>
      </c>
      <c r="E138" s="145" t="s">
        <v>5366</v>
      </c>
      <c r="F138" s="145" t="s">
        <v>5367</v>
      </c>
      <c r="G138" s="145" t="s">
        <v>5368</v>
      </c>
      <c r="H138" s="145" t="s">
        <v>5369</v>
      </c>
      <c r="I138" s="145" t="s">
        <v>4749</v>
      </c>
    </row>
    <row r="139" customFormat="false" ht="76" hidden="false" customHeight="true" outlineLevel="0" collapsed="false">
      <c r="A139" s="145" t="s">
        <v>4523</v>
      </c>
      <c r="B139" s="145" t="s">
        <v>4883</v>
      </c>
      <c r="C139" s="145" t="s">
        <v>5370</v>
      </c>
      <c r="D139" s="145" t="s">
        <v>4867</v>
      </c>
      <c r="E139" s="145" t="s">
        <v>5371</v>
      </c>
      <c r="F139" s="145" t="s">
        <v>5372</v>
      </c>
      <c r="G139" s="145" t="s">
        <v>5373</v>
      </c>
      <c r="H139" s="145" t="s">
        <v>5374</v>
      </c>
      <c r="I139" s="145" t="s">
        <v>4749</v>
      </c>
    </row>
    <row r="140" customFormat="false" ht="84" hidden="false" customHeight="true" outlineLevel="0" collapsed="false">
      <c r="A140" s="145" t="s">
        <v>4523</v>
      </c>
      <c r="B140" s="145" t="s">
        <v>4883</v>
      </c>
      <c r="C140" s="145" t="s">
        <v>5375</v>
      </c>
      <c r="D140" s="145" t="s">
        <v>5376</v>
      </c>
      <c r="E140" s="145" t="s">
        <v>5377</v>
      </c>
      <c r="F140" s="145" t="s">
        <v>5378</v>
      </c>
      <c r="G140" s="145" t="s">
        <v>5379</v>
      </c>
      <c r="H140" s="145" t="s">
        <v>5380</v>
      </c>
      <c r="I140" s="145" t="s">
        <v>4749</v>
      </c>
    </row>
    <row r="141" customFormat="false" ht="76" hidden="false" customHeight="true" outlineLevel="0" collapsed="false">
      <c r="A141" s="145" t="s">
        <v>4523</v>
      </c>
      <c r="B141" s="145" t="s">
        <v>4895</v>
      </c>
      <c r="C141" s="145" t="s">
        <v>4743</v>
      </c>
      <c r="D141" s="145" t="s">
        <v>5381</v>
      </c>
      <c r="E141" s="145" t="s">
        <v>5382</v>
      </c>
      <c r="F141" s="145" t="s">
        <v>5383</v>
      </c>
      <c r="G141" s="145" t="s">
        <v>5384</v>
      </c>
      <c r="H141" s="145" t="s">
        <v>5385</v>
      </c>
      <c r="I141" s="145" t="s">
        <v>4749</v>
      </c>
    </row>
    <row r="142" customFormat="false" ht="76" hidden="false" customHeight="true" outlineLevel="0" collapsed="false">
      <c r="A142" s="145" t="s">
        <v>4523</v>
      </c>
      <c r="B142" s="145" t="s">
        <v>4895</v>
      </c>
      <c r="C142" s="145" t="s">
        <v>4743</v>
      </c>
      <c r="D142" s="145" t="s">
        <v>5386</v>
      </c>
      <c r="E142" s="145" t="s">
        <v>5387</v>
      </c>
      <c r="F142" s="145" t="s">
        <v>5388</v>
      </c>
      <c r="G142" s="145" t="s">
        <v>5389</v>
      </c>
      <c r="H142" s="145" t="s">
        <v>5390</v>
      </c>
      <c r="I142" s="145" t="s">
        <v>4749</v>
      </c>
    </row>
    <row r="143" customFormat="false" ht="76" hidden="false" customHeight="true" outlineLevel="0" collapsed="false">
      <c r="A143" s="145" t="s">
        <v>4523</v>
      </c>
      <c r="B143" s="145" t="s">
        <v>4895</v>
      </c>
      <c r="C143" s="145" t="s">
        <v>4743</v>
      </c>
      <c r="D143" s="145" t="s">
        <v>5391</v>
      </c>
      <c r="E143" s="145" t="s">
        <v>5392</v>
      </c>
      <c r="F143" s="145" t="s">
        <v>5393</v>
      </c>
      <c r="G143" s="145" t="s">
        <v>5394</v>
      </c>
      <c r="H143" s="145" t="s">
        <v>5395</v>
      </c>
      <c r="I143" s="145" t="s">
        <v>4749</v>
      </c>
    </row>
    <row r="144" customFormat="false" ht="76" hidden="false" customHeight="true" outlineLevel="0" collapsed="false">
      <c r="A144" s="145" t="s">
        <v>4523</v>
      </c>
      <c r="B144" s="145" t="s">
        <v>4895</v>
      </c>
      <c r="C144" s="145" t="s">
        <v>4743</v>
      </c>
      <c r="D144" s="145" t="s">
        <v>5396</v>
      </c>
      <c r="E144" s="145" t="s">
        <v>5397</v>
      </c>
      <c r="F144" s="145" t="s">
        <v>5398</v>
      </c>
      <c r="G144" s="145" t="s">
        <v>5399</v>
      </c>
      <c r="H144" s="145" t="s">
        <v>5400</v>
      </c>
      <c r="I144" s="145" t="s">
        <v>4749</v>
      </c>
    </row>
    <row r="145" customFormat="false" ht="76" hidden="false" customHeight="true" outlineLevel="0" collapsed="false">
      <c r="A145" s="145" t="s">
        <v>4523</v>
      </c>
      <c r="B145" s="145" t="s">
        <v>4895</v>
      </c>
      <c r="C145" s="145" t="s">
        <v>4743</v>
      </c>
      <c r="D145" s="145" t="s">
        <v>4788</v>
      </c>
      <c r="E145" s="145" t="s">
        <v>5401</v>
      </c>
      <c r="F145" s="145" t="s">
        <v>5402</v>
      </c>
      <c r="G145" s="145" t="s">
        <v>5403</v>
      </c>
      <c r="H145" s="145" t="s">
        <v>5404</v>
      </c>
      <c r="I145" s="145" t="s">
        <v>4749</v>
      </c>
    </row>
    <row r="146" customFormat="false" ht="76" hidden="false" customHeight="true" outlineLevel="0" collapsed="false">
      <c r="A146" s="145" t="s">
        <v>4523</v>
      </c>
      <c r="B146" s="145" t="s">
        <v>4895</v>
      </c>
      <c r="C146" s="145" t="s">
        <v>4743</v>
      </c>
      <c r="D146" s="145" t="s">
        <v>5405</v>
      </c>
      <c r="E146" s="145" t="s">
        <v>5406</v>
      </c>
      <c r="F146" s="145" t="s">
        <v>5407</v>
      </c>
      <c r="G146" s="145" t="s">
        <v>5408</v>
      </c>
      <c r="H146" s="145" t="s">
        <v>5409</v>
      </c>
      <c r="I146" s="145" t="s">
        <v>4749</v>
      </c>
    </row>
    <row r="147" customFormat="false" ht="76" hidden="false" customHeight="true" outlineLevel="0" collapsed="false">
      <c r="A147" s="145" t="s">
        <v>4523</v>
      </c>
      <c r="B147" s="145" t="s">
        <v>4895</v>
      </c>
      <c r="C147" s="145" t="s">
        <v>4743</v>
      </c>
      <c r="D147" s="145" t="s">
        <v>5376</v>
      </c>
      <c r="E147" s="145" t="s">
        <v>5410</v>
      </c>
      <c r="F147" s="145" t="s">
        <v>5411</v>
      </c>
      <c r="G147" s="145" t="s">
        <v>5412</v>
      </c>
      <c r="H147" s="145" t="s">
        <v>5413</v>
      </c>
      <c r="I147" s="145" t="s">
        <v>4749</v>
      </c>
    </row>
    <row r="148" customFormat="false" ht="76" hidden="false" customHeight="true" outlineLevel="0" collapsed="false">
      <c r="A148" s="145" t="s">
        <v>4523</v>
      </c>
      <c r="B148" s="145" t="s">
        <v>4920</v>
      </c>
      <c r="C148" s="145" t="s">
        <v>4743</v>
      </c>
      <c r="D148" s="145" t="s">
        <v>4744</v>
      </c>
      <c r="E148" s="145" t="s">
        <v>5414</v>
      </c>
      <c r="F148" s="145" t="s">
        <v>5415</v>
      </c>
      <c r="G148" s="145" t="s">
        <v>5416</v>
      </c>
      <c r="H148" s="145" t="s">
        <v>5417</v>
      </c>
      <c r="I148" s="145" t="s">
        <v>4749</v>
      </c>
    </row>
    <row r="149" customFormat="false" ht="76" hidden="false" customHeight="true" outlineLevel="0" collapsed="false">
      <c r="A149" s="145" t="s">
        <v>4523</v>
      </c>
      <c r="B149" s="145" t="s">
        <v>4920</v>
      </c>
      <c r="C149" s="145" t="s">
        <v>4743</v>
      </c>
      <c r="D149" s="145" t="s">
        <v>4744</v>
      </c>
      <c r="E149" s="145" t="s">
        <v>5418</v>
      </c>
      <c r="F149" s="145" t="s">
        <v>5419</v>
      </c>
      <c r="G149" s="145" t="s">
        <v>5420</v>
      </c>
      <c r="H149" s="145" t="s">
        <v>5421</v>
      </c>
      <c r="I149" s="145" t="s">
        <v>4749</v>
      </c>
    </row>
    <row r="150" customFormat="false" ht="76" hidden="false" customHeight="true" outlineLevel="0" collapsed="false">
      <c r="A150" s="145" t="s">
        <v>4523</v>
      </c>
      <c r="B150" s="145" t="s">
        <v>4920</v>
      </c>
      <c r="C150" s="145" t="s">
        <v>4743</v>
      </c>
      <c r="D150" s="145" t="s">
        <v>4744</v>
      </c>
      <c r="E150" s="145" t="s">
        <v>5422</v>
      </c>
      <c r="F150" s="145" t="s">
        <v>5423</v>
      </c>
      <c r="G150" s="145" t="s">
        <v>5424</v>
      </c>
      <c r="H150" s="145" t="s">
        <v>5425</v>
      </c>
      <c r="I150" s="145" t="s">
        <v>4749</v>
      </c>
    </row>
    <row r="151" customFormat="false" ht="76" hidden="false" customHeight="true" outlineLevel="0" collapsed="false">
      <c r="A151" s="145" t="s">
        <v>4523</v>
      </c>
      <c r="B151" s="145" t="s">
        <v>4920</v>
      </c>
      <c r="C151" s="145" t="s">
        <v>4743</v>
      </c>
      <c r="D151" s="145" t="s">
        <v>4744</v>
      </c>
      <c r="E151" s="145" t="s">
        <v>5426</v>
      </c>
      <c r="F151" s="145" t="s">
        <v>5427</v>
      </c>
      <c r="G151" s="145" t="s">
        <v>5428</v>
      </c>
      <c r="H151" s="145" t="s">
        <v>5429</v>
      </c>
      <c r="I151" s="145" t="s">
        <v>4749</v>
      </c>
    </row>
    <row r="152" customFormat="false" ht="76" hidden="false" customHeight="true" outlineLevel="0" collapsed="false">
      <c r="A152" s="145" t="s">
        <v>4523</v>
      </c>
      <c r="B152" s="145" t="s">
        <v>4933</v>
      </c>
      <c r="C152" s="145" t="s">
        <v>4743</v>
      </c>
      <c r="D152" s="145" t="s">
        <v>4744</v>
      </c>
      <c r="E152" s="145" t="s">
        <v>5430</v>
      </c>
      <c r="F152" s="145" t="s">
        <v>5431</v>
      </c>
      <c r="G152" s="145" t="s">
        <v>5432</v>
      </c>
      <c r="H152" s="145" t="s">
        <v>5433</v>
      </c>
      <c r="I152" s="145" t="s">
        <v>4749</v>
      </c>
    </row>
    <row r="153" customFormat="false" ht="76" hidden="false" customHeight="true" outlineLevel="0" collapsed="false">
      <c r="A153" s="145" t="s">
        <v>4523</v>
      </c>
      <c r="B153" s="145" t="s">
        <v>4933</v>
      </c>
      <c r="C153" s="145" t="s">
        <v>4743</v>
      </c>
      <c r="D153" s="145" t="s">
        <v>4744</v>
      </c>
      <c r="E153" s="145" t="s">
        <v>5434</v>
      </c>
      <c r="F153" s="145" t="s">
        <v>5435</v>
      </c>
      <c r="G153" s="145" t="s">
        <v>5436</v>
      </c>
      <c r="H153" s="145" t="s">
        <v>5437</v>
      </c>
      <c r="I153" s="145" t="s">
        <v>4749</v>
      </c>
    </row>
    <row r="154" customFormat="false" ht="76" hidden="false" customHeight="true" outlineLevel="0" collapsed="false">
      <c r="A154" s="145" t="s">
        <v>4523</v>
      </c>
      <c r="B154" s="145" t="s">
        <v>4933</v>
      </c>
      <c r="C154" s="145" t="s">
        <v>4743</v>
      </c>
      <c r="D154" s="145" t="s">
        <v>4744</v>
      </c>
      <c r="E154" s="145" t="s">
        <v>5438</v>
      </c>
      <c r="F154" s="145" t="s">
        <v>5439</v>
      </c>
      <c r="G154" s="145" t="s">
        <v>5440</v>
      </c>
      <c r="H154" s="145" t="s">
        <v>5441</v>
      </c>
      <c r="I154" s="145" t="s">
        <v>4749</v>
      </c>
    </row>
    <row r="155" customFormat="false" ht="76" hidden="false" customHeight="true" outlineLevel="0" collapsed="false">
      <c r="A155" s="145" t="s">
        <v>4523</v>
      </c>
      <c r="B155" s="145" t="s">
        <v>4933</v>
      </c>
      <c r="C155" s="145" t="s">
        <v>4743</v>
      </c>
      <c r="D155" s="145" t="s">
        <v>4744</v>
      </c>
      <c r="E155" s="145" t="s">
        <v>5442</v>
      </c>
      <c r="F155" s="145" t="s">
        <v>5443</v>
      </c>
      <c r="G155" s="145" t="s">
        <v>5444</v>
      </c>
      <c r="H155" s="145" t="s">
        <v>5445</v>
      </c>
      <c r="I155" s="145" t="s">
        <v>4749</v>
      </c>
    </row>
    <row r="156" customFormat="false" ht="76" hidden="false" customHeight="true" outlineLevel="0" collapsed="false">
      <c r="A156" s="145" t="s">
        <v>4523</v>
      </c>
      <c r="B156" s="145" t="s">
        <v>4933</v>
      </c>
      <c r="C156" s="145" t="s">
        <v>4743</v>
      </c>
      <c r="D156" s="145" t="s">
        <v>4744</v>
      </c>
      <c r="E156" s="145" t="s">
        <v>5446</v>
      </c>
      <c r="F156" s="145" t="s">
        <v>5447</v>
      </c>
      <c r="G156" s="145" t="s">
        <v>5448</v>
      </c>
      <c r="H156" s="145" t="s">
        <v>5449</v>
      </c>
      <c r="I156" s="145" t="s">
        <v>4749</v>
      </c>
    </row>
    <row r="157" customFormat="false" ht="76" hidden="false" customHeight="true" outlineLevel="0" collapsed="false">
      <c r="A157" s="145" t="s">
        <v>4523</v>
      </c>
      <c r="B157" s="145" t="s">
        <v>4933</v>
      </c>
      <c r="C157" s="145" t="s">
        <v>4743</v>
      </c>
      <c r="D157" s="145" t="s">
        <v>4744</v>
      </c>
      <c r="E157" s="145" t="s">
        <v>5450</v>
      </c>
      <c r="F157" s="145" t="s">
        <v>5451</v>
      </c>
      <c r="G157" s="145" t="s">
        <v>5452</v>
      </c>
      <c r="H157" s="145" t="s">
        <v>5453</v>
      </c>
      <c r="I157" s="145" t="s">
        <v>4749</v>
      </c>
    </row>
    <row r="158" customFormat="false" ht="76" hidden="false" customHeight="true" outlineLevel="0" collapsed="false">
      <c r="A158" s="145" t="s">
        <v>4523</v>
      </c>
      <c r="B158" s="145" t="s">
        <v>4933</v>
      </c>
      <c r="C158" s="145" t="s">
        <v>4743</v>
      </c>
      <c r="D158" s="145" t="s">
        <v>4744</v>
      </c>
      <c r="E158" s="145" t="s">
        <v>5454</v>
      </c>
      <c r="F158" s="145" t="s">
        <v>5455</v>
      </c>
      <c r="G158" s="145" t="s">
        <v>5456</v>
      </c>
      <c r="H158" s="145" t="s">
        <v>5457</v>
      </c>
      <c r="I158" s="145" t="s">
        <v>4749</v>
      </c>
    </row>
    <row r="159" customFormat="false" ht="76" hidden="false" customHeight="true" outlineLevel="0" collapsed="false">
      <c r="A159" s="145" t="s">
        <v>4523</v>
      </c>
      <c r="B159" s="145" t="s">
        <v>4066</v>
      </c>
      <c r="C159" s="145" t="s">
        <v>4743</v>
      </c>
      <c r="D159" s="145" t="s">
        <v>4744</v>
      </c>
      <c r="E159" s="145" t="s">
        <v>4954</v>
      </c>
      <c r="F159" s="145" t="s">
        <v>5458</v>
      </c>
      <c r="G159" s="145" t="s">
        <v>5459</v>
      </c>
      <c r="H159" s="145" t="s">
        <v>4957</v>
      </c>
      <c r="I159" s="145" t="s">
        <v>4749</v>
      </c>
    </row>
    <row r="160" customFormat="false" ht="84" hidden="false" customHeight="true" outlineLevel="0" collapsed="false">
      <c r="A160" s="145" t="s">
        <v>4537</v>
      </c>
      <c r="B160" s="145" t="s">
        <v>4883</v>
      </c>
      <c r="C160" s="145" t="s">
        <v>5460</v>
      </c>
      <c r="D160" s="145" t="s">
        <v>5461</v>
      </c>
      <c r="E160" s="145" t="s">
        <v>5462</v>
      </c>
      <c r="F160" s="145" t="s">
        <v>5463</v>
      </c>
      <c r="G160" s="145" t="s">
        <v>5464</v>
      </c>
      <c r="H160" s="145" t="s">
        <v>5465</v>
      </c>
      <c r="I160" s="145" t="s">
        <v>4749</v>
      </c>
    </row>
    <row r="161" customFormat="false" ht="76" hidden="false" customHeight="true" outlineLevel="0" collapsed="false">
      <c r="A161" s="145" t="s">
        <v>4537</v>
      </c>
      <c r="B161" s="145" t="s">
        <v>4883</v>
      </c>
      <c r="C161" s="145" t="s">
        <v>5466</v>
      </c>
      <c r="D161" s="145" t="s">
        <v>5467</v>
      </c>
      <c r="E161" s="145" t="s">
        <v>5468</v>
      </c>
      <c r="F161" s="145" t="s">
        <v>5469</v>
      </c>
      <c r="G161" s="145" t="s">
        <v>5470</v>
      </c>
      <c r="H161" s="145" t="s">
        <v>5471</v>
      </c>
      <c r="I161" s="145" t="s">
        <v>4749</v>
      </c>
    </row>
    <row r="162" customFormat="false" ht="210" hidden="false" customHeight="true" outlineLevel="0" collapsed="false">
      <c r="A162" s="145" t="s">
        <v>4537</v>
      </c>
      <c r="B162" s="145" t="s">
        <v>4883</v>
      </c>
      <c r="C162" s="145" t="s">
        <v>5472</v>
      </c>
      <c r="D162" s="145" t="s">
        <v>4996</v>
      </c>
      <c r="E162" s="145" t="s">
        <v>5473</v>
      </c>
      <c r="F162" s="145" t="s">
        <v>5474</v>
      </c>
      <c r="G162" s="145" t="s">
        <v>5475</v>
      </c>
      <c r="H162" s="145" t="s">
        <v>5476</v>
      </c>
      <c r="I162" s="145" t="s">
        <v>4749</v>
      </c>
    </row>
    <row r="163" customFormat="false" ht="76" hidden="false" customHeight="true" outlineLevel="0" collapsed="false">
      <c r="A163" s="145" t="s">
        <v>4537</v>
      </c>
      <c r="B163" s="145" t="s">
        <v>4895</v>
      </c>
      <c r="C163" s="145" t="s">
        <v>4743</v>
      </c>
      <c r="D163" s="145" t="s">
        <v>5477</v>
      </c>
      <c r="E163" s="145" t="s">
        <v>5478</v>
      </c>
      <c r="F163" s="145" t="s">
        <v>5479</v>
      </c>
      <c r="G163" s="145" t="s">
        <v>5480</v>
      </c>
      <c r="H163" s="145" t="s">
        <v>5481</v>
      </c>
      <c r="I163" s="145" t="s">
        <v>4749</v>
      </c>
    </row>
    <row r="164" customFormat="false" ht="76" hidden="false" customHeight="true" outlineLevel="0" collapsed="false">
      <c r="A164" s="145" t="s">
        <v>4537</v>
      </c>
      <c r="B164" s="145" t="s">
        <v>4895</v>
      </c>
      <c r="C164" s="145" t="s">
        <v>4743</v>
      </c>
      <c r="D164" s="145" t="s">
        <v>5482</v>
      </c>
      <c r="E164" s="145" t="s">
        <v>5483</v>
      </c>
      <c r="F164" s="145" t="s">
        <v>5484</v>
      </c>
      <c r="G164" s="145" t="s">
        <v>5485</v>
      </c>
      <c r="H164" s="145" t="s">
        <v>5486</v>
      </c>
      <c r="I164" s="145" t="s">
        <v>4749</v>
      </c>
    </row>
    <row r="165" customFormat="false" ht="76" hidden="false" customHeight="true" outlineLevel="0" collapsed="false">
      <c r="A165" s="145" t="s">
        <v>4537</v>
      </c>
      <c r="B165" s="145" t="s">
        <v>4895</v>
      </c>
      <c r="C165" s="145" t="s">
        <v>4743</v>
      </c>
      <c r="D165" s="145" t="s">
        <v>5487</v>
      </c>
      <c r="E165" s="145" t="s">
        <v>5488</v>
      </c>
      <c r="F165" s="145" t="s">
        <v>5489</v>
      </c>
      <c r="G165" s="145" t="s">
        <v>5490</v>
      </c>
      <c r="H165" s="145" t="s">
        <v>5491</v>
      </c>
      <c r="I165" s="145" t="s">
        <v>4749</v>
      </c>
    </row>
    <row r="166" customFormat="false" ht="76" hidden="false" customHeight="true" outlineLevel="0" collapsed="false">
      <c r="A166" s="145" t="s">
        <v>4537</v>
      </c>
      <c r="B166" s="145" t="s">
        <v>4895</v>
      </c>
      <c r="C166" s="145" t="s">
        <v>4743</v>
      </c>
      <c r="D166" s="145" t="s">
        <v>4996</v>
      </c>
      <c r="E166" s="145" t="s">
        <v>5492</v>
      </c>
      <c r="F166" s="145" t="s">
        <v>5493</v>
      </c>
      <c r="G166" s="145" t="s">
        <v>5494</v>
      </c>
      <c r="H166" s="145" t="s">
        <v>5495</v>
      </c>
      <c r="I166" s="145" t="s">
        <v>4749</v>
      </c>
    </row>
    <row r="167" customFormat="false" ht="76" hidden="false" customHeight="true" outlineLevel="0" collapsed="false">
      <c r="A167" s="145" t="s">
        <v>4537</v>
      </c>
      <c r="B167" s="145" t="s">
        <v>4895</v>
      </c>
      <c r="C167" s="145" t="s">
        <v>5472</v>
      </c>
      <c r="D167" s="145" t="s">
        <v>4996</v>
      </c>
      <c r="E167" s="145" t="s">
        <v>5496</v>
      </c>
      <c r="F167" s="145" t="s">
        <v>5497</v>
      </c>
      <c r="G167" s="145" t="s">
        <v>5498</v>
      </c>
      <c r="H167" s="145" t="s">
        <v>5499</v>
      </c>
      <c r="I167" s="145" t="s">
        <v>4749</v>
      </c>
    </row>
    <row r="168" customFormat="false" ht="210" hidden="false" customHeight="true" outlineLevel="0" collapsed="false">
      <c r="A168" s="145" t="s">
        <v>4537</v>
      </c>
      <c r="B168" s="145" t="s">
        <v>4920</v>
      </c>
      <c r="C168" s="145" t="s">
        <v>5472</v>
      </c>
      <c r="D168" s="145" t="s">
        <v>4996</v>
      </c>
      <c r="E168" s="145" t="s">
        <v>5473</v>
      </c>
      <c r="F168" s="145" t="s">
        <v>5500</v>
      </c>
      <c r="G168" s="145" t="s">
        <v>5501</v>
      </c>
      <c r="H168" s="145" t="s">
        <v>5476</v>
      </c>
      <c r="I168" s="145" t="s">
        <v>4749</v>
      </c>
    </row>
    <row r="169" customFormat="false" ht="76" hidden="false" customHeight="true" outlineLevel="0" collapsed="false">
      <c r="A169" s="145" t="s">
        <v>4537</v>
      </c>
      <c r="B169" s="145" t="s">
        <v>5502</v>
      </c>
      <c r="C169" s="145" t="s">
        <v>4743</v>
      </c>
      <c r="D169" s="145" t="s">
        <v>4744</v>
      </c>
      <c r="E169" s="145" t="s">
        <v>5503</v>
      </c>
      <c r="F169" s="145" t="s">
        <v>5504</v>
      </c>
      <c r="G169" s="145" t="s">
        <v>5505</v>
      </c>
      <c r="H169" s="145" t="s">
        <v>5506</v>
      </c>
      <c r="I169" s="145" t="s">
        <v>4749</v>
      </c>
    </row>
    <row r="170" customFormat="false" ht="76" hidden="false" customHeight="true" outlineLevel="0" collapsed="false">
      <c r="A170" s="145" t="s">
        <v>4537</v>
      </c>
      <c r="B170" s="145" t="s">
        <v>5502</v>
      </c>
      <c r="C170" s="145" t="s">
        <v>4743</v>
      </c>
      <c r="D170" s="145" t="s">
        <v>4744</v>
      </c>
      <c r="E170" s="145" t="s">
        <v>5507</v>
      </c>
      <c r="F170" s="145" t="s">
        <v>5508</v>
      </c>
      <c r="G170" s="145" t="s">
        <v>5509</v>
      </c>
      <c r="H170" s="145" t="s">
        <v>5510</v>
      </c>
      <c r="I170" s="145" t="s">
        <v>4749</v>
      </c>
    </row>
    <row r="171" customFormat="false" ht="76" hidden="false" customHeight="true" outlineLevel="0" collapsed="false">
      <c r="A171" s="145" t="s">
        <v>4553</v>
      </c>
      <c r="B171" s="145" t="s">
        <v>4883</v>
      </c>
      <c r="C171" s="145" t="s">
        <v>5511</v>
      </c>
      <c r="D171" s="145" t="s">
        <v>5512</v>
      </c>
      <c r="E171" s="145" t="s">
        <v>5513</v>
      </c>
      <c r="F171" s="145" t="s">
        <v>5514</v>
      </c>
      <c r="G171" s="145" t="s">
        <v>5515</v>
      </c>
      <c r="H171" s="145" t="s">
        <v>5516</v>
      </c>
      <c r="I171" s="145" t="s">
        <v>4749</v>
      </c>
    </row>
    <row r="172" customFormat="false" ht="76" hidden="false" customHeight="true" outlineLevel="0" collapsed="false">
      <c r="A172" s="145" t="s">
        <v>4553</v>
      </c>
      <c r="B172" s="145" t="s">
        <v>4883</v>
      </c>
      <c r="C172" s="145" t="s">
        <v>5517</v>
      </c>
      <c r="D172" s="145" t="s">
        <v>5518</v>
      </c>
      <c r="E172" s="145" t="s">
        <v>5519</v>
      </c>
      <c r="F172" s="145" t="s">
        <v>5520</v>
      </c>
      <c r="G172" s="145" t="s">
        <v>5521</v>
      </c>
      <c r="H172" s="145" t="s">
        <v>5522</v>
      </c>
      <c r="I172" s="145" t="s">
        <v>4749</v>
      </c>
    </row>
    <row r="173" customFormat="false" ht="210" hidden="false" customHeight="true" outlineLevel="0" collapsed="false">
      <c r="A173" s="145" t="s">
        <v>4553</v>
      </c>
      <c r="B173" s="145" t="s">
        <v>4883</v>
      </c>
      <c r="C173" s="145" t="s">
        <v>5523</v>
      </c>
      <c r="D173" s="145" t="s">
        <v>5524</v>
      </c>
      <c r="E173" s="145" t="s">
        <v>5525</v>
      </c>
      <c r="F173" s="145" t="s">
        <v>5526</v>
      </c>
      <c r="G173" s="145" t="s">
        <v>5527</v>
      </c>
      <c r="H173" s="145" t="s">
        <v>5528</v>
      </c>
      <c r="I173" s="145" t="s">
        <v>4749</v>
      </c>
    </row>
    <row r="174" customFormat="false" ht="76" hidden="false" customHeight="true" outlineLevel="0" collapsed="false">
      <c r="A174" s="145" t="s">
        <v>4553</v>
      </c>
      <c r="B174" s="145" t="s">
        <v>4895</v>
      </c>
      <c r="C174" s="145" t="s">
        <v>4743</v>
      </c>
      <c r="D174" s="145" t="s">
        <v>5529</v>
      </c>
      <c r="E174" s="145" t="s">
        <v>5530</v>
      </c>
      <c r="F174" s="145" t="s">
        <v>5531</v>
      </c>
      <c r="G174" s="145" t="s">
        <v>5532</v>
      </c>
      <c r="H174" s="145" t="s">
        <v>5533</v>
      </c>
      <c r="I174" s="145" t="s">
        <v>4749</v>
      </c>
    </row>
    <row r="175" customFormat="false" ht="76" hidden="false" customHeight="true" outlineLevel="0" collapsed="false">
      <c r="A175" s="145" t="s">
        <v>4553</v>
      </c>
      <c r="B175" s="145" t="s">
        <v>4895</v>
      </c>
      <c r="C175" s="145" t="s">
        <v>4743</v>
      </c>
      <c r="D175" s="145" t="s">
        <v>5534</v>
      </c>
      <c r="E175" s="145" t="s">
        <v>5535</v>
      </c>
      <c r="F175" s="145" t="s">
        <v>5536</v>
      </c>
      <c r="G175" s="145" t="s">
        <v>5537</v>
      </c>
      <c r="H175" s="145" t="s">
        <v>5538</v>
      </c>
      <c r="I175" s="145" t="s">
        <v>4749</v>
      </c>
    </row>
    <row r="176" customFormat="false" ht="76" hidden="false" customHeight="true" outlineLevel="0" collapsed="false">
      <c r="A176" s="145" t="s">
        <v>4553</v>
      </c>
      <c r="B176" s="145" t="s">
        <v>4895</v>
      </c>
      <c r="C176" s="145" t="s">
        <v>4743</v>
      </c>
      <c r="D176" s="145" t="s">
        <v>5539</v>
      </c>
      <c r="E176" s="145" t="s">
        <v>5540</v>
      </c>
      <c r="F176" s="145" t="s">
        <v>5541</v>
      </c>
      <c r="G176" s="145" t="s">
        <v>5542</v>
      </c>
      <c r="H176" s="145" t="s">
        <v>5543</v>
      </c>
      <c r="I176" s="145" t="s">
        <v>4749</v>
      </c>
    </row>
    <row r="177" customFormat="false" ht="76" hidden="false" customHeight="true" outlineLevel="0" collapsed="false">
      <c r="A177" s="145" t="s">
        <v>4553</v>
      </c>
      <c r="B177" s="145" t="s">
        <v>4895</v>
      </c>
      <c r="C177" s="145" t="s">
        <v>4743</v>
      </c>
      <c r="D177" s="145" t="s">
        <v>5524</v>
      </c>
      <c r="E177" s="145" t="s">
        <v>5544</v>
      </c>
      <c r="F177" s="145" t="s">
        <v>5545</v>
      </c>
      <c r="G177" s="145" t="s">
        <v>5546</v>
      </c>
      <c r="H177" s="145" t="s">
        <v>5547</v>
      </c>
      <c r="I177" s="145" t="s">
        <v>4749</v>
      </c>
    </row>
    <row r="178" customFormat="false" ht="76" hidden="false" customHeight="true" outlineLevel="0" collapsed="false">
      <c r="A178" s="145" t="s">
        <v>4553</v>
      </c>
      <c r="B178" s="145" t="s">
        <v>4895</v>
      </c>
      <c r="C178" s="145" t="s">
        <v>5523</v>
      </c>
      <c r="D178" s="145" t="s">
        <v>5524</v>
      </c>
      <c r="E178" s="145" t="s">
        <v>5548</v>
      </c>
      <c r="F178" s="145" t="s">
        <v>5549</v>
      </c>
      <c r="G178" s="145" t="s">
        <v>5550</v>
      </c>
      <c r="H178" s="145" t="s">
        <v>5551</v>
      </c>
      <c r="I178" s="145" t="s">
        <v>4749</v>
      </c>
    </row>
    <row r="179" customFormat="false" ht="210" hidden="false" customHeight="true" outlineLevel="0" collapsed="false">
      <c r="A179" s="145" t="s">
        <v>4553</v>
      </c>
      <c r="B179" s="145" t="s">
        <v>4920</v>
      </c>
      <c r="C179" s="145" t="s">
        <v>5523</v>
      </c>
      <c r="D179" s="145" t="s">
        <v>5524</v>
      </c>
      <c r="E179" s="145" t="s">
        <v>5525</v>
      </c>
      <c r="F179" s="145" t="s">
        <v>5552</v>
      </c>
      <c r="G179" s="145" t="s">
        <v>5553</v>
      </c>
      <c r="H179" s="145" t="s">
        <v>5528</v>
      </c>
      <c r="I179" s="145" t="s">
        <v>4749</v>
      </c>
    </row>
    <row r="180" customFormat="false" ht="76" hidden="false" customHeight="true" outlineLevel="0" collapsed="false">
      <c r="A180" s="145" t="s">
        <v>4553</v>
      </c>
      <c r="B180" s="145" t="s">
        <v>5502</v>
      </c>
      <c r="C180" s="145" t="s">
        <v>4743</v>
      </c>
      <c r="D180" s="145" t="s">
        <v>4744</v>
      </c>
      <c r="E180" s="145" t="s">
        <v>5554</v>
      </c>
      <c r="F180" s="145" t="s">
        <v>5555</v>
      </c>
      <c r="G180" s="145" t="s">
        <v>5556</v>
      </c>
      <c r="H180" s="145" t="s">
        <v>5557</v>
      </c>
      <c r="I180" s="145" t="s">
        <v>4749</v>
      </c>
    </row>
    <row r="181" customFormat="false" ht="76" hidden="false" customHeight="true" outlineLevel="0" collapsed="false">
      <c r="A181" s="145" t="s">
        <v>4553</v>
      </c>
      <c r="B181" s="145" t="s">
        <v>5502</v>
      </c>
      <c r="C181" s="145" t="s">
        <v>4743</v>
      </c>
      <c r="D181" s="145" t="s">
        <v>4744</v>
      </c>
      <c r="E181" s="145" t="s">
        <v>5558</v>
      </c>
      <c r="F181" s="145" t="s">
        <v>5559</v>
      </c>
      <c r="G181" s="145" t="s">
        <v>5560</v>
      </c>
      <c r="H181" s="145" t="s">
        <v>5561</v>
      </c>
      <c r="I181" s="145" t="s">
        <v>4749</v>
      </c>
    </row>
    <row r="182" customFormat="false" ht="84" hidden="false" customHeight="true" outlineLevel="0" collapsed="false">
      <c r="A182" s="145" t="s">
        <v>4567</v>
      </c>
      <c r="B182" s="145" t="s">
        <v>4883</v>
      </c>
      <c r="C182" s="145" t="s">
        <v>5562</v>
      </c>
      <c r="D182" s="145" t="s">
        <v>5512</v>
      </c>
      <c r="E182" s="145" t="s">
        <v>5563</v>
      </c>
      <c r="F182" s="145" t="s">
        <v>5564</v>
      </c>
      <c r="G182" s="145" t="s">
        <v>5565</v>
      </c>
      <c r="H182" s="145" t="s">
        <v>5566</v>
      </c>
      <c r="I182" s="145" t="s">
        <v>4749</v>
      </c>
    </row>
    <row r="183" customFormat="false" ht="76" hidden="false" customHeight="true" outlineLevel="0" collapsed="false">
      <c r="A183" s="145" t="s">
        <v>4567</v>
      </c>
      <c r="B183" s="145" t="s">
        <v>4883</v>
      </c>
      <c r="C183" s="145" t="s">
        <v>5567</v>
      </c>
      <c r="D183" s="145" t="s">
        <v>5568</v>
      </c>
      <c r="E183" s="145" t="s">
        <v>5569</v>
      </c>
      <c r="F183" s="145" t="s">
        <v>5570</v>
      </c>
      <c r="G183" s="145" t="s">
        <v>5571</v>
      </c>
      <c r="H183" s="145" t="s">
        <v>5572</v>
      </c>
      <c r="I183" s="145" t="s">
        <v>4749</v>
      </c>
    </row>
    <row r="184" customFormat="false" ht="210" hidden="false" customHeight="true" outlineLevel="0" collapsed="false">
      <c r="A184" s="145" t="s">
        <v>4567</v>
      </c>
      <c r="B184" s="145" t="s">
        <v>4883</v>
      </c>
      <c r="C184" s="145" t="s">
        <v>5573</v>
      </c>
      <c r="D184" s="145" t="s">
        <v>5574</v>
      </c>
      <c r="E184" s="145" t="s">
        <v>5575</v>
      </c>
      <c r="F184" s="145" t="s">
        <v>5576</v>
      </c>
      <c r="G184" s="145" t="s">
        <v>5577</v>
      </c>
      <c r="H184" s="145" t="s">
        <v>5578</v>
      </c>
      <c r="I184" s="145" t="s">
        <v>4749</v>
      </c>
    </row>
    <row r="185" customFormat="false" ht="76" hidden="false" customHeight="true" outlineLevel="0" collapsed="false">
      <c r="A185" s="145" t="s">
        <v>4567</v>
      </c>
      <c r="B185" s="145" t="s">
        <v>4895</v>
      </c>
      <c r="C185" s="145" t="s">
        <v>4743</v>
      </c>
      <c r="D185" s="145" t="s">
        <v>5579</v>
      </c>
      <c r="E185" s="145" t="s">
        <v>5580</v>
      </c>
      <c r="F185" s="145" t="s">
        <v>5581</v>
      </c>
      <c r="G185" s="145" t="s">
        <v>5582</v>
      </c>
      <c r="H185" s="145" t="s">
        <v>5583</v>
      </c>
      <c r="I185" s="145" t="s">
        <v>4749</v>
      </c>
    </row>
    <row r="186" customFormat="false" ht="76" hidden="false" customHeight="true" outlineLevel="0" collapsed="false">
      <c r="A186" s="145" t="s">
        <v>4567</v>
      </c>
      <c r="B186" s="145" t="s">
        <v>4895</v>
      </c>
      <c r="C186" s="145" t="s">
        <v>4743</v>
      </c>
      <c r="D186" s="145" t="s">
        <v>5584</v>
      </c>
      <c r="E186" s="145" t="s">
        <v>5585</v>
      </c>
      <c r="F186" s="145" t="s">
        <v>5586</v>
      </c>
      <c r="G186" s="145" t="s">
        <v>5587</v>
      </c>
      <c r="H186" s="145" t="s">
        <v>5588</v>
      </c>
      <c r="I186" s="145" t="s">
        <v>4749</v>
      </c>
    </row>
    <row r="187" customFormat="false" ht="76" hidden="false" customHeight="true" outlineLevel="0" collapsed="false">
      <c r="A187" s="145" t="s">
        <v>4567</v>
      </c>
      <c r="B187" s="145" t="s">
        <v>4895</v>
      </c>
      <c r="C187" s="145" t="s">
        <v>4743</v>
      </c>
      <c r="D187" s="145" t="s">
        <v>5589</v>
      </c>
      <c r="E187" s="145" t="s">
        <v>5590</v>
      </c>
      <c r="F187" s="145" t="s">
        <v>5591</v>
      </c>
      <c r="G187" s="145" t="s">
        <v>5592</v>
      </c>
      <c r="H187" s="145" t="s">
        <v>5593</v>
      </c>
      <c r="I187" s="145" t="s">
        <v>4749</v>
      </c>
    </row>
    <row r="188" customFormat="false" ht="76" hidden="false" customHeight="true" outlineLevel="0" collapsed="false">
      <c r="A188" s="145" t="s">
        <v>4567</v>
      </c>
      <c r="B188" s="145" t="s">
        <v>4895</v>
      </c>
      <c r="C188" s="145" t="s">
        <v>4743</v>
      </c>
      <c r="D188" s="145" t="s">
        <v>5594</v>
      </c>
      <c r="E188" s="145" t="s">
        <v>5595</v>
      </c>
      <c r="F188" s="145" t="s">
        <v>5596</v>
      </c>
      <c r="G188" s="145" t="s">
        <v>5597</v>
      </c>
      <c r="H188" s="145" t="s">
        <v>5598</v>
      </c>
      <c r="I188" s="145" t="s">
        <v>4749</v>
      </c>
    </row>
    <row r="189" customFormat="false" ht="76" hidden="false" customHeight="true" outlineLevel="0" collapsed="false">
      <c r="A189" s="145" t="s">
        <v>4567</v>
      </c>
      <c r="B189" s="145" t="s">
        <v>4895</v>
      </c>
      <c r="C189" s="145" t="s">
        <v>4743</v>
      </c>
      <c r="D189" s="145" t="s">
        <v>5574</v>
      </c>
      <c r="E189" s="145" t="s">
        <v>5599</v>
      </c>
      <c r="F189" s="145" t="s">
        <v>5600</v>
      </c>
      <c r="G189" s="145" t="s">
        <v>5601</v>
      </c>
      <c r="H189" s="145" t="s">
        <v>5602</v>
      </c>
      <c r="I189" s="145" t="s">
        <v>4749</v>
      </c>
    </row>
    <row r="190" customFormat="false" ht="76" hidden="false" customHeight="true" outlineLevel="0" collapsed="false">
      <c r="A190" s="145" t="s">
        <v>4567</v>
      </c>
      <c r="B190" s="145" t="s">
        <v>4895</v>
      </c>
      <c r="C190" s="145" t="s">
        <v>5573</v>
      </c>
      <c r="D190" s="145" t="s">
        <v>5574</v>
      </c>
      <c r="E190" s="145" t="s">
        <v>5603</v>
      </c>
      <c r="F190" s="145" t="s">
        <v>5604</v>
      </c>
      <c r="G190" s="145" t="s">
        <v>5605</v>
      </c>
      <c r="H190" s="145" t="s">
        <v>5606</v>
      </c>
      <c r="I190" s="145" t="s">
        <v>4749</v>
      </c>
    </row>
    <row r="191" customFormat="false" ht="210" hidden="false" customHeight="true" outlineLevel="0" collapsed="false">
      <c r="A191" s="145" t="s">
        <v>4567</v>
      </c>
      <c r="B191" s="145" t="s">
        <v>4920</v>
      </c>
      <c r="C191" s="145" t="s">
        <v>5573</v>
      </c>
      <c r="D191" s="145" t="s">
        <v>5574</v>
      </c>
      <c r="E191" s="145" t="s">
        <v>5575</v>
      </c>
      <c r="F191" s="145" t="s">
        <v>5607</v>
      </c>
      <c r="G191" s="145" t="s">
        <v>5608</v>
      </c>
      <c r="H191" s="145" t="s">
        <v>5578</v>
      </c>
      <c r="I191" s="145" t="s">
        <v>4749</v>
      </c>
    </row>
    <row r="192" customFormat="false" ht="76" hidden="false" customHeight="true" outlineLevel="0" collapsed="false">
      <c r="A192" s="145" t="s">
        <v>4567</v>
      </c>
      <c r="B192" s="145" t="s">
        <v>5502</v>
      </c>
      <c r="C192" s="145" t="s">
        <v>4743</v>
      </c>
      <c r="D192" s="145" t="s">
        <v>4744</v>
      </c>
      <c r="E192" s="145" t="s">
        <v>5609</v>
      </c>
      <c r="F192" s="145" t="s">
        <v>5610</v>
      </c>
      <c r="G192" s="145" t="s">
        <v>5611</v>
      </c>
      <c r="H192" s="145" t="s">
        <v>5612</v>
      </c>
      <c r="I192" s="145" t="s">
        <v>4749</v>
      </c>
    </row>
    <row r="193" customFormat="false" ht="76" hidden="false" customHeight="true" outlineLevel="0" collapsed="false">
      <c r="A193" s="145" t="s">
        <v>4567</v>
      </c>
      <c r="B193" s="145" t="s">
        <v>5502</v>
      </c>
      <c r="C193" s="145" t="s">
        <v>4743</v>
      </c>
      <c r="D193" s="145" t="s">
        <v>4744</v>
      </c>
      <c r="E193" s="145" t="s">
        <v>5613</v>
      </c>
      <c r="F193" s="145" t="s">
        <v>5614</v>
      </c>
      <c r="G193" s="145" t="s">
        <v>5615</v>
      </c>
      <c r="H193" s="145" t="s">
        <v>5616</v>
      </c>
      <c r="I193" s="145" t="s">
        <v>4749</v>
      </c>
    </row>
    <row r="194" customFormat="false" ht="76" hidden="false" customHeight="true" outlineLevel="0" collapsed="false">
      <c r="A194" s="145" t="s">
        <v>4582</v>
      </c>
      <c r="B194" s="145" t="s">
        <v>4883</v>
      </c>
      <c r="C194" s="145" t="s">
        <v>5617</v>
      </c>
      <c r="D194" s="145" t="s">
        <v>5512</v>
      </c>
      <c r="E194" s="145" t="s">
        <v>5618</v>
      </c>
      <c r="F194" s="145" t="s">
        <v>5619</v>
      </c>
      <c r="G194" s="145" t="s">
        <v>5620</v>
      </c>
      <c r="H194" s="145" t="s">
        <v>5621</v>
      </c>
      <c r="I194" s="145" t="s">
        <v>4749</v>
      </c>
    </row>
    <row r="195" customFormat="false" ht="76" hidden="false" customHeight="true" outlineLevel="0" collapsed="false">
      <c r="A195" s="145" t="s">
        <v>4582</v>
      </c>
      <c r="B195" s="145" t="s">
        <v>4883</v>
      </c>
      <c r="C195" s="145" t="s">
        <v>5622</v>
      </c>
      <c r="D195" s="145" t="s">
        <v>5568</v>
      </c>
      <c r="E195" s="145" t="s">
        <v>5623</v>
      </c>
      <c r="F195" s="145" t="s">
        <v>5624</v>
      </c>
      <c r="G195" s="145" t="s">
        <v>5625</v>
      </c>
      <c r="H195" s="145" t="s">
        <v>5626</v>
      </c>
      <c r="I195" s="145" t="s">
        <v>4749</v>
      </c>
    </row>
    <row r="196" customFormat="false" ht="210" hidden="false" customHeight="true" outlineLevel="0" collapsed="false">
      <c r="A196" s="145" t="s">
        <v>4582</v>
      </c>
      <c r="B196" s="145" t="s">
        <v>4883</v>
      </c>
      <c r="C196" s="145" t="s">
        <v>5627</v>
      </c>
      <c r="D196" s="145" t="s">
        <v>5574</v>
      </c>
      <c r="E196" s="145" t="s">
        <v>5628</v>
      </c>
      <c r="F196" s="145" t="s">
        <v>5629</v>
      </c>
      <c r="G196" s="145" t="s">
        <v>5630</v>
      </c>
      <c r="H196" s="145" t="s">
        <v>5631</v>
      </c>
      <c r="I196" s="145" t="s">
        <v>4749</v>
      </c>
    </row>
    <row r="197" customFormat="false" ht="76" hidden="false" customHeight="true" outlineLevel="0" collapsed="false">
      <c r="A197" s="145" t="s">
        <v>4582</v>
      </c>
      <c r="B197" s="145" t="s">
        <v>4895</v>
      </c>
      <c r="C197" s="145" t="s">
        <v>4743</v>
      </c>
      <c r="D197" s="145" t="s">
        <v>5632</v>
      </c>
      <c r="E197" s="145" t="s">
        <v>5633</v>
      </c>
      <c r="F197" s="145" t="s">
        <v>5634</v>
      </c>
      <c r="G197" s="145" t="s">
        <v>5635</v>
      </c>
      <c r="H197" s="145" t="s">
        <v>5636</v>
      </c>
      <c r="I197" s="145" t="s">
        <v>4749</v>
      </c>
    </row>
    <row r="198" customFormat="false" ht="76" hidden="false" customHeight="true" outlineLevel="0" collapsed="false">
      <c r="A198" s="145" t="s">
        <v>4582</v>
      </c>
      <c r="B198" s="145" t="s">
        <v>4895</v>
      </c>
      <c r="C198" s="145" t="s">
        <v>4743</v>
      </c>
      <c r="D198" s="145" t="s">
        <v>5584</v>
      </c>
      <c r="E198" s="145" t="s">
        <v>5637</v>
      </c>
      <c r="F198" s="145" t="s">
        <v>5638</v>
      </c>
      <c r="G198" s="145" t="s">
        <v>5639</v>
      </c>
      <c r="H198" s="145" t="s">
        <v>5640</v>
      </c>
      <c r="I198" s="145" t="s">
        <v>4749</v>
      </c>
    </row>
    <row r="199" customFormat="false" ht="76" hidden="false" customHeight="true" outlineLevel="0" collapsed="false">
      <c r="A199" s="145" t="s">
        <v>4582</v>
      </c>
      <c r="B199" s="145" t="s">
        <v>4895</v>
      </c>
      <c r="C199" s="145" t="s">
        <v>4743</v>
      </c>
      <c r="D199" s="145" t="s">
        <v>5594</v>
      </c>
      <c r="E199" s="145" t="s">
        <v>5641</v>
      </c>
      <c r="F199" s="145" t="s">
        <v>5642</v>
      </c>
      <c r="G199" s="145" t="s">
        <v>5643</v>
      </c>
      <c r="H199" s="145" t="s">
        <v>5644</v>
      </c>
      <c r="I199" s="145" t="s">
        <v>4749</v>
      </c>
    </row>
    <row r="200" customFormat="false" ht="76" hidden="false" customHeight="true" outlineLevel="0" collapsed="false">
      <c r="A200" s="145" t="s">
        <v>4582</v>
      </c>
      <c r="B200" s="145" t="s">
        <v>4895</v>
      </c>
      <c r="C200" s="145" t="s">
        <v>4743</v>
      </c>
      <c r="D200" s="145" t="s">
        <v>5574</v>
      </c>
      <c r="E200" s="145" t="s">
        <v>5645</v>
      </c>
      <c r="F200" s="145" t="s">
        <v>5646</v>
      </c>
      <c r="G200" s="145" t="s">
        <v>5647</v>
      </c>
      <c r="H200" s="145" t="s">
        <v>5648</v>
      </c>
      <c r="I200" s="145" t="s">
        <v>4749</v>
      </c>
    </row>
    <row r="201" customFormat="false" ht="76" hidden="false" customHeight="true" outlineLevel="0" collapsed="false">
      <c r="A201" s="145" t="s">
        <v>4582</v>
      </c>
      <c r="B201" s="145" t="s">
        <v>4895</v>
      </c>
      <c r="C201" s="145" t="s">
        <v>4743</v>
      </c>
      <c r="D201" s="145" t="s">
        <v>5589</v>
      </c>
      <c r="E201" s="145" t="s">
        <v>5649</v>
      </c>
      <c r="F201" s="145" t="s">
        <v>5650</v>
      </c>
      <c r="G201" s="145" t="s">
        <v>5651</v>
      </c>
      <c r="H201" s="145" t="s">
        <v>5652</v>
      </c>
      <c r="I201" s="145" t="s">
        <v>4749</v>
      </c>
    </row>
    <row r="202" customFormat="false" ht="76" hidden="false" customHeight="true" outlineLevel="0" collapsed="false">
      <c r="A202" s="145" t="s">
        <v>4582</v>
      </c>
      <c r="B202" s="145" t="s">
        <v>4895</v>
      </c>
      <c r="C202" s="145" t="s">
        <v>5627</v>
      </c>
      <c r="D202" s="145" t="s">
        <v>5574</v>
      </c>
      <c r="E202" s="145" t="s">
        <v>5653</v>
      </c>
      <c r="F202" s="145" t="s">
        <v>5654</v>
      </c>
      <c r="G202" s="145" t="s">
        <v>5655</v>
      </c>
      <c r="H202" s="145" t="s">
        <v>5656</v>
      </c>
      <c r="I202" s="145" t="s">
        <v>4749</v>
      </c>
    </row>
    <row r="203" customFormat="false" ht="210" hidden="false" customHeight="true" outlineLevel="0" collapsed="false">
      <c r="A203" s="145" t="s">
        <v>4582</v>
      </c>
      <c r="B203" s="145" t="s">
        <v>4920</v>
      </c>
      <c r="C203" s="145" t="s">
        <v>5627</v>
      </c>
      <c r="D203" s="145" t="s">
        <v>5574</v>
      </c>
      <c r="E203" s="145" t="s">
        <v>5628</v>
      </c>
      <c r="F203" s="145" t="s">
        <v>5657</v>
      </c>
      <c r="G203" s="145" t="s">
        <v>5658</v>
      </c>
      <c r="H203" s="145" t="s">
        <v>5631</v>
      </c>
      <c r="I203" s="145" t="s">
        <v>4749</v>
      </c>
    </row>
    <row r="204" customFormat="false" ht="76" hidden="false" customHeight="true" outlineLevel="0" collapsed="false">
      <c r="A204" s="145" t="s">
        <v>4582</v>
      </c>
      <c r="B204" s="145" t="s">
        <v>5502</v>
      </c>
      <c r="C204" s="145" t="s">
        <v>4743</v>
      </c>
      <c r="D204" s="145" t="s">
        <v>4744</v>
      </c>
      <c r="E204" s="145" t="s">
        <v>5659</v>
      </c>
      <c r="F204" s="145" t="s">
        <v>5660</v>
      </c>
      <c r="G204" s="145" t="s">
        <v>5661</v>
      </c>
      <c r="H204" s="145" t="s">
        <v>5662</v>
      </c>
      <c r="I204" s="145" t="s">
        <v>4749</v>
      </c>
    </row>
    <row r="205" customFormat="false" ht="76" hidden="false" customHeight="true" outlineLevel="0" collapsed="false">
      <c r="A205" s="145" t="s">
        <v>4582</v>
      </c>
      <c r="B205" s="145" t="s">
        <v>5502</v>
      </c>
      <c r="C205" s="145" t="s">
        <v>4743</v>
      </c>
      <c r="D205" s="145" t="s">
        <v>4744</v>
      </c>
      <c r="E205" s="145" t="s">
        <v>5663</v>
      </c>
      <c r="F205" s="145" t="s">
        <v>5664</v>
      </c>
      <c r="G205" s="145" t="s">
        <v>5665</v>
      </c>
      <c r="H205" s="145" t="s">
        <v>5666</v>
      </c>
      <c r="I205" s="145" t="s">
        <v>4749</v>
      </c>
    </row>
    <row r="206" customFormat="false" ht="210" hidden="false" customHeight="true" outlineLevel="0" collapsed="false">
      <c r="A206" s="145" t="s">
        <v>4595</v>
      </c>
      <c r="B206" s="145" t="s">
        <v>4883</v>
      </c>
      <c r="C206" s="145" t="s">
        <v>4600</v>
      </c>
      <c r="D206" s="145" t="s">
        <v>5667</v>
      </c>
      <c r="E206" s="145" t="s">
        <v>5668</v>
      </c>
      <c r="F206" s="145" t="s">
        <v>5669</v>
      </c>
      <c r="G206" s="145" t="s">
        <v>5670</v>
      </c>
      <c r="H206" s="145" t="s">
        <v>5671</v>
      </c>
      <c r="I206" s="145" t="s">
        <v>4749</v>
      </c>
    </row>
    <row r="207" customFormat="false" ht="76" hidden="false" customHeight="true" outlineLevel="0" collapsed="false">
      <c r="A207" s="145" t="s">
        <v>4595</v>
      </c>
      <c r="B207" s="145" t="s">
        <v>4895</v>
      </c>
      <c r="C207" s="145" t="s">
        <v>4743</v>
      </c>
      <c r="D207" s="145" t="s">
        <v>5672</v>
      </c>
      <c r="E207" s="145" t="s">
        <v>5673</v>
      </c>
      <c r="F207" s="145" t="s">
        <v>5674</v>
      </c>
      <c r="G207" s="145" t="s">
        <v>5675</v>
      </c>
      <c r="H207" s="145" t="s">
        <v>5676</v>
      </c>
      <c r="I207" s="145" t="s">
        <v>4749</v>
      </c>
    </row>
    <row r="208" customFormat="false" ht="76" hidden="false" customHeight="true" outlineLevel="0" collapsed="false">
      <c r="A208" s="145" t="s">
        <v>4595</v>
      </c>
      <c r="B208" s="145" t="s">
        <v>4895</v>
      </c>
      <c r="C208" s="145" t="s">
        <v>4743</v>
      </c>
      <c r="D208" s="145" t="s">
        <v>5677</v>
      </c>
      <c r="E208" s="145" t="s">
        <v>5678</v>
      </c>
      <c r="F208" s="145" t="s">
        <v>5679</v>
      </c>
      <c r="G208" s="145" t="s">
        <v>5680</v>
      </c>
      <c r="H208" s="145" t="s">
        <v>5681</v>
      </c>
      <c r="I208" s="145" t="s">
        <v>4749</v>
      </c>
    </row>
    <row r="209" customFormat="false" ht="76" hidden="false" customHeight="true" outlineLevel="0" collapsed="false">
      <c r="A209" s="145" t="s">
        <v>4595</v>
      </c>
      <c r="B209" s="145" t="s">
        <v>4895</v>
      </c>
      <c r="C209" s="145" t="s">
        <v>4743</v>
      </c>
      <c r="D209" s="145" t="s">
        <v>5682</v>
      </c>
      <c r="E209" s="145" t="s">
        <v>5683</v>
      </c>
      <c r="F209" s="145" t="s">
        <v>5684</v>
      </c>
      <c r="G209" s="145" t="s">
        <v>5685</v>
      </c>
      <c r="H209" s="145" t="s">
        <v>5686</v>
      </c>
      <c r="I209" s="145" t="s">
        <v>4749</v>
      </c>
    </row>
    <row r="210" customFormat="false" ht="76" hidden="false" customHeight="true" outlineLevel="0" collapsed="false">
      <c r="A210" s="145" t="s">
        <v>4595</v>
      </c>
      <c r="B210" s="145" t="s">
        <v>4895</v>
      </c>
      <c r="C210" s="145" t="s">
        <v>4743</v>
      </c>
      <c r="D210" s="145" t="s">
        <v>5687</v>
      </c>
      <c r="E210" s="145" t="s">
        <v>5688</v>
      </c>
      <c r="F210" s="145" t="s">
        <v>5689</v>
      </c>
      <c r="G210" s="145" t="s">
        <v>5690</v>
      </c>
      <c r="H210" s="145" t="s">
        <v>5691</v>
      </c>
      <c r="I210" s="145" t="s">
        <v>4749</v>
      </c>
    </row>
    <row r="211" customFormat="false" ht="76" hidden="false" customHeight="true" outlineLevel="0" collapsed="false">
      <c r="A211" s="145" t="s">
        <v>4595</v>
      </c>
      <c r="B211" s="145" t="s">
        <v>4895</v>
      </c>
      <c r="C211" s="145" t="s">
        <v>4743</v>
      </c>
      <c r="D211" s="145" t="s">
        <v>5692</v>
      </c>
      <c r="E211" s="145" t="s">
        <v>5693</v>
      </c>
      <c r="F211" s="145" t="s">
        <v>5694</v>
      </c>
      <c r="G211" s="145" t="s">
        <v>5695</v>
      </c>
      <c r="H211" s="145" t="s">
        <v>5696</v>
      </c>
      <c r="I211" s="145" t="s">
        <v>4749</v>
      </c>
    </row>
    <row r="212" customFormat="false" ht="76" hidden="false" customHeight="true" outlineLevel="0" collapsed="false">
      <c r="A212" s="145" t="s">
        <v>4595</v>
      </c>
      <c r="B212" s="145" t="s">
        <v>4895</v>
      </c>
      <c r="C212" s="145" t="s">
        <v>4600</v>
      </c>
      <c r="D212" s="145" t="s">
        <v>5667</v>
      </c>
      <c r="E212" s="145" t="s">
        <v>5697</v>
      </c>
      <c r="F212" s="145" t="s">
        <v>5698</v>
      </c>
      <c r="G212" s="145" t="s">
        <v>5699</v>
      </c>
      <c r="H212" s="145" t="s">
        <v>5700</v>
      </c>
      <c r="I212" s="145" t="s">
        <v>4749</v>
      </c>
    </row>
    <row r="213" customFormat="false" ht="210" hidden="false" customHeight="true" outlineLevel="0" collapsed="false">
      <c r="A213" s="145" t="s">
        <v>4595</v>
      </c>
      <c r="B213" s="145" t="s">
        <v>4920</v>
      </c>
      <c r="C213" s="145" t="s">
        <v>4600</v>
      </c>
      <c r="D213" s="145" t="s">
        <v>5667</v>
      </c>
      <c r="E213" s="145" t="s">
        <v>5668</v>
      </c>
      <c r="F213" s="145" t="s">
        <v>5701</v>
      </c>
      <c r="G213" s="145" t="s">
        <v>5702</v>
      </c>
      <c r="H213" s="145" t="s">
        <v>5671</v>
      </c>
      <c r="I213" s="145" t="s">
        <v>4749</v>
      </c>
    </row>
    <row r="214" customFormat="false" ht="76" hidden="false" customHeight="true" outlineLevel="0" collapsed="false">
      <c r="A214" s="145" t="s">
        <v>4595</v>
      </c>
      <c r="B214" s="145" t="s">
        <v>5502</v>
      </c>
      <c r="C214" s="145" t="s">
        <v>4743</v>
      </c>
      <c r="D214" s="145" t="s">
        <v>4744</v>
      </c>
      <c r="E214" s="145" t="s">
        <v>5703</v>
      </c>
      <c r="F214" s="145" t="s">
        <v>5704</v>
      </c>
      <c r="G214" s="145" t="s">
        <v>5705</v>
      </c>
      <c r="H214" s="145" t="s">
        <v>5706</v>
      </c>
      <c r="I214" s="145" t="s">
        <v>4749</v>
      </c>
    </row>
    <row r="215" customFormat="false" ht="76" hidden="false" customHeight="true" outlineLevel="0" collapsed="false">
      <c r="A215" s="145" t="s">
        <v>4595</v>
      </c>
      <c r="B215" s="145" t="s">
        <v>5502</v>
      </c>
      <c r="C215" s="145" t="s">
        <v>4743</v>
      </c>
      <c r="D215" s="145" t="s">
        <v>4744</v>
      </c>
      <c r="E215" s="145" t="s">
        <v>5707</v>
      </c>
      <c r="F215" s="145" t="s">
        <v>5708</v>
      </c>
      <c r="G215" s="145" t="s">
        <v>5709</v>
      </c>
      <c r="H215" s="145" t="s">
        <v>5710</v>
      </c>
      <c r="I215" s="145" t="s">
        <v>4749</v>
      </c>
    </row>
    <row r="216" customFormat="false" ht="210" hidden="false" customHeight="true" outlineLevel="0" collapsed="false">
      <c r="A216" s="145" t="s">
        <v>4595</v>
      </c>
      <c r="B216" s="145" t="s">
        <v>4933</v>
      </c>
      <c r="C216" s="145" t="s">
        <v>4743</v>
      </c>
      <c r="D216" s="145" t="s">
        <v>5667</v>
      </c>
      <c r="E216" s="145" t="s">
        <v>5711</v>
      </c>
      <c r="F216" s="145" t="s">
        <v>5712</v>
      </c>
      <c r="G216" s="145" t="s">
        <v>5713</v>
      </c>
      <c r="H216" s="145" t="s">
        <v>5714</v>
      </c>
      <c r="I216" s="145" t="s">
        <v>4749</v>
      </c>
    </row>
    <row r="217" customFormat="false" ht="98" hidden="false" customHeight="true" outlineLevel="0" collapsed="false">
      <c r="A217" s="145" t="s">
        <v>4595</v>
      </c>
      <c r="B217" s="145" t="s">
        <v>5715</v>
      </c>
      <c r="C217" s="145" t="s">
        <v>4743</v>
      </c>
      <c r="D217" s="145" t="s">
        <v>4744</v>
      </c>
      <c r="E217" s="145" t="s">
        <v>5716</v>
      </c>
      <c r="F217" s="145" t="s">
        <v>5717</v>
      </c>
      <c r="G217" s="145" t="s">
        <v>5718</v>
      </c>
      <c r="H217" s="145" t="s">
        <v>5719</v>
      </c>
      <c r="I217" s="145" t="s">
        <v>4749</v>
      </c>
    </row>
    <row r="218" customFormat="false" ht="76" hidden="false" customHeight="true" outlineLevel="0" collapsed="false">
      <c r="A218" s="145" t="s">
        <v>4610</v>
      </c>
      <c r="B218" s="145" t="s">
        <v>4883</v>
      </c>
      <c r="C218" s="145" t="s">
        <v>5720</v>
      </c>
      <c r="D218" s="145" t="s">
        <v>5721</v>
      </c>
      <c r="E218" s="145" t="s">
        <v>5722</v>
      </c>
      <c r="F218" s="145" t="s">
        <v>5723</v>
      </c>
      <c r="G218" s="145" t="s">
        <v>5724</v>
      </c>
      <c r="H218" s="145" t="s">
        <v>5725</v>
      </c>
      <c r="I218" s="145" t="s">
        <v>4749</v>
      </c>
    </row>
    <row r="219" customFormat="false" ht="84" hidden="false" customHeight="true" outlineLevel="0" collapsed="false">
      <c r="A219" s="145" t="s">
        <v>4610</v>
      </c>
      <c r="B219" s="145" t="s">
        <v>4883</v>
      </c>
      <c r="C219" s="145" t="s">
        <v>5726</v>
      </c>
      <c r="D219" s="145" t="s">
        <v>5727</v>
      </c>
      <c r="E219" s="145" t="s">
        <v>5728</v>
      </c>
      <c r="F219" s="145" t="s">
        <v>5729</v>
      </c>
      <c r="G219" s="145" t="s">
        <v>5730</v>
      </c>
      <c r="H219" s="145" t="s">
        <v>5731</v>
      </c>
      <c r="I219" s="145" t="s">
        <v>4749</v>
      </c>
    </row>
    <row r="220" customFormat="false" ht="76" hidden="false" customHeight="true" outlineLevel="0" collapsed="false">
      <c r="A220" s="145" t="s">
        <v>4610</v>
      </c>
      <c r="B220" s="145" t="s">
        <v>4895</v>
      </c>
      <c r="C220" s="145" t="s">
        <v>4743</v>
      </c>
      <c r="D220" s="145" t="s">
        <v>5732</v>
      </c>
      <c r="E220" s="145" t="s">
        <v>5733</v>
      </c>
      <c r="F220" s="145" t="s">
        <v>5734</v>
      </c>
      <c r="G220" s="145" t="s">
        <v>5735</v>
      </c>
      <c r="H220" s="145" t="s">
        <v>5736</v>
      </c>
      <c r="I220" s="145" t="s">
        <v>4749</v>
      </c>
    </row>
    <row r="221" customFormat="false" ht="76" hidden="false" customHeight="true" outlineLevel="0" collapsed="false">
      <c r="A221" s="145" t="s">
        <v>4610</v>
      </c>
      <c r="B221" s="145" t="s">
        <v>4895</v>
      </c>
      <c r="C221" s="145" t="s">
        <v>4743</v>
      </c>
      <c r="D221" s="145" t="s">
        <v>5737</v>
      </c>
      <c r="E221" s="145" t="s">
        <v>5738</v>
      </c>
      <c r="F221" s="145" t="s">
        <v>5739</v>
      </c>
      <c r="G221" s="145" t="s">
        <v>5740</v>
      </c>
      <c r="H221" s="145" t="s">
        <v>5741</v>
      </c>
      <c r="I221" s="145" t="s">
        <v>4749</v>
      </c>
    </row>
    <row r="222" customFormat="false" ht="76" hidden="false" customHeight="true" outlineLevel="0" collapsed="false">
      <c r="A222" s="145" t="s">
        <v>4610</v>
      </c>
      <c r="B222" s="145" t="s">
        <v>4895</v>
      </c>
      <c r="C222" s="145" t="s">
        <v>4743</v>
      </c>
      <c r="D222" s="145" t="s">
        <v>5742</v>
      </c>
      <c r="E222" s="145" t="s">
        <v>5743</v>
      </c>
      <c r="F222" s="145" t="s">
        <v>5744</v>
      </c>
      <c r="G222" s="145" t="s">
        <v>5745</v>
      </c>
      <c r="H222" s="145" t="s">
        <v>5746</v>
      </c>
      <c r="I222" s="145" t="s">
        <v>4749</v>
      </c>
    </row>
    <row r="223" customFormat="false" ht="76" hidden="false" customHeight="true" outlineLevel="0" collapsed="false">
      <c r="A223" s="145" t="s">
        <v>4610</v>
      </c>
      <c r="B223" s="145" t="s">
        <v>4895</v>
      </c>
      <c r="C223" s="145" t="s">
        <v>4743</v>
      </c>
      <c r="D223" s="145" t="s">
        <v>5747</v>
      </c>
      <c r="E223" s="145" t="s">
        <v>5748</v>
      </c>
      <c r="F223" s="145" t="s">
        <v>5749</v>
      </c>
      <c r="G223" s="145" t="s">
        <v>5750</v>
      </c>
      <c r="H223" s="145" t="s">
        <v>5751</v>
      </c>
      <c r="I223" s="145" t="s">
        <v>4749</v>
      </c>
    </row>
    <row r="224" customFormat="false" ht="76" hidden="false" customHeight="true" outlineLevel="0" collapsed="false">
      <c r="A224" s="145" t="s">
        <v>4610</v>
      </c>
      <c r="B224" s="145" t="s">
        <v>4895</v>
      </c>
      <c r="C224" s="145" t="s">
        <v>4743</v>
      </c>
      <c r="D224" s="145" t="s">
        <v>5752</v>
      </c>
      <c r="E224" s="145" t="s">
        <v>5753</v>
      </c>
      <c r="F224" s="145" t="s">
        <v>5754</v>
      </c>
      <c r="G224" s="145" t="s">
        <v>5755</v>
      </c>
      <c r="H224" s="145" t="s">
        <v>5756</v>
      </c>
      <c r="I224" s="145" t="s">
        <v>4749</v>
      </c>
    </row>
    <row r="225" customFormat="false" ht="76" hidden="false" customHeight="true" outlineLevel="0" collapsed="false">
      <c r="A225" s="145" t="s">
        <v>4610</v>
      </c>
      <c r="B225" s="145" t="s">
        <v>4895</v>
      </c>
      <c r="C225" s="145" t="s">
        <v>4743</v>
      </c>
      <c r="D225" s="145" t="s">
        <v>5757</v>
      </c>
      <c r="E225" s="145" t="s">
        <v>5758</v>
      </c>
      <c r="F225" s="145" t="s">
        <v>5759</v>
      </c>
      <c r="G225" s="145" t="s">
        <v>5760</v>
      </c>
      <c r="H225" s="145" t="s">
        <v>5761</v>
      </c>
      <c r="I225" s="145" t="s">
        <v>4749</v>
      </c>
    </row>
    <row r="226" customFormat="false" ht="76" hidden="false" customHeight="true" outlineLevel="0" collapsed="false">
      <c r="A226" s="145" t="s">
        <v>4610</v>
      </c>
      <c r="B226" s="145" t="s">
        <v>4895</v>
      </c>
      <c r="C226" s="145" t="s">
        <v>4743</v>
      </c>
      <c r="D226" s="145" t="s">
        <v>5727</v>
      </c>
      <c r="E226" s="145" t="s">
        <v>5762</v>
      </c>
      <c r="F226" s="145" t="s">
        <v>5763</v>
      </c>
      <c r="G226" s="145" t="s">
        <v>5764</v>
      </c>
      <c r="H226" s="145" t="s">
        <v>5765</v>
      </c>
      <c r="I226" s="145" t="s">
        <v>4749</v>
      </c>
    </row>
    <row r="227" customFormat="false" ht="76" hidden="false" customHeight="true" outlineLevel="0" collapsed="false">
      <c r="A227" s="145" t="s">
        <v>4610</v>
      </c>
      <c r="B227" s="145" t="s">
        <v>4895</v>
      </c>
      <c r="C227" s="145" t="s">
        <v>4743</v>
      </c>
      <c r="D227" s="145" t="s">
        <v>5766</v>
      </c>
      <c r="E227" s="145" t="s">
        <v>5767</v>
      </c>
      <c r="F227" s="145" t="s">
        <v>5768</v>
      </c>
      <c r="G227" s="145" t="s">
        <v>5769</v>
      </c>
      <c r="H227" s="145" t="s">
        <v>5770</v>
      </c>
      <c r="I227" s="145" t="s">
        <v>4749</v>
      </c>
    </row>
    <row r="228" customFormat="false" ht="76" hidden="false" customHeight="true" outlineLevel="0" collapsed="false">
      <c r="A228" s="145" t="s">
        <v>4610</v>
      </c>
      <c r="B228" s="145" t="s">
        <v>4920</v>
      </c>
      <c r="C228" s="145" t="s">
        <v>4743</v>
      </c>
      <c r="D228" s="145" t="s">
        <v>4744</v>
      </c>
      <c r="E228" s="145" t="s">
        <v>5771</v>
      </c>
      <c r="F228" s="145" t="s">
        <v>5772</v>
      </c>
      <c r="G228" s="145" t="s">
        <v>5773</v>
      </c>
      <c r="H228" s="145" t="s">
        <v>5774</v>
      </c>
      <c r="I228" s="145" t="s">
        <v>4749</v>
      </c>
    </row>
    <row r="229" customFormat="false" ht="76" hidden="false" customHeight="true" outlineLevel="0" collapsed="false">
      <c r="A229" s="145" t="s">
        <v>4610</v>
      </c>
      <c r="B229" s="145" t="s">
        <v>4920</v>
      </c>
      <c r="C229" s="145" t="s">
        <v>4743</v>
      </c>
      <c r="D229" s="145" t="s">
        <v>4744</v>
      </c>
      <c r="E229" s="145" t="s">
        <v>5775</v>
      </c>
      <c r="F229" s="145" t="s">
        <v>5776</v>
      </c>
      <c r="G229" s="145" t="s">
        <v>5777</v>
      </c>
      <c r="H229" s="145" t="s">
        <v>5778</v>
      </c>
      <c r="I229" s="145" t="s">
        <v>4749</v>
      </c>
    </row>
    <row r="230" customFormat="false" ht="76" hidden="false" customHeight="true" outlineLevel="0" collapsed="false">
      <c r="A230" s="145" t="s">
        <v>4610</v>
      </c>
      <c r="B230" s="145" t="s">
        <v>4920</v>
      </c>
      <c r="C230" s="145" t="s">
        <v>4743</v>
      </c>
      <c r="D230" s="145" t="s">
        <v>4744</v>
      </c>
      <c r="E230" s="145" t="s">
        <v>5779</v>
      </c>
      <c r="F230" s="145" t="s">
        <v>5780</v>
      </c>
      <c r="G230" s="145" t="s">
        <v>5781</v>
      </c>
      <c r="H230" s="145" t="s">
        <v>5782</v>
      </c>
      <c r="I230" s="145" t="s">
        <v>4749</v>
      </c>
    </row>
    <row r="231" customFormat="false" ht="76" hidden="false" customHeight="true" outlineLevel="0" collapsed="false">
      <c r="A231" s="145" t="s">
        <v>4610</v>
      </c>
      <c r="B231" s="145" t="s">
        <v>4920</v>
      </c>
      <c r="C231" s="145" t="s">
        <v>4743</v>
      </c>
      <c r="D231" s="145" t="s">
        <v>4744</v>
      </c>
      <c r="E231" s="145" t="s">
        <v>5783</v>
      </c>
      <c r="F231" s="145" t="s">
        <v>5784</v>
      </c>
      <c r="G231" s="145" t="s">
        <v>5785</v>
      </c>
      <c r="H231" s="145" t="s">
        <v>5786</v>
      </c>
      <c r="I231" s="145" t="s">
        <v>4749</v>
      </c>
    </row>
    <row r="232" customFormat="false" ht="76" hidden="false" customHeight="true" outlineLevel="0" collapsed="false">
      <c r="A232" s="145" t="s">
        <v>4610</v>
      </c>
      <c r="B232" s="145" t="s">
        <v>4920</v>
      </c>
      <c r="C232" s="145" t="s">
        <v>4743</v>
      </c>
      <c r="D232" s="145" t="s">
        <v>4744</v>
      </c>
      <c r="E232" s="145" t="s">
        <v>5787</v>
      </c>
      <c r="F232" s="145" t="s">
        <v>5788</v>
      </c>
      <c r="G232" s="145" t="s">
        <v>5789</v>
      </c>
      <c r="H232" s="145" t="s">
        <v>5790</v>
      </c>
      <c r="I232" s="145" t="s">
        <v>4749</v>
      </c>
    </row>
    <row r="233" customFormat="false" ht="76" hidden="false" customHeight="true" outlineLevel="0" collapsed="false">
      <c r="A233" s="145" t="s">
        <v>4610</v>
      </c>
      <c r="B233" s="145" t="s">
        <v>4933</v>
      </c>
      <c r="C233" s="145" t="s">
        <v>4743</v>
      </c>
      <c r="D233" s="145" t="s">
        <v>4744</v>
      </c>
      <c r="E233" s="145" t="s">
        <v>5791</v>
      </c>
      <c r="F233" s="145" t="s">
        <v>5792</v>
      </c>
      <c r="G233" s="145" t="s">
        <v>5793</v>
      </c>
      <c r="H233" s="145" t="s">
        <v>5794</v>
      </c>
      <c r="I233" s="145" t="s">
        <v>4749</v>
      </c>
    </row>
    <row r="234" customFormat="false" ht="76" hidden="false" customHeight="true" outlineLevel="0" collapsed="false">
      <c r="A234" s="145" t="s">
        <v>4610</v>
      </c>
      <c r="B234" s="145" t="s">
        <v>4933</v>
      </c>
      <c r="C234" s="145" t="s">
        <v>4743</v>
      </c>
      <c r="D234" s="145" t="s">
        <v>4744</v>
      </c>
      <c r="E234" s="145" t="s">
        <v>5795</v>
      </c>
      <c r="F234" s="145" t="s">
        <v>5796</v>
      </c>
      <c r="G234" s="145" t="s">
        <v>5797</v>
      </c>
      <c r="H234" s="145" t="s">
        <v>5798</v>
      </c>
      <c r="I234" s="145" t="s">
        <v>4749</v>
      </c>
    </row>
    <row r="235" customFormat="false" ht="76" hidden="false" customHeight="true" outlineLevel="0" collapsed="false">
      <c r="A235" s="145" t="s">
        <v>4610</v>
      </c>
      <c r="B235" s="145" t="s">
        <v>4933</v>
      </c>
      <c r="C235" s="145" t="s">
        <v>4743</v>
      </c>
      <c r="D235" s="145" t="s">
        <v>4744</v>
      </c>
      <c r="E235" s="145" t="s">
        <v>5799</v>
      </c>
      <c r="F235" s="145" t="s">
        <v>5800</v>
      </c>
      <c r="G235" s="145" t="s">
        <v>5801</v>
      </c>
      <c r="H235" s="145" t="s">
        <v>5802</v>
      </c>
      <c r="I235" s="145" t="s">
        <v>4749</v>
      </c>
    </row>
    <row r="236" customFormat="false" ht="76" hidden="false" customHeight="true" outlineLevel="0" collapsed="false">
      <c r="A236" s="145" t="s">
        <v>4610</v>
      </c>
      <c r="B236" s="145" t="s">
        <v>4933</v>
      </c>
      <c r="C236" s="145" t="s">
        <v>4743</v>
      </c>
      <c r="D236" s="145" t="s">
        <v>4744</v>
      </c>
      <c r="E236" s="145" t="s">
        <v>5803</v>
      </c>
      <c r="F236" s="145" t="s">
        <v>5804</v>
      </c>
      <c r="G236" s="145" t="s">
        <v>5805</v>
      </c>
      <c r="H236" s="145" t="s">
        <v>5806</v>
      </c>
      <c r="I236" s="145" t="s">
        <v>4749</v>
      </c>
    </row>
    <row r="237" customFormat="false" ht="76" hidden="false" customHeight="true" outlineLevel="0" collapsed="false">
      <c r="A237" s="145" t="s">
        <v>4610</v>
      </c>
      <c r="B237" s="145" t="s">
        <v>4933</v>
      </c>
      <c r="C237" s="145" t="s">
        <v>4743</v>
      </c>
      <c r="D237" s="145" t="s">
        <v>4744</v>
      </c>
      <c r="E237" s="145" t="s">
        <v>5807</v>
      </c>
      <c r="F237" s="145" t="s">
        <v>5808</v>
      </c>
      <c r="G237" s="145" t="s">
        <v>5809</v>
      </c>
      <c r="H237" s="145" t="s">
        <v>5810</v>
      </c>
      <c r="I237" s="145" t="s">
        <v>4749</v>
      </c>
    </row>
    <row r="238" customFormat="false" ht="76" hidden="false" customHeight="true" outlineLevel="0" collapsed="false">
      <c r="A238" s="145" t="s">
        <v>4610</v>
      </c>
      <c r="B238" s="145" t="s">
        <v>4933</v>
      </c>
      <c r="C238" s="145" t="s">
        <v>4743</v>
      </c>
      <c r="D238" s="145" t="s">
        <v>4744</v>
      </c>
      <c r="E238" s="145" t="s">
        <v>5811</v>
      </c>
      <c r="F238" s="145" t="s">
        <v>5812</v>
      </c>
      <c r="G238" s="145" t="s">
        <v>5813</v>
      </c>
      <c r="H238" s="145" t="s">
        <v>5814</v>
      </c>
      <c r="I238" s="145" t="s">
        <v>4749</v>
      </c>
    </row>
    <row r="239" customFormat="false" ht="76" hidden="false" customHeight="true" outlineLevel="0" collapsed="false">
      <c r="A239" s="145" t="s">
        <v>4610</v>
      </c>
      <c r="B239" s="145" t="s">
        <v>4933</v>
      </c>
      <c r="C239" s="145" t="s">
        <v>4743</v>
      </c>
      <c r="D239" s="145" t="s">
        <v>4744</v>
      </c>
      <c r="E239" s="145" t="s">
        <v>5815</v>
      </c>
      <c r="F239" s="145" t="s">
        <v>5816</v>
      </c>
      <c r="G239" s="145" t="s">
        <v>5817</v>
      </c>
      <c r="H239" s="145" t="s">
        <v>5818</v>
      </c>
      <c r="I239" s="145" t="s">
        <v>4749</v>
      </c>
    </row>
    <row r="240" customFormat="false" ht="76" hidden="false" customHeight="true" outlineLevel="0" collapsed="false">
      <c r="A240" s="145" t="s">
        <v>4610</v>
      </c>
      <c r="B240" s="145" t="s">
        <v>4933</v>
      </c>
      <c r="C240" s="145" t="s">
        <v>4743</v>
      </c>
      <c r="D240" s="145" t="s">
        <v>4744</v>
      </c>
      <c r="E240" s="145" t="s">
        <v>5819</v>
      </c>
      <c r="F240" s="145" t="s">
        <v>5820</v>
      </c>
      <c r="G240" s="145" t="s">
        <v>5821</v>
      </c>
      <c r="H240" s="145" t="s">
        <v>5822</v>
      </c>
      <c r="I240" s="145" t="s">
        <v>4749</v>
      </c>
    </row>
    <row r="241" customFormat="false" ht="76" hidden="false" customHeight="true" outlineLevel="0" collapsed="false">
      <c r="A241" s="145" t="s">
        <v>4610</v>
      </c>
      <c r="B241" s="145" t="s">
        <v>4066</v>
      </c>
      <c r="C241" s="145" t="s">
        <v>4743</v>
      </c>
      <c r="D241" s="145" t="s">
        <v>4744</v>
      </c>
      <c r="E241" s="145" t="s">
        <v>4954</v>
      </c>
      <c r="F241" s="145" t="s">
        <v>5823</v>
      </c>
      <c r="G241" s="145" t="s">
        <v>5824</v>
      </c>
      <c r="H241" s="145" t="s">
        <v>4957</v>
      </c>
      <c r="I241" s="145" t="s">
        <v>4749</v>
      </c>
    </row>
    <row r="242" customFormat="false" ht="84" hidden="false" customHeight="true" outlineLevel="0" collapsed="false">
      <c r="A242" s="145" t="s">
        <v>4625</v>
      </c>
      <c r="B242" s="145" t="s">
        <v>4742</v>
      </c>
      <c r="C242" s="145" t="s">
        <v>4743</v>
      </c>
      <c r="D242" s="145" t="s">
        <v>4744</v>
      </c>
      <c r="E242" s="145" t="s">
        <v>5825</v>
      </c>
      <c r="F242" s="145" t="s">
        <v>5826</v>
      </c>
      <c r="G242" s="145" t="s">
        <v>5827</v>
      </c>
      <c r="H242" s="145" t="s">
        <v>5828</v>
      </c>
      <c r="I242" s="145" t="s">
        <v>4749</v>
      </c>
    </row>
    <row r="243" customFormat="false" ht="84" hidden="false" customHeight="true" outlineLevel="0" collapsed="false">
      <c r="A243" s="145" t="s">
        <v>4625</v>
      </c>
      <c r="B243" s="145" t="s">
        <v>4742</v>
      </c>
      <c r="C243" s="145" t="s">
        <v>4743</v>
      </c>
      <c r="D243" s="145" t="s">
        <v>4744</v>
      </c>
      <c r="E243" s="145" t="s">
        <v>5829</v>
      </c>
      <c r="F243" s="145" t="s">
        <v>5830</v>
      </c>
      <c r="G243" s="145" t="s">
        <v>5831</v>
      </c>
      <c r="H243" s="145" t="s">
        <v>5832</v>
      </c>
      <c r="I243" s="145" t="s">
        <v>4749</v>
      </c>
    </row>
    <row r="244" customFormat="false" ht="84" hidden="false" customHeight="true" outlineLevel="0" collapsed="false">
      <c r="A244" s="145" t="s">
        <v>4625</v>
      </c>
      <c r="B244" s="145" t="s">
        <v>4742</v>
      </c>
      <c r="C244" s="145" t="s">
        <v>4743</v>
      </c>
      <c r="D244" s="145" t="s">
        <v>4744</v>
      </c>
      <c r="E244" s="145" t="s">
        <v>5833</v>
      </c>
      <c r="F244" s="145" t="s">
        <v>5834</v>
      </c>
      <c r="G244" s="145" t="s">
        <v>5835</v>
      </c>
      <c r="H244" s="145" t="s">
        <v>5836</v>
      </c>
      <c r="I244" s="145" t="s">
        <v>4749</v>
      </c>
    </row>
    <row r="245" customFormat="false" ht="84" hidden="false" customHeight="true" outlineLevel="0" collapsed="false">
      <c r="A245" s="145" t="s">
        <v>4625</v>
      </c>
      <c r="B245" s="145" t="s">
        <v>4742</v>
      </c>
      <c r="C245" s="145" t="s">
        <v>4743</v>
      </c>
      <c r="D245" s="145" t="s">
        <v>4744</v>
      </c>
      <c r="E245" s="145" t="s">
        <v>5837</v>
      </c>
      <c r="F245" s="145" t="s">
        <v>5838</v>
      </c>
      <c r="G245" s="145" t="s">
        <v>5839</v>
      </c>
      <c r="H245" s="145" t="s">
        <v>5840</v>
      </c>
      <c r="I245" s="145" t="s">
        <v>4749</v>
      </c>
    </row>
    <row r="246" customFormat="false" ht="98" hidden="false" customHeight="true" outlineLevel="0" collapsed="false">
      <c r="A246" s="145" t="s">
        <v>4625</v>
      </c>
      <c r="B246" s="145" t="s">
        <v>4742</v>
      </c>
      <c r="C246" s="145" t="s">
        <v>4743</v>
      </c>
      <c r="D246" s="145" t="s">
        <v>4744</v>
      </c>
      <c r="E246" s="145" t="s">
        <v>5841</v>
      </c>
      <c r="F246" s="145" t="s">
        <v>5842</v>
      </c>
      <c r="G246" s="145" t="s">
        <v>5843</v>
      </c>
      <c r="H246" s="145" t="s">
        <v>5844</v>
      </c>
      <c r="I246" s="145" t="s">
        <v>4749</v>
      </c>
    </row>
    <row r="247" customFormat="false" ht="84" hidden="false" customHeight="true" outlineLevel="0" collapsed="false">
      <c r="A247" s="145" t="s">
        <v>4625</v>
      </c>
      <c r="B247" s="145" t="s">
        <v>4742</v>
      </c>
      <c r="C247" s="145" t="s">
        <v>4743</v>
      </c>
      <c r="D247" s="145" t="s">
        <v>4744</v>
      </c>
      <c r="E247" s="145" t="s">
        <v>5845</v>
      </c>
      <c r="F247" s="145" t="s">
        <v>5846</v>
      </c>
      <c r="G247" s="145" t="s">
        <v>5847</v>
      </c>
      <c r="H247" s="145" t="s">
        <v>5848</v>
      </c>
      <c r="I247" s="145" t="s">
        <v>4749</v>
      </c>
    </row>
    <row r="248" customFormat="false" ht="84" hidden="false" customHeight="true" outlineLevel="0" collapsed="false">
      <c r="A248" s="145" t="s">
        <v>4625</v>
      </c>
      <c r="B248" s="145" t="s">
        <v>4782</v>
      </c>
      <c r="C248" s="145" t="s">
        <v>4743</v>
      </c>
      <c r="D248" s="145" t="s">
        <v>5849</v>
      </c>
      <c r="E248" s="145" t="s">
        <v>5850</v>
      </c>
      <c r="F248" s="145" t="s">
        <v>5851</v>
      </c>
      <c r="G248" s="145" t="s">
        <v>5852</v>
      </c>
      <c r="H248" s="145" t="s">
        <v>5853</v>
      </c>
      <c r="I248" s="145" t="s">
        <v>4749</v>
      </c>
    </row>
    <row r="249" customFormat="false" ht="98" hidden="false" customHeight="true" outlineLevel="0" collapsed="false">
      <c r="A249" s="145" t="s">
        <v>4625</v>
      </c>
      <c r="B249" s="145" t="s">
        <v>4782</v>
      </c>
      <c r="C249" s="145" t="s">
        <v>4743</v>
      </c>
      <c r="D249" s="145" t="s">
        <v>5854</v>
      </c>
      <c r="E249" s="145" t="s">
        <v>5855</v>
      </c>
      <c r="F249" s="145" t="s">
        <v>5856</v>
      </c>
      <c r="G249" s="145" t="s">
        <v>5857</v>
      </c>
      <c r="H249" s="145" t="s">
        <v>5858</v>
      </c>
      <c r="I249" s="145" t="s">
        <v>4749</v>
      </c>
    </row>
    <row r="250" customFormat="false" ht="112" hidden="false" customHeight="true" outlineLevel="0" collapsed="false">
      <c r="A250" s="145" t="s">
        <v>4625</v>
      </c>
      <c r="B250" s="145" t="s">
        <v>4793</v>
      </c>
      <c r="C250" s="145" t="s">
        <v>4743</v>
      </c>
      <c r="D250" s="145" t="s">
        <v>4744</v>
      </c>
      <c r="E250" s="145" t="s">
        <v>5859</v>
      </c>
      <c r="F250" s="145" t="s">
        <v>5860</v>
      </c>
      <c r="G250" s="145" t="s">
        <v>5861</v>
      </c>
      <c r="H250" s="145" t="s">
        <v>5862</v>
      </c>
      <c r="I250" s="145" t="s">
        <v>4749</v>
      </c>
    </row>
    <row r="251" customFormat="false" ht="76" hidden="false" customHeight="true" outlineLevel="0" collapsed="false">
      <c r="A251" s="145" t="s">
        <v>4625</v>
      </c>
      <c r="B251" s="145" t="s">
        <v>4798</v>
      </c>
      <c r="C251" s="145" t="s">
        <v>4743</v>
      </c>
      <c r="D251" s="145" t="s">
        <v>5863</v>
      </c>
      <c r="E251" s="145" t="s">
        <v>5864</v>
      </c>
      <c r="F251" s="145" t="s">
        <v>5865</v>
      </c>
      <c r="G251" s="145" t="s">
        <v>5866</v>
      </c>
      <c r="H251" s="145" t="s">
        <v>5867</v>
      </c>
      <c r="I251" s="145" t="s">
        <v>4749</v>
      </c>
    </row>
    <row r="252" customFormat="false" ht="76" hidden="false" customHeight="true" outlineLevel="0" collapsed="false">
      <c r="A252" s="145" t="s">
        <v>4625</v>
      </c>
      <c r="B252" s="145" t="s">
        <v>4798</v>
      </c>
      <c r="C252" s="145" t="s">
        <v>4743</v>
      </c>
      <c r="D252" s="145" t="s">
        <v>5868</v>
      </c>
      <c r="E252" s="145" t="s">
        <v>5869</v>
      </c>
      <c r="F252" s="145" t="s">
        <v>5870</v>
      </c>
      <c r="G252" s="145" t="s">
        <v>5871</v>
      </c>
      <c r="H252" s="145" t="s">
        <v>5872</v>
      </c>
      <c r="I252" s="145" t="s">
        <v>4749</v>
      </c>
    </row>
    <row r="253" customFormat="false" ht="76" hidden="false" customHeight="true" outlineLevel="0" collapsed="false">
      <c r="A253" s="145" t="s">
        <v>4625</v>
      </c>
      <c r="B253" s="145" t="s">
        <v>4798</v>
      </c>
      <c r="C253" s="145" t="s">
        <v>4743</v>
      </c>
      <c r="D253" s="145" t="s">
        <v>5873</v>
      </c>
      <c r="E253" s="145" t="s">
        <v>5874</v>
      </c>
      <c r="F253" s="145" t="s">
        <v>5875</v>
      </c>
      <c r="G253" s="145" t="s">
        <v>5876</v>
      </c>
      <c r="H253" s="145" t="s">
        <v>5877</v>
      </c>
      <c r="I253" s="145" t="s">
        <v>4749</v>
      </c>
    </row>
    <row r="254" customFormat="false" ht="76" hidden="false" customHeight="true" outlineLevel="0" collapsed="false">
      <c r="A254" s="145" t="s">
        <v>4625</v>
      </c>
      <c r="B254" s="145" t="s">
        <v>4798</v>
      </c>
      <c r="C254" s="145" t="s">
        <v>4743</v>
      </c>
      <c r="D254" s="145" t="s">
        <v>5878</v>
      </c>
      <c r="E254" s="145" t="s">
        <v>5879</v>
      </c>
      <c r="F254" s="145" t="s">
        <v>5880</v>
      </c>
      <c r="G254" s="145" t="s">
        <v>5881</v>
      </c>
      <c r="H254" s="145" t="s">
        <v>5882</v>
      </c>
      <c r="I254" s="145" t="s">
        <v>4749</v>
      </c>
    </row>
    <row r="255" customFormat="false" ht="76" hidden="false" customHeight="true" outlineLevel="0" collapsed="false">
      <c r="A255" s="145" t="s">
        <v>4625</v>
      </c>
      <c r="B255" s="145" t="s">
        <v>4798</v>
      </c>
      <c r="C255" s="145" t="s">
        <v>4743</v>
      </c>
      <c r="D255" s="145" t="s">
        <v>5883</v>
      </c>
      <c r="E255" s="145" t="s">
        <v>5884</v>
      </c>
      <c r="F255" s="145" t="s">
        <v>5885</v>
      </c>
      <c r="G255" s="145" t="s">
        <v>5886</v>
      </c>
      <c r="H255" s="145" t="s">
        <v>5887</v>
      </c>
      <c r="I255" s="145" t="s">
        <v>4749</v>
      </c>
    </row>
    <row r="256" customFormat="false" ht="76" hidden="false" customHeight="true" outlineLevel="0" collapsed="false">
      <c r="A256" s="145" t="s">
        <v>4625</v>
      </c>
      <c r="B256" s="145" t="s">
        <v>4798</v>
      </c>
      <c r="C256" s="145" t="s">
        <v>4743</v>
      </c>
      <c r="D256" s="145" t="s">
        <v>5888</v>
      </c>
      <c r="E256" s="145" t="s">
        <v>5889</v>
      </c>
      <c r="F256" s="145" t="s">
        <v>5890</v>
      </c>
      <c r="G256" s="145" t="s">
        <v>5891</v>
      </c>
      <c r="H256" s="145" t="s">
        <v>5892</v>
      </c>
      <c r="I256" s="145" t="s">
        <v>4749</v>
      </c>
    </row>
    <row r="257" customFormat="false" ht="76" hidden="false" customHeight="true" outlineLevel="0" collapsed="false">
      <c r="A257" s="145" t="s">
        <v>4625</v>
      </c>
      <c r="B257" s="145" t="s">
        <v>4920</v>
      </c>
      <c r="C257" s="145" t="s">
        <v>4743</v>
      </c>
      <c r="D257" s="145" t="s">
        <v>5849</v>
      </c>
      <c r="E257" s="145" t="s">
        <v>5893</v>
      </c>
      <c r="F257" s="145" t="s">
        <v>5894</v>
      </c>
      <c r="G257" s="145" t="s">
        <v>5895</v>
      </c>
      <c r="H257" s="145" t="s">
        <v>5896</v>
      </c>
      <c r="I257" s="145" t="s">
        <v>4749</v>
      </c>
    </row>
    <row r="258" customFormat="false" ht="76" hidden="false" customHeight="true" outlineLevel="0" collapsed="false">
      <c r="A258" s="145" t="s">
        <v>4625</v>
      </c>
      <c r="B258" s="145" t="s">
        <v>4842</v>
      </c>
      <c r="C258" s="145" t="s">
        <v>4743</v>
      </c>
      <c r="D258" s="145" t="s">
        <v>4744</v>
      </c>
      <c r="E258" s="145" t="s">
        <v>5897</v>
      </c>
      <c r="F258" s="145" t="s">
        <v>5898</v>
      </c>
      <c r="G258" s="145" t="s">
        <v>5899</v>
      </c>
      <c r="H258" s="145" t="s">
        <v>5900</v>
      </c>
      <c r="I258" s="145" t="s">
        <v>4749</v>
      </c>
    </row>
    <row r="259" customFormat="false" ht="76" hidden="false" customHeight="true" outlineLevel="0" collapsed="false">
      <c r="A259" s="145" t="s">
        <v>4625</v>
      </c>
      <c r="B259" s="145" t="s">
        <v>4842</v>
      </c>
      <c r="C259" s="145" t="s">
        <v>4743</v>
      </c>
      <c r="D259" s="145" t="s">
        <v>4744</v>
      </c>
      <c r="E259" s="145" t="s">
        <v>5901</v>
      </c>
      <c r="F259" s="145" t="s">
        <v>5902</v>
      </c>
      <c r="G259" s="145" t="s">
        <v>5903</v>
      </c>
      <c r="H259" s="145" t="s">
        <v>5904</v>
      </c>
      <c r="I259" s="145" t="s">
        <v>4749</v>
      </c>
    </row>
    <row r="260" customFormat="false" ht="76" hidden="false" customHeight="true" outlineLevel="0" collapsed="false">
      <c r="A260" s="145" t="s">
        <v>4625</v>
      </c>
      <c r="B260" s="145" t="s">
        <v>4842</v>
      </c>
      <c r="C260" s="145" t="s">
        <v>4743</v>
      </c>
      <c r="D260" s="145" t="s">
        <v>4744</v>
      </c>
      <c r="E260" s="145" t="s">
        <v>5905</v>
      </c>
      <c r="F260" s="145" t="s">
        <v>5906</v>
      </c>
      <c r="G260" s="145" t="s">
        <v>5907</v>
      </c>
      <c r="H260" s="145" t="s">
        <v>5908</v>
      </c>
      <c r="I260" s="145" t="s">
        <v>4749</v>
      </c>
    </row>
    <row r="261" customFormat="false" ht="98" hidden="false" customHeight="true" outlineLevel="0" collapsed="false">
      <c r="A261" s="145" t="s">
        <v>4625</v>
      </c>
      <c r="B261" s="145" t="s">
        <v>4859</v>
      </c>
      <c r="C261" s="145" t="s">
        <v>4630</v>
      </c>
      <c r="D261" s="145" t="s">
        <v>5909</v>
      </c>
      <c r="E261" s="145" t="s">
        <v>5910</v>
      </c>
      <c r="F261" s="145" t="s">
        <v>5911</v>
      </c>
      <c r="G261" s="145" t="s">
        <v>5912</v>
      </c>
      <c r="H261" s="145" t="s">
        <v>5913</v>
      </c>
      <c r="I261" s="145" t="s">
        <v>4749</v>
      </c>
    </row>
    <row r="262" customFormat="false" ht="76" hidden="false" customHeight="true" outlineLevel="0" collapsed="false">
      <c r="A262" s="145" t="s">
        <v>4625</v>
      </c>
      <c r="B262" s="145" t="s">
        <v>4878</v>
      </c>
      <c r="C262" s="145" t="s">
        <v>4743</v>
      </c>
      <c r="D262" s="145" t="s">
        <v>4744</v>
      </c>
      <c r="E262" s="145" t="s">
        <v>5914</v>
      </c>
      <c r="F262" s="145" t="s">
        <v>5915</v>
      </c>
      <c r="G262" s="145" t="s">
        <v>5916</v>
      </c>
      <c r="H262" s="145" t="s">
        <v>5917</v>
      </c>
      <c r="I262" s="145" t="s">
        <v>4749</v>
      </c>
    </row>
    <row r="263" customFormat="false" ht="84" hidden="false" customHeight="true" outlineLevel="0" collapsed="false">
      <c r="A263" s="145" t="s">
        <v>4641</v>
      </c>
      <c r="B263" s="145" t="s">
        <v>4742</v>
      </c>
      <c r="C263" s="145" t="s">
        <v>4743</v>
      </c>
      <c r="D263" s="145" t="s">
        <v>4744</v>
      </c>
      <c r="E263" s="145" t="s">
        <v>5918</v>
      </c>
      <c r="F263" s="145" t="s">
        <v>5919</v>
      </c>
      <c r="G263" s="145" t="s">
        <v>5920</v>
      </c>
      <c r="H263" s="145" t="s">
        <v>5921</v>
      </c>
      <c r="I263" s="145" t="s">
        <v>4749</v>
      </c>
    </row>
    <row r="264" customFormat="false" ht="84" hidden="false" customHeight="true" outlineLevel="0" collapsed="false">
      <c r="A264" s="145" t="s">
        <v>4641</v>
      </c>
      <c r="B264" s="145" t="s">
        <v>4742</v>
      </c>
      <c r="C264" s="145" t="s">
        <v>4743</v>
      </c>
      <c r="D264" s="145" t="s">
        <v>4744</v>
      </c>
      <c r="E264" s="145" t="s">
        <v>5922</v>
      </c>
      <c r="F264" s="145" t="s">
        <v>5923</v>
      </c>
      <c r="G264" s="145" t="s">
        <v>5924</v>
      </c>
      <c r="H264" s="145" t="s">
        <v>5925</v>
      </c>
      <c r="I264" s="145" t="s">
        <v>4749</v>
      </c>
    </row>
    <row r="265" customFormat="false" ht="84" hidden="false" customHeight="true" outlineLevel="0" collapsed="false">
      <c r="A265" s="145" t="s">
        <v>4641</v>
      </c>
      <c r="B265" s="145" t="s">
        <v>4742</v>
      </c>
      <c r="C265" s="145" t="s">
        <v>4743</v>
      </c>
      <c r="D265" s="145" t="s">
        <v>4744</v>
      </c>
      <c r="E265" s="145" t="s">
        <v>5926</v>
      </c>
      <c r="F265" s="145" t="s">
        <v>5927</v>
      </c>
      <c r="G265" s="145" t="s">
        <v>5928</v>
      </c>
      <c r="H265" s="145" t="s">
        <v>5929</v>
      </c>
      <c r="I265" s="145" t="s">
        <v>4749</v>
      </c>
    </row>
    <row r="266" customFormat="false" ht="84" hidden="false" customHeight="true" outlineLevel="0" collapsed="false">
      <c r="A266" s="145" t="s">
        <v>4641</v>
      </c>
      <c r="B266" s="145" t="s">
        <v>4742</v>
      </c>
      <c r="C266" s="145" t="s">
        <v>4743</v>
      </c>
      <c r="D266" s="145" t="s">
        <v>4744</v>
      </c>
      <c r="E266" s="145" t="s">
        <v>5930</v>
      </c>
      <c r="F266" s="145" t="s">
        <v>5931</v>
      </c>
      <c r="G266" s="145" t="s">
        <v>5932</v>
      </c>
      <c r="H266" s="145" t="s">
        <v>5933</v>
      </c>
      <c r="I266" s="145" t="s">
        <v>4749</v>
      </c>
    </row>
    <row r="267" customFormat="false" ht="84" hidden="false" customHeight="true" outlineLevel="0" collapsed="false">
      <c r="A267" s="145" t="s">
        <v>4641</v>
      </c>
      <c r="B267" s="145" t="s">
        <v>4742</v>
      </c>
      <c r="C267" s="145" t="s">
        <v>4743</v>
      </c>
      <c r="D267" s="145" t="s">
        <v>4744</v>
      </c>
      <c r="E267" s="145" t="s">
        <v>5934</v>
      </c>
      <c r="F267" s="145" t="s">
        <v>5935</v>
      </c>
      <c r="G267" s="145" t="s">
        <v>5936</v>
      </c>
      <c r="H267" s="145" t="s">
        <v>5937</v>
      </c>
      <c r="I267" s="145" t="s">
        <v>4749</v>
      </c>
    </row>
    <row r="268" customFormat="false" ht="84" hidden="false" customHeight="true" outlineLevel="0" collapsed="false">
      <c r="A268" s="145" t="s">
        <v>4641</v>
      </c>
      <c r="B268" s="145" t="s">
        <v>4742</v>
      </c>
      <c r="C268" s="145" t="s">
        <v>4743</v>
      </c>
      <c r="D268" s="145" t="s">
        <v>4744</v>
      </c>
      <c r="E268" s="145" t="s">
        <v>5938</v>
      </c>
      <c r="F268" s="145" t="s">
        <v>5939</v>
      </c>
      <c r="G268" s="145" t="s">
        <v>5940</v>
      </c>
      <c r="H268" s="145" t="s">
        <v>5941</v>
      </c>
      <c r="I268" s="145" t="s">
        <v>4749</v>
      </c>
    </row>
    <row r="269" customFormat="false" ht="84" hidden="false" customHeight="true" outlineLevel="0" collapsed="false">
      <c r="A269" s="145" t="s">
        <v>4641</v>
      </c>
      <c r="B269" s="145" t="s">
        <v>4742</v>
      </c>
      <c r="C269" s="145" t="s">
        <v>4743</v>
      </c>
      <c r="D269" s="145" t="s">
        <v>4744</v>
      </c>
      <c r="E269" s="145" t="s">
        <v>5942</v>
      </c>
      <c r="F269" s="145" t="s">
        <v>5943</v>
      </c>
      <c r="G269" s="145" t="s">
        <v>5944</v>
      </c>
      <c r="H269" s="145" t="s">
        <v>5945</v>
      </c>
      <c r="I269" s="145" t="s">
        <v>4749</v>
      </c>
    </row>
    <row r="270" customFormat="false" ht="84" hidden="false" customHeight="true" outlineLevel="0" collapsed="false">
      <c r="A270" s="145" t="s">
        <v>4641</v>
      </c>
      <c r="B270" s="145" t="s">
        <v>4742</v>
      </c>
      <c r="C270" s="145" t="s">
        <v>4743</v>
      </c>
      <c r="D270" s="145" t="s">
        <v>4744</v>
      </c>
      <c r="E270" s="145" t="s">
        <v>5946</v>
      </c>
      <c r="F270" s="145" t="s">
        <v>5947</v>
      </c>
      <c r="G270" s="145" t="s">
        <v>5948</v>
      </c>
      <c r="H270" s="145" t="s">
        <v>5949</v>
      </c>
      <c r="I270" s="145" t="s">
        <v>4749</v>
      </c>
    </row>
    <row r="271" customFormat="false" ht="76" hidden="false" customHeight="true" outlineLevel="0" collapsed="false">
      <c r="A271" s="145" t="s">
        <v>4641</v>
      </c>
      <c r="B271" s="145" t="s">
        <v>4782</v>
      </c>
      <c r="C271" s="145" t="s">
        <v>4743</v>
      </c>
      <c r="D271" s="145" t="s">
        <v>5950</v>
      </c>
      <c r="E271" s="145" t="s">
        <v>5951</v>
      </c>
      <c r="F271" s="145" t="s">
        <v>5952</v>
      </c>
      <c r="G271" s="145" t="s">
        <v>5953</v>
      </c>
      <c r="H271" s="145" t="s">
        <v>5954</v>
      </c>
      <c r="I271" s="145" t="s">
        <v>4749</v>
      </c>
    </row>
    <row r="272" customFormat="false" ht="76" hidden="false" customHeight="true" outlineLevel="0" collapsed="false">
      <c r="A272" s="145" t="s">
        <v>4641</v>
      </c>
      <c r="B272" s="145" t="s">
        <v>4782</v>
      </c>
      <c r="C272" s="145" t="s">
        <v>4743</v>
      </c>
      <c r="D272" s="145" t="s">
        <v>5955</v>
      </c>
      <c r="E272" s="145" t="s">
        <v>5956</v>
      </c>
      <c r="F272" s="145" t="s">
        <v>5957</v>
      </c>
      <c r="G272" s="145" t="s">
        <v>5958</v>
      </c>
      <c r="H272" s="145" t="s">
        <v>5959</v>
      </c>
      <c r="I272" s="145" t="s">
        <v>4749</v>
      </c>
    </row>
    <row r="273" customFormat="false" ht="98" hidden="false" customHeight="true" outlineLevel="0" collapsed="false">
      <c r="A273" s="145" t="s">
        <v>4641</v>
      </c>
      <c r="B273" s="145" t="s">
        <v>4793</v>
      </c>
      <c r="C273" s="145" t="s">
        <v>4743</v>
      </c>
      <c r="D273" s="145" t="s">
        <v>4744</v>
      </c>
      <c r="E273" s="145" t="s">
        <v>5960</v>
      </c>
      <c r="F273" s="145" t="s">
        <v>5961</v>
      </c>
      <c r="G273" s="145" t="s">
        <v>5962</v>
      </c>
      <c r="H273" s="145" t="s">
        <v>5963</v>
      </c>
      <c r="I273" s="145" t="s">
        <v>4749</v>
      </c>
    </row>
    <row r="274" customFormat="false" ht="76" hidden="false" customHeight="true" outlineLevel="0" collapsed="false">
      <c r="A274" s="145" t="s">
        <v>4641</v>
      </c>
      <c r="B274" s="145" t="s">
        <v>4798</v>
      </c>
      <c r="C274" s="145" t="s">
        <v>4743</v>
      </c>
      <c r="D274" s="145" t="s">
        <v>5964</v>
      </c>
      <c r="E274" s="145" t="s">
        <v>5965</v>
      </c>
      <c r="F274" s="145" t="s">
        <v>5966</v>
      </c>
      <c r="G274" s="145" t="s">
        <v>5967</v>
      </c>
      <c r="H274" s="145" t="s">
        <v>5968</v>
      </c>
      <c r="I274" s="145" t="s">
        <v>4749</v>
      </c>
    </row>
    <row r="275" customFormat="false" ht="76" hidden="false" customHeight="true" outlineLevel="0" collapsed="false">
      <c r="A275" s="145" t="s">
        <v>4641</v>
      </c>
      <c r="B275" s="145" t="s">
        <v>4798</v>
      </c>
      <c r="C275" s="145" t="s">
        <v>4743</v>
      </c>
      <c r="D275" s="145" t="s">
        <v>5969</v>
      </c>
      <c r="E275" s="145" t="s">
        <v>5970</v>
      </c>
      <c r="F275" s="145" t="s">
        <v>5971</v>
      </c>
      <c r="G275" s="145" t="s">
        <v>5972</v>
      </c>
      <c r="H275" s="145" t="s">
        <v>5973</v>
      </c>
      <c r="I275" s="145" t="s">
        <v>4749</v>
      </c>
    </row>
    <row r="276" customFormat="false" ht="76" hidden="false" customHeight="true" outlineLevel="0" collapsed="false">
      <c r="A276" s="145" t="s">
        <v>4641</v>
      </c>
      <c r="B276" s="145" t="s">
        <v>4798</v>
      </c>
      <c r="C276" s="145" t="s">
        <v>4743</v>
      </c>
      <c r="D276" s="145" t="s">
        <v>5974</v>
      </c>
      <c r="E276" s="145" t="s">
        <v>5975</v>
      </c>
      <c r="F276" s="145" t="s">
        <v>5976</v>
      </c>
      <c r="G276" s="145" t="s">
        <v>5977</v>
      </c>
      <c r="H276" s="145" t="s">
        <v>5978</v>
      </c>
      <c r="I276" s="145" t="s">
        <v>4749</v>
      </c>
    </row>
    <row r="277" customFormat="false" ht="76" hidden="false" customHeight="true" outlineLevel="0" collapsed="false">
      <c r="A277" s="145" t="s">
        <v>4641</v>
      </c>
      <c r="B277" s="145" t="s">
        <v>4798</v>
      </c>
      <c r="C277" s="145" t="s">
        <v>4743</v>
      </c>
      <c r="D277" s="145" t="s">
        <v>5979</v>
      </c>
      <c r="E277" s="145" t="s">
        <v>5980</v>
      </c>
      <c r="F277" s="145" t="s">
        <v>5981</v>
      </c>
      <c r="G277" s="145" t="s">
        <v>5982</v>
      </c>
      <c r="H277" s="145" t="s">
        <v>5983</v>
      </c>
      <c r="I277" s="145" t="s">
        <v>4749</v>
      </c>
    </row>
    <row r="278" customFormat="false" ht="76" hidden="false" customHeight="true" outlineLevel="0" collapsed="false">
      <c r="A278" s="145" t="s">
        <v>4641</v>
      </c>
      <c r="B278" s="145" t="s">
        <v>4798</v>
      </c>
      <c r="C278" s="145" t="s">
        <v>4743</v>
      </c>
      <c r="D278" s="145" t="s">
        <v>5984</v>
      </c>
      <c r="E278" s="145" t="s">
        <v>5985</v>
      </c>
      <c r="F278" s="145" t="s">
        <v>5986</v>
      </c>
      <c r="G278" s="145" t="s">
        <v>5987</v>
      </c>
      <c r="H278" s="145" t="s">
        <v>5988</v>
      </c>
      <c r="I278" s="145" t="s">
        <v>4749</v>
      </c>
    </row>
    <row r="279" customFormat="false" ht="76" hidden="false" customHeight="true" outlineLevel="0" collapsed="false">
      <c r="A279" s="145" t="s">
        <v>4641</v>
      </c>
      <c r="B279" s="145" t="s">
        <v>4798</v>
      </c>
      <c r="C279" s="145" t="s">
        <v>4743</v>
      </c>
      <c r="D279" s="145" t="s">
        <v>5989</v>
      </c>
      <c r="E279" s="145" t="s">
        <v>5990</v>
      </c>
      <c r="F279" s="145" t="s">
        <v>5991</v>
      </c>
      <c r="G279" s="145" t="s">
        <v>5992</v>
      </c>
      <c r="H279" s="145" t="s">
        <v>5993</v>
      </c>
      <c r="I279" s="145" t="s">
        <v>4749</v>
      </c>
    </row>
    <row r="280" customFormat="false" ht="76" hidden="false" customHeight="true" outlineLevel="0" collapsed="false">
      <c r="A280" s="145" t="s">
        <v>4641</v>
      </c>
      <c r="B280" s="145" t="s">
        <v>4798</v>
      </c>
      <c r="C280" s="145" t="s">
        <v>4743</v>
      </c>
      <c r="D280" s="145" t="s">
        <v>5994</v>
      </c>
      <c r="E280" s="145" t="s">
        <v>5995</v>
      </c>
      <c r="F280" s="145" t="s">
        <v>5996</v>
      </c>
      <c r="G280" s="145" t="s">
        <v>5997</v>
      </c>
      <c r="H280" s="145" t="s">
        <v>5998</v>
      </c>
      <c r="I280" s="145" t="s">
        <v>4749</v>
      </c>
    </row>
    <row r="281" customFormat="false" ht="76" hidden="false" customHeight="true" outlineLevel="0" collapsed="false">
      <c r="A281" s="145" t="s">
        <v>4641</v>
      </c>
      <c r="B281" s="145" t="s">
        <v>4798</v>
      </c>
      <c r="C281" s="145" t="s">
        <v>4743</v>
      </c>
      <c r="D281" s="145" t="s">
        <v>5999</v>
      </c>
      <c r="E281" s="145" t="s">
        <v>6000</v>
      </c>
      <c r="F281" s="145" t="s">
        <v>6001</v>
      </c>
      <c r="G281" s="145" t="s">
        <v>6002</v>
      </c>
      <c r="H281" s="145" t="s">
        <v>6003</v>
      </c>
      <c r="I281" s="145" t="s">
        <v>4749</v>
      </c>
    </row>
    <row r="282" customFormat="false" ht="76" hidden="false" customHeight="true" outlineLevel="0" collapsed="false">
      <c r="A282" s="145" t="s">
        <v>4641</v>
      </c>
      <c r="B282" s="145" t="s">
        <v>4842</v>
      </c>
      <c r="C282" s="145" t="s">
        <v>4743</v>
      </c>
      <c r="D282" s="145" t="s">
        <v>4744</v>
      </c>
      <c r="E282" s="145" t="s">
        <v>6004</v>
      </c>
      <c r="F282" s="145" t="s">
        <v>6005</v>
      </c>
      <c r="G282" s="145" t="s">
        <v>6006</v>
      </c>
      <c r="H282" s="145" t="s">
        <v>6007</v>
      </c>
      <c r="I282" s="145" t="s">
        <v>4749</v>
      </c>
    </row>
    <row r="283" customFormat="false" ht="76" hidden="false" customHeight="true" outlineLevel="0" collapsed="false">
      <c r="A283" s="145" t="s">
        <v>4641</v>
      </c>
      <c r="B283" s="145" t="s">
        <v>4842</v>
      </c>
      <c r="C283" s="145" t="s">
        <v>4743</v>
      </c>
      <c r="D283" s="145" t="s">
        <v>4744</v>
      </c>
      <c r="E283" s="145" t="s">
        <v>6008</v>
      </c>
      <c r="F283" s="145" t="s">
        <v>6009</v>
      </c>
      <c r="G283" s="145" t="s">
        <v>6010</v>
      </c>
      <c r="H283" s="145" t="s">
        <v>6011</v>
      </c>
      <c r="I283" s="145" t="s">
        <v>4749</v>
      </c>
    </row>
    <row r="284" customFormat="false" ht="76" hidden="false" customHeight="true" outlineLevel="0" collapsed="false">
      <c r="A284" s="145" t="s">
        <v>4641</v>
      </c>
      <c r="B284" s="145" t="s">
        <v>4842</v>
      </c>
      <c r="C284" s="145" t="s">
        <v>4743</v>
      </c>
      <c r="D284" s="145" t="s">
        <v>4744</v>
      </c>
      <c r="E284" s="145" t="s">
        <v>6012</v>
      </c>
      <c r="F284" s="145" t="s">
        <v>6013</v>
      </c>
      <c r="G284" s="145" t="s">
        <v>6014</v>
      </c>
      <c r="H284" s="145" t="s">
        <v>6015</v>
      </c>
      <c r="I284" s="145" t="s">
        <v>4749</v>
      </c>
    </row>
    <row r="285" customFormat="false" ht="76" hidden="false" customHeight="true" outlineLevel="0" collapsed="false">
      <c r="A285" s="145" t="s">
        <v>4641</v>
      </c>
      <c r="B285" s="145" t="s">
        <v>4842</v>
      </c>
      <c r="C285" s="145" t="s">
        <v>4743</v>
      </c>
      <c r="D285" s="145" t="s">
        <v>4744</v>
      </c>
      <c r="E285" s="145" t="s">
        <v>6016</v>
      </c>
      <c r="F285" s="145" t="s">
        <v>6017</v>
      </c>
      <c r="G285" s="145" t="s">
        <v>6018</v>
      </c>
      <c r="H285" s="145" t="s">
        <v>6019</v>
      </c>
      <c r="I285" s="145" t="s">
        <v>4749</v>
      </c>
    </row>
    <row r="286" customFormat="false" ht="98" hidden="false" customHeight="true" outlineLevel="0" collapsed="false">
      <c r="A286" s="145" t="s">
        <v>4641</v>
      </c>
      <c r="B286" s="145" t="s">
        <v>4859</v>
      </c>
      <c r="C286" s="145" t="s">
        <v>4646</v>
      </c>
      <c r="D286" s="145" t="s">
        <v>5955</v>
      </c>
      <c r="E286" s="145" t="s">
        <v>6020</v>
      </c>
      <c r="F286" s="145" t="s">
        <v>6021</v>
      </c>
      <c r="G286" s="145" t="s">
        <v>6022</v>
      </c>
      <c r="H286" s="145" t="s">
        <v>6023</v>
      </c>
      <c r="I286" s="145" t="s">
        <v>4749</v>
      </c>
    </row>
    <row r="287" customFormat="false" ht="76" hidden="false" customHeight="true" outlineLevel="0" collapsed="false">
      <c r="A287" s="145" t="s">
        <v>4641</v>
      </c>
      <c r="B287" s="145" t="s">
        <v>4878</v>
      </c>
      <c r="C287" s="145" t="s">
        <v>4743</v>
      </c>
      <c r="D287" s="145" t="s">
        <v>4744</v>
      </c>
      <c r="E287" s="145" t="s">
        <v>6024</v>
      </c>
      <c r="F287" s="145" t="s">
        <v>6025</v>
      </c>
      <c r="G287" s="145" t="s">
        <v>6026</v>
      </c>
      <c r="H287" s="145" t="s">
        <v>6027</v>
      </c>
      <c r="I287" s="145" t="s">
        <v>4749</v>
      </c>
    </row>
    <row r="288" customFormat="false" ht="84" hidden="false" customHeight="true" outlineLevel="0" collapsed="false">
      <c r="A288" s="145" t="s">
        <v>4658</v>
      </c>
      <c r="B288" s="145" t="s">
        <v>4742</v>
      </c>
      <c r="C288" s="145" t="s">
        <v>4743</v>
      </c>
      <c r="D288" s="145" t="s">
        <v>4744</v>
      </c>
      <c r="E288" s="145" t="s">
        <v>6028</v>
      </c>
      <c r="F288" s="145" t="s">
        <v>6029</v>
      </c>
      <c r="G288" s="145" t="s">
        <v>6030</v>
      </c>
      <c r="H288" s="145" t="s">
        <v>6031</v>
      </c>
      <c r="I288" s="145" t="s">
        <v>4749</v>
      </c>
    </row>
    <row r="289" customFormat="false" ht="84" hidden="false" customHeight="true" outlineLevel="0" collapsed="false">
      <c r="A289" s="145" t="s">
        <v>4658</v>
      </c>
      <c r="B289" s="145" t="s">
        <v>4742</v>
      </c>
      <c r="C289" s="145" t="s">
        <v>4743</v>
      </c>
      <c r="D289" s="145" t="s">
        <v>4744</v>
      </c>
      <c r="E289" s="145" t="s">
        <v>6032</v>
      </c>
      <c r="F289" s="145" t="s">
        <v>6033</v>
      </c>
      <c r="G289" s="145" t="s">
        <v>6034</v>
      </c>
      <c r="H289" s="145" t="s">
        <v>6035</v>
      </c>
      <c r="I289" s="145" t="s">
        <v>4749</v>
      </c>
    </row>
    <row r="290" customFormat="false" ht="84" hidden="false" customHeight="true" outlineLevel="0" collapsed="false">
      <c r="A290" s="145" t="s">
        <v>4658</v>
      </c>
      <c r="B290" s="145" t="s">
        <v>4742</v>
      </c>
      <c r="C290" s="145" t="s">
        <v>4743</v>
      </c>
      <c r="D290" s="145" t="s">
        <v>4744</v>
      </c>
      <c r="E290" s="145" t="s">
        <v>6036</v>
      </c>
      <c r="F290" s="145" t="s">
        <v>6037</v>
      </c>
      <c r="G290" s="145" t="s">
        <v>6038</v>
      </c>
      <c r="H290" s="145" t="s">
        <v>6039</v>
      </c>
      <c r="I290" s="145" t="s">
        <v>4749</v>
      </c>
    </row>
    <row r="291" customFormat="false" ht="84" hidden="false" customHeight="true" outlineLevel="0" collapsed="false">
      <c r="A291" s="145" t="s">
        <v>4658</v>
      </c>
      <c r="B291" s="145" t="s">
        <v>4742</v>
      </c>
      <c r="C291" s="145" t="s">
        <v>4743</v>
      </c>
      <c r="D291" s="145" t="s">
        <v>4744</v>
      </c>
      <c r="E291" s="145" t="s">
        <v>6040</v>
      </c>
      <c r="F291" s="145" t="s">
        <v>6041</v>
      </c>
      <c r="G291" s="145" t="s">
        <v>6042</v>
      </c>
      <c r="H291" s="145" t="s">
        <v>6043</v>
      </c>
      <c r="I291" s="145" t="s">
        <v>4749</v>
      </c>
    </row>
    <row r="292" customFormat="false" ht="98" hidden="false" customHeight="true" outlineLevel="0" collapsed="false">
      <c r="A292" s="145" t="s">
        <v>4658</v>
      </c>
      <c r="B292" s="145" t="s">
        <v>4742</v>
      </c>
      <c r="C292" s="145" t="s">
        <v>4743</v>
      </c>
      <c r="D292" s="145" t="s">
        <v>4744</v>
      </c>
      <c r="E292" s="145" t="s">
        <v>6044</v>
      </c>
      <c r="F292" s="145" t="s">
        <v>6045</v>
      </c>
      <c r="G292" s="145" t="s">
        <v>6046</v>
      </c>
      <c r="H292" s="145" t="s">
        <v>6047</v>
      </c>
      <c r="I292" s="145" t="s">
        <v>4749</v>
      </c>
    </row>
    <row r="293" customFormat="false" ht="84" hidden="false" customHeight="true" outlineLevel="0" collapsed="false">
      <c r="A293" s="145" t="s">
        <v>4658</v>
      </c>
      <c r="B293" s="145" t="s">
        <v>4742</v>
      </c>
      <c r="C293" s="145" t="s">
        <v>4743</v>
      </c>
      <c r="D293" s="145" t="s">
        <v>4744</v>
      </c>
      <c r="E293" s="145" t="s">
        <v>6048</v>
      </c>
      <c r="F293" s="145" t="s">
        <v>6049</v>
      </c>
      <c r="G293" s="145" t="s">
        <v>6050</v>
      </c>
      <c r="H293" s="145" t="s">
        <v>6051</v>
      </c>
      <c r="I293" s="145" t="s">
        <v>4749</v>
      </c>
    </row>
    <row r="294" customFormat="false" ht="84" hidden="false" customHeight="true" outlineLevel="0" collapsed="false">
      <c r="A294" s="145" t="s">
        <v>4658</v>
      </c>
      <c r="B294" s="145" t="s">
        <v>4742</v>
      </c>
      <c r="C294" s="145" t="s">
        <v>4743</v>
      </c>
      <c r="D294" s="145" t="s">
        <v>4744</v>
      </c>
      <c r="E294" s="145" t="s">
        <v>6052</v>
      </c>
      <c r="F294" s="145" t="s">
        <v>6053</v>
      </c>
      <c r="G294" s="145" t="s">
        <v>6054</v>
      </c>
      <c r="H294" s="145" t="s">
        <v>6055</v>
      </c>
      <c r="I294" s="145" t="s">
        <v>4749</v>
      </c>
    </row>
    <row r="295" customFormat="false" ht="84" hidden="false" customHeight="true" outlineLevel="0" collapsed="false">
      <c r="A295" s="145" t="s">
        <v>4658</v>
      </c>
      <c r="B295" s="145" t="s">
        <v>4742</v>
      </c>
      <c r="C295" s="145" t="s">
        <v>4743</v>
      </c>
      <c r="D295" s="145" t="s">
        <v>4744</v>
      </c>
      <c r="E295" s="145" t="s">
        <v>6056</v>
      </c>
      <c r="F295" s="145" t="s">
        <v>6057</v>
      </c>
      <c r="G295" s="145" t="s">
        <v>6058</v>
      </c>
      <c r="H295" s="145" t="s">
        <v>6059</v>
      </c>
      <c r="I295" s="145" t="s">
        <v>4749</v>
      </c>
    </row>
    <row r="296" customFormat="false" ht="84" hidden="false" customHeight="true" outlineLevel="0" collapsed="false">
      <c r="A296" s="145" t="s">
        <v>4658</v>
      </c>
      <c r="B296" s="145" t="s">
        <v>4742</v>
      </c>
      <c r="C296" s="145" t="s">
        <v>4743</v>
      </c>
      <c r="D296" s="145" t="s">
        <v>4744</v>
      </c>
      <c r="E296" s="145" t="s">
        <v>6060</v>
      </c>
      <c r="F296" s="145" t="s">
        <v>6061</v>
      </c>
      <c r="G296" s="145" t="s">
        <v>6062</v>
      </c>
      <c r="H296" s="145" t="s">
        <v>6063</v>
      </c>
      <c r="I296" s="145" t="s">
        <v>4749</v>
      </c>
    </row>
    <row r="297" customFormat="false" ht="76" hidden="false" customHeight="true" outlineLevel="0" collapsed="false">
      <c r="A297" s="145" t="s">
        <v>4658</v>
      </c>
      <c r="B297" s="145" t="s">
        <v>4782</v>
      </c>
      <c r="C297" s="145" t="s">
        <v>4743</v>
      </c>
      <c r="D297" s="145" t="s">
        <v>6064</v>
      </c>
      <c r="E297" s="145" t="s">
        <v>6065</v>
      </c>
      <c r="F297" s="145" t="s">
        <v>6066</v>
      </c>
      <c r="G297" s="145" t="s">
        <v>6067</v>
      </c>
      <c r="H297" s="145" t="s">
        <v>6068</v>
      </c>
      <c r="I297" s="145" t="s">
        <v>4749</v>
      </c>
    </row>
    <row r="298" customFormat="false" ht="76" hidden="false" customHeight="true" outlineLevel="0" collapsed="false">
      <c r="A298" s="145" t="s">
        <v>4658</v>
      </c>
      <c r="B298" s="145" t="s">
        <v>4782</v>
      </c>
      <c r="C298" s="145" t="s">
        <v>4743</v>
      </c>
      <c r="D298" s="145" t="s">
        <v>6069</v>
      </c>
      <c r="E298" s="145" t="s">
        <v>6070</v>
      </c>
      <c r="F298" s="145" t="s">
        <v>6071</v>
      </c>
      <c r="G298" s="145" t="s">
        <v>6072</v>
      </c>
      <c r="H298" s="145" t="s">
        <v>6073</v>
      </c>
      <c r="I298" s="145" t="s">
        <v>4749</v>
      </c>
    </row>
    <row r="299" customFormat="false" ht="98" hidden="false" customHeight="true" outlineLevel="0" collapsed="false">
      <c r="A299" s="145" t="s">
        <v>4658</v>
      </c>
      <c r="B299" s="145" t="s">
        <v>4793</v>
      </c>
      <c r="C299" s="145" t="s">
        <v>4743</v>
      </c>
      <c r="D299" s="145" t="s">
        <v>4744</v>
      </c>
      <c r="E299" s="145" t="s">
        <v>6074</v>
      </c>
      <c r="F299" s="145" t="s">
        <v>6075</v>
      </c>
      <c r="G299" s="145" t="s">
        <v>6076</v>
      </c>
      <c r="H299" s="145" t="s">
        <v>6077</v>
      </c>
      <c r="I299" s="145" t="s">
        <v>4749</v>
      </c>
    </row>
    <row r="300" customFormat="false" ht="76" hidden="false" customHeight="true" outlineLevel="0" collapsed="false">
      <c r="A300" s="145" t="s">
        <v>4658</v>
      </c>
      <c r="B300" s="145" t="s">
        <v>4798</v>
      </c>
      <c r="C300" s="145" t="s">
        <v>4743</v>
      </c>
      <c r="D300" s="145" t="s">
        <v>6078</v>
      </c>
      <c r="E300" s="145" t="s">
        <v>6079</v>
      </c>
      <c r="F300" s="145" t="s">
        <v>6080</v>
      </c>
      <c r="G300" s="145" t="s">
        <v>6081</v>
      </c>
      <c r="H300" s="145" t="s">
        <v>6082</v>
      </c>
      <c r="I300" s="145" t="s">
        <v>4749</v>
      </c>
    </row>
    <row r="301" customFormat="false" ht="76" hidden="false" customHeight="true" outlineLevel="0" collapsed="false">
      <c r="A301" s="145" t="s">
        <v>4658</v>
      </c>
      <c r="B301" s="145" t="s">
        <v>4798</v>
      </c>
      <c r="C301" s="145" t="s">
        <v>4743</v>
      </c>
      <c r="D301" s="145" t="s">
        <v>6083</v>
      </c>
      <c r="E301" s="145" t="s">
        <v>6084</v>
      </c>
      <c r="F301" s="145" t="s">
        <v>6085</v>
      </c>
      <c r="G301" s="145" t="s">
        <v>6086</v>
      </c>
      <c r="H301" s="145" t="s">
        <v>6087</v>
      </c>
      <c r="I301" s="145" t="s">
        <v>4749</v>
      </c>
    </row>
    <row r="302" customFormat="false" ht="76" hidden="false" customHeight="true" outlineLevel="0" collapsed="false">
      <c r="A302" s="145" t="s">
        <v>4658</v>
      </c>
      <c r="B302" s="145" t="s">
        <v>4798</v>
      </c>
      <c r="C302" s="145" t="s">
        <v>4743</v>
      </c>
      <c r="D302" s="145" t="s">
        <v>6088</v>
      </c>
      <c r="E302" s="145" t="s">
        <v>6089</v>
      </c>
      <c r="F302" s="145" t="s">
        <v>6090</v>
      </c>
      <c r="G302" s="145" t="s">
        <v>6091</v>
      </c>
      <c r="H302" s="145" t="s">
        <v>6092</v>
      </c>
      <c r="I302" s="145" t="s">
        <v>4749</v>
      </c>
    </row>
    <row r="303" customFormat="false" ht="76" hidden="false" customHeight="true" outlineLevel="0" collapsed="false">
      <c r="A303" s="145" t="s">
        <v>4658</v>
      </c>
      <c r="B303" s="145" t="s">
        <v>4798</v>
      </c>
      <c r="C303" s="145" t="s">
        <v>4743</v>
      </c>
      <c r="D303" s="145" t="s">
        <v>6093</v>
      </c>
      <c r="E303" s="145" t="s">
        <v>6094</v>
      </c>
      <c r="F303" s="145" t="s">
        <v>6095</v>
      </c>
      <c r="G303" s="145" t="s">
        <v>6096</v>
      </c>
      <c r="H303" s="145" t="s">
        <v>6097</v>
      </c>
      <c r="I303" s="145" t="s">
        <v>4749</v>
      </c>
    </row>
    <row r="304" customFormat="false" ht="76" hidden="false" customHeight="true" outlineLevel="0" collapsed="false">
      <c r="A304" s="145" t="s">
        <v>4658</v>
      </c>
      <c r="B304" s="145" t="s">
        <v>4798</v>
      </c>
      <c r="C304" s="145" t="s">
        <v>4743</v>
      </c>
      <c r="D304" s="145" t="s">
        <v>6098</v>
      </c>
      <c r="E304" s="145" t="s">
        <v>6099</v>
      </c>
      <c r="F304" s="145" t="s">
        <v>6100</v>
      </c>
      <c r="G304" s="145" t="s">
        <v>6101</v>
      </c>
      <c r="H304" s="145" t="s">
        <v>6102</v>
      </c>
      <c r="I304" s="145" t="s">
        <v>4749</v>
      </c>
    </row>
    <row r="305" customFormat="false" ht="76" hidden="false" customHeight="true" outlineLevel="0" collapsed="false">
      <c r="A305" s="145" t="s">
        <v>4658</v>
      </c>
      <c r="B305" s="145" t="s">
        <v>4798</v>
      </c>
      <c r="C305" s="145" t="s">
        <v>4743</v>
      </c>
      <c r="D305" s="145" t="s">
        <v>5849</v>
      </c>
      <c r="E305" s="145" t="s">
        <v>6103</v>
      </c>
      <c r="F305" s="145" t="s">
        <v>6104</v>
      </c>
      <c r="G305" s="145" t="s">
        <v>6105</v>
      </c>
      <c r="H305" s="145" t="s">
        <v>6106</v>
      </c>
      <c r="I305" s="145" t="s">
        <v>4749</v>
      </c>
    </row>
    <row r="306" customFormat="false" ht="76" hidden="false" customHeight="true" outlineLevel="0" collapsed="false">
      <c r="A306" s="145" t="s">
        <v>4658</v>
      </c>
      <c r="B306" s="145" t="s">
        <v>4798</v>
      </c>
      <c r="C306" s="145" t="s">
        <v>4743</v>
      </c>
      <c r="D306" s="145" t="s">
        <v>6107</v>
      </c>
      <c r="E306" s="145" t="s">
        <v>6108</v>
      </c>
      <c r="F306" s="145" t="s">
        <v>6109</v>
      </c>
      <c r="G306" s="145" t="s">
        <v>6110</v>
      </c>
      <c r="H306" s="145" t="s">
        <v>6111</v>
      </c>
      <c r="I306" s="145" t="s">
        <v>4749</v>
      </c>
    </row>
    <row r="307" customFormat="false" ht="76" hidden="false" customHeight="true" outlineLevel="0" collapsed="false">
      <c r="A307" s="145" t="s">
        <v>4658</v>
      </c>
      <c r="B307" s="145" t="s">
        <v>4798</v>
      </c>
      <c r="C307" s="145" t="s">
        <v>4743</v>
      </c>
      <c r="D307" s="145" t="s">
        <v>6112</v>
      </c>
      <c r="E307" s="145" t="s">
        <v>6113</v>
      </c>
      <c r="F307" s="145" t="s">
        <v>6114</v>
      </c>
      <c r="G307" s="145" t="s">
        <v>6115</v>
      </c>
      <c r="H307" s="145" t="s">
        <v>6116</v>
      </c>
      <c r="I307" s="145" t="s">
        <v>4749</v>
      </c>
    </row>
    <row r="308" customFormat="false" ht="76" hidden="false" customHeight="true" outlineLevel="0" collapsed="false">
      <c r="A308" s="145" t="s">
        <v>4658</v>
      </c>
      <c r="B308" s="145" t="s">
        <v>4798</v>
      </c>
      <c r="C308" s="145" t="s">
        <v>4743</v>
      </c>
      <c r="D308" s="145" t="s">
        <v>6117</v>
      </c>
      <c r="E308" s="145" t="s">
        <v>6118</v>
      </c>
      <c r="F308" s="145" t="s">
        <v>6119</v>
      </c>
      <c r="G308" s="145" t="s">
        <v>6120</v>
      </c>
      <c r="H308" s="145" t="s">
        <v>6121</v>
      </c>
      <c r="I308" s="145" t="s">
        <v>4749</v>
      </c>
    </row>
    <row r="309" customFormat="false" ht="76" hidden="false" customHeight="true" outlineLevel="0" collapsed="false">
      <c r="A309" s="145" t="s">
        <v>4658</v>
      </c>
      <c r="B309" s="145" t="s">
        <v>4842</v>
      </c>
      <c r="C309" s="145" t="s">
        <v>4743</v>
      </c>
      <c r="D309" s="145" t="s">
        <v>4744</v>
      </c>
      <c r="E309" s="145" t="s">
        <v>6122</v>
      </c>
      <c r="F309" s="145" t="s">
        <v>6123</v>
      </c>
      <c r="G309" s="145" t="s">
        <v>6124</v>
      </c>
      <c r="H309" s="145" t="s">
        <v>6125</v>
      </c>
      <c r="I309" s="145" t="s">
        <v>4749</v>
      </c>
    </row>
    <row r="310" customFormat="false" ht="76" hidden="false" customHeight="true" outlineLevel="0" collapsed="false">
      <c r="A310" s="145" t="s">
        <v>4658</v>
      </c>
      <c r="B310" s="145" t="s">
        <v>4842</v>
      </c>
      <c r="C310" s="145" t="s">
        <v>4743</v>
      </c>
      <c r="D310" s="145" t="s">
        <v>4744</v>
      </c>
      <c r="E310" s="145" t="s">
        <v>6126</v>
      </c>
      <c r="F310" s="145" t="s">
        <v>6127</v>
      </c>
      <c r="G310" s="145" t="s">
        <v>6128</v>
      </c>
      <c r="H310" s="145" t="s">
        <v>6129</v>
      </c>
      <c r="I310" s="145" t="s">
        <v>4749</v>
      </c>
    </row>
    <row r="311" customFormat="false" ht="76" hidden="false" customHeight="true" outlineLevel="0" collapsed="false">
      <c r="A311" s="145" t="s">
        <v>4658</v>
      </c>
      <c r="B311" s="145" t="s">
        <v>4842</v>
      </c>
      <c r="C311" s="145" t="s">
        <v>4743</v>
      </c>
      <c r="D311" s="145" t="s">
        <v>4744</v>
      </c>
      <c r="E311" s="145" t="s">
        <v>6130</v>
      </c>
      <c r="F311" s="145" t="s">
        <v>6131</v>
      </c>
      <c r="G311" s="145" t="s">
        <v>6132</v>
      </c>
      <c r="H311" s="145" t="s">
        <v>6133</v>
      </c>
      <c r="I311" s="145" t="s">
        <v>4749</v>
      </c>
    </row>
    <row r="312" customFormat="false" ht="76" hidden="false" customHeight="true" outlineLevel="0" collapsed="false">
      <c r="A312" s="145" t="s">
        <v>4658</v>
      </c>
      <c r="B312" s="145" t="s">
        <v>4842</v>
      </c>
      <c r="C312" s="145" t="s">
        <v>4743</v>
      </c>
      <c r="D312" s="145" t="s">
        <v>4744</v>
      </c>
      <c r="E312" s="145" t="s">
        <v>6134</v>
      </c>
      <c r="F312" s="145" t="s">
        <v>6135</v>
      </c>
      <c r="G312" s="145" t="s">
        <v>6136</v>
      </c>
      <c r="H312" s="145" t="s">
        <v>6137</v>
      </c>
      <c r="I312" s="145" t="s">
        <v>4749</v>
      </c>
    </row>
    <row r="313" customFormat="false" ht="98" hidden="false" customHeight="true" outlineLevel="0" collapsed="false">
      <c r="A313" s="145" t="s">
        <v>4658</v>
      </c>
      <c r="B313" s="145" t="s">
        <v>4859</v>
      </c>
      <c r="C313" s="145" t="s">
        <v>4663</v>
      </c>
      <c r="D313" s="145" t="s">
        <v>6069</v>
      </c>
      <c r="E313" s="145" t="s">
        <v>6138</v>
      </c>
      <c r="F313" s="145" t="s">
        <v>6139</v>
      </c>
      <c r="G313" s="145" t="s">
        <v>6140</v>
      </c>
      <c r="H313" s="145" t="s">
        <v>6141</v>
      </c>
      <c r="I313" s="145" t="s">
        <v>4749</v>
      </c>
    </row>
    <row r="314" customFormat="false" ht="76" hidden="false" customHeight="true" outlineLevel="0" collapsed="false">
      <c r="A314" s="145" t="s">
        <v>4658</v>
      </c>
      <c r="B314" s="145" t="s">
        <v>4878</v>
      </c>
      <c r="C314" s="145" t="s">
        <v>4743</v>
      </c>
      <c r="D314" s="145" t="s">
        <v>4744</v>
      </c>
      <c r="E314" s="145" t="s">
        <v>6142</v>
      </c>
      <c r="F314" s="145" t="s">
        <v>6143</v>
      </c>
      <c r="G314" s="145" t="s">
        <v>6144</v>
      </c>
      <c r="H314" s="145" t="s">
        <v>6145</v>
      </c>
      <c r="I314" s="145" t="s">
        <v>4749</v>
      </c>
    </row>
    <row r="315" customFormat="false" ht="84" hidden="false" customHeight="true" outlineLevel="0" collapsed="false">
      <c r="A315" s="145" t="s">
        <v>4674</v>
      </c>
      <c r="B315" s="145" t="s">
        <v>4883</v>
      </c>
      <c r="C315" s="145" t="s">
        <v>4678</v>
      </c>
      <c r="D315" s="145" t="s">
        <v>5984</v>
      </c>
      <c r="E315" s="145" t="s">
        <v>6146</v>
      </c>
      <c r="F315" s="145" t="s">
        <v>6147</v>
      </c>
      <c r="G315" s="145" t="s">
        <v>6148</v>
      </c>
      <c r="H315" s="145" t="s">
        <v>6149</v>
      </c>
      <c r="I315" s="145" t="s">
        <v>4749</v>
      </c>
    </row>
    <row r="316" customFormat="false" ht="76" hidden="false" customHeight="true" outlineLevel="0" collapsed="false">
      <c r="A316" s="145" t="s">
        <v>4674</v>
      </c>
      <c r="B316" s="145" t="s">
        <v>4895</v>
      </c>
      <c r="C316" s="145" t="s">
        <v>4743</v>
      </c>
      <c r="D316" s="145" t="s">
        <v>6150</v>
      </c>
      <c r="E316" s="145" t="s">
        <v>6151</v>
      </c>
      <c r="F316" s="145" t="s">
        <v>6152</v>
      </c>
      <c r="G316" s="145" t="s">
        <v>6153</v>
      </c>
      <c r="H316" s="145" t="s">
        <v>6154</v>
      </c>
      <c r="I316" s="145" t="s">
        <v>4749</v>
      </c>
    </row>
    <row r="317" customFormat="false" ht="76" hidden="false" customHeight="true" outlineLevel="0" collapsed="false">
      <c r="A317" s="145" t="s">
        <v>4674</v>
      </c>
      <c r="B317" s="145" t="s">
        <v>4895</v>
      </c>
      <c r="C317" s="145" t="s">
        <v>4743</v>
      </c>
      <c r="D317" s="145" t="s">
        <v>6155</v>
      </c>
      <c r="E317" s="145" t="s">
        <v>6156</v>
      </c>
      <c r="F317" s="145" t="s">
        <v>6157</v>
      </c>
      <c r="G317" s="145" t="s">
        <v>6158</v>
      </c>
      <c r="H317" s="145" t="s">
        <v>6159</v>
      </c>
      <c r="I317" s="145" t="s">
        <v>4749</v>
      </c>
    </row>
    <row r="318" customFormat="false" ht="76" hidden="false" customHeight="true" outlineLevel="0" collapsed="false">
      <c r="A318" s="145" t="s">
        <v>4674</v>
      </c>
      <c r="B318" s="145" t="s">
        <v>4895</v>
      </c>
      <c r="C318" s="145" t="s">
        <v>4743</v>
      </c>
      <c r="D318" s="145" t="s">
        <v>5974</v>
      </c>
      <c r="E318" s="145" t="s">
        <v>6160</v>
      </c>
      <c r="F318" s="145" t="s">
        <v>6161</v>
      </c>
      <c r="G318" s="145" t="s">
        <v>6162</v>
      </c>
      <c r="H318" s="145" t="s">
        <v>6163</v>
      </c>
      <c r="I318" s="145" t="s">
        <v>4749</v>
      </c>
    </row>
    <row r="319" customFormat="false" ht="76" hidden="false" customHeight="true" outlineLevel="0" collapsed="false">
      <c r="A319" s="145" t="s">
        <v>4674</v>
      </c>
      <c r="B319" s="145" t="s">
        <v>4895</v>
      </c>
      <c r="C319" s="145" t="s">
        <v>4743</v>
      </c>
      <c r="D319" s="145" t="s">
        <v>6164</v>
      </c>
      <c r="E319" s="145" t="s">
        <v>6165</v>
      </c>
      <c r="F319" s="145" t="s">
        <v>6166</v>
      </c>
      <c r="G319" s="145" t="s">
        <v>6167</v>
      </c>
      <c r="H319" s="145" t="s">
        <v>6168</v>
      </c>
      <c r="I319" s="145" t="s">
        <v>4749</v>
      </c>
    </row>
    <row r="320" customFormat="false" ht="76" hidden="false" customHeight="true" outlineLevel="0" collapsed="false">
      <c r="A320" s="145" t="s">
        <v>4674</v>
      </c>
      <c r="B320" s="145" t="s">
        <v>4895</v>
      </c>
      <c r="C320" s="145" t="s">
        <v>4743</v>
      </c>
      <c r="D320" s="145" t="s">
        <v>6169</v>
      </c>
      <c r="E320" s="145" t="s">
        <v>6170</v>
      </c>
      <c r="F320" s="145" t="s">
        <v>6171</v>
      </c>
      <c r="G320" s="145" t="s">
        <v>6172</v>
      </c>
      <c r="H320" s="145" t="s">
        <v>6173</v>
      </c>
      <c r="I320" s="145" t="s">
        <v>4749</v>
      </c>
    </row>
    <row r="321" customFormat="false" ht="76" hidden="false" customHeight="true" outlineLevel="0" collapsed="false">
      <c r="A321" s="145" t="s">
        <v>4674</v>
      </c>
      <c r="B321" s="145" t="s">
        <v>4895</v>
      </c>
      <c r="C321" s="145" t="s">
        <v>4743</v>
      </c>
      <c r="D321" s="145" t="s">
        <v>6174</v>
      </c>
      <c r="E321" s="145" t="s">
        <v>6175</v>
      </c>
      <c r="F321" s="145" t="s">
        <v>6176</v>
      </c>
      <c r="G321" s="145" t="s">
        <v>6177</v>
      </c>
      <c r="H321" s="145" t="s">
        <v>6178</v>
      </c>
      <c r="I321" s="145" t="s">
        <v>4749</v>
      </c>
    </row>
    <row r="322" customFormat="false" ht="76" hidden="false" customHeight="true" outlineLevel="0" collapsed="false">
      <c r="A322" s="145" t="s">
        <v>4674</v>
      </c>
      <c r="B322" s="145" t="s">
        <v>4895</v>
      </c>
      <c r="C322" s="145" t="s">
        <v>4743</v>
      </c>
      <c r="D322" s="145" t="s">
        <v>5757</v>
      </c>
      <c r="E322" s="145" t="s">
        <v>6179</v>
      </c>
      <c r="F322" s="145" t="s">
        <v>6180</v>
      </c>
      <c r="G322" s="145" t="s">
        <v>6181</v>
      </c>
      <c r="H322" s="145" t="s">
        <v>6182</v>
      </c>
      <c r="I322" s="145" t="s">
        <v>4749</v>
      </c>
    </row>
    <row r="323" customFormat="false" ht="76" hidden="false" customHeight="true" outlineLevel="0" collapsed="false">
      <c r="A323" s="145" t="s">
        <v>4674</v>
      </c>
      <c r="B323" s="145" t="s">
        <v>4895</v>
      </c>
      <c r="C323" s="145" t="s">
        <v>4743</v>
      </c>
      <c r="D323" s="145" t="s">
        <v>6183</v>
      </c>
      <c r="E323" s="145" t="s">
        <v>6184</v>
      </c>
      <c r="F323" s="145" t="s">
        <v>6185</v>
      </c>
      <c r="G323" s="145" t="s">
        <v>6186</v>
      </c>
      <c r="H323" s="145" t="s">
        <v>6187</v>
      </c>
      <c r="I323" s="145" t="s">
        <v>4749</v>
      </c>
    </row>
    <row r="324" customFormat="false" ht="76" hidden="false" customHeight="true" outlineLevel="0" collapsed="false">
      <c r="A324" s="145" t="s">
        <v>4674</v>
      </c>
      <c r="B324" s="145" t="s">
        <v>4920</v>
      </c>
      <c r="C324" s="145" t="s">
        <v>4743</v>
      </c>
      <c r="D324" s="145" t="s">
        <v>4744</v>
      </c>
      <c r="E324" s="145" t="s">
        <v>6188</v>
      </c>
      <c r="F324" s="145" t="s">
        <v>6189</v>
      </c>
      <c r="G324" s="145" t="s">
        <v>6190</v>
      </c>
      <c r="H324" s="145" t="s">
        <v>6191</v>
      </c>
      <c r="I324" s="145" t="s">
        <v>4749</v>
      </c>
    </row>
    <row r="325" customFormat="false" ht="76" hidden="false" customHeight="true" outlineLevel="0" collapsed="false">
      <c r="A325" s="145" t="s">
        <v>4674</v>
      </c>
      <c r="B325" s="145" t="s">
        <v>4920</v>
      </c>
      <c r="C325" s="145" t="s">
        <v>4743</v>
      </c>
      <c r="D325" s="145" t="s">
        <v>4744</v>
      </c>
      <c r="E325" s="145" t="s">
        <v>6192</v>
      </c>
      <c r="F325" s="145" t="s">
        <v>6193</v>
      </c>
      <c r="G325" s="145" t="s">
        <v>6194</v>
      </c>
      <c r="H325" s="145" t="s">
        <v>6195</v>
      </c>
      <c r="I325" s="145" t="s">
        <v>4749</v>
      </c>
    </row>
    <row r="326" customFormat="false" ht="76" hidden="false" customHeight="true" outlineLevel="0" collapsed="false">
      <c r="A326" s="145" t="s">
        <v>4674</v>
      </c>
      <c r="B326" s="145" t="s">
        <v>4920</v>
      </c>
      <c r="C326" s="145" t="s">
        <v>4743</v>
      </c>
      <c r="D326" s="145" t="s">
        <v>4744</v>
      </c>
      <c r="E326" s="145" t="s">
        <v>6196</v>
      </c>
      <c r="F326" s="145" t="s">
        <v>6197</v>
      </c>
      <c r="G326" s="145" t="s">
        <v>6198</v>
      </c>
      <c r="H326" s="145" t="s">
        <v>6199</v>
      </c>
      <c r="I326" s="145" t="s">
        <v>4749</v>
      </c>
    </row>
    <row r="327" customFormat="false" ht="76" hidden="false" customHeight="true" outlineLevel="0" collapsed="false">
      <c r="A327" s="145" t="s">
        <v>4674</v>
      </c>
      <c r="B327" s="145" t="s">
        <v>4920</v>
      </c>
      <c r="C327" s="145" t="s">
        <v>4743</v>
      </c>
      <c r="D327" s="145" t="s">
        <v>4744</v>
      </c>
      <c r="E327" s="145" t="s">
        <v>6200</v>
      </c>
      <c r="F327" s="145" t="s">
        <v>6201</v>
      </c>
      <c r="G327" s="145" t="s">
        <v>6202</v>
      </c>
      <c r="H327" s="145" t="s">
        <v>6203</v>
      </c>
      <c r="I327" s="145" t="s">
        <v>4749</v>
      </c>
    </row>
    <row r="328" customFormat="false" ht="76" hidden="false" customHeight="true" outlineLevel="0" collapsed="false">
      <c r="A328" s="145" t="s">
        <v>4674</v>
      </c>
      <c r="B328" s="145" t="s">
        <v>4933</v>
      </c>
      <c r="C328" s="145" t="s">
        <v>4743</v>
      </c>
      <c r="D328" s="145" t="s">
        <v>4744</v>
      </c>
      <c r="E328" s="145" t="s">
        <v>6204</v>
      </c>
      <c r="F328" s="145" t="s">
        <v>6205</v>
      </c>
      <c r="G328" s="145" t="s">
        <v>6206</v>
      </c>
      <c r="H328" s="145" t="s">
        <v>6207</v>
      </c>
      <c r="I328" s="145" t="s">
        <v>4749</v>
      </c>
    </row>
    <row r="329" customFormat="false" ht="76" hidden="false" customHeight="true" outlineLevel="0" collapsed="false">
      <c r="A329" s="145" t="s">
        <v>4674</v>
      </c>
      <c r="B329" s="145" t="s">
        <v>4933</v>
      </c>
      <c r="C329" s="145" t="s">
        <v>4743</v>
      </c>
      <c r="D329" s="145" t="s">
        <v>4744</v>
      </c>
      <c r="E329" s="145" t="s">
        <v>6208</v>
      </c>
      <c r="F329" s="145" t="s">
        <v>6209</v>
      </c>
      <c r="G329" s="145" t="s">
        <v>6210</v>
      </c>
      <c r="H329" s="145" t="s">
        <v>6211</v>
      </c>
      <c r="I329" s="145" t="s">
        <v>4749</v>
      </c>
    </row>
    <row r="330" customFormat="false" ht="76" hidden="false" customHeight="true" outlineLevel="0" collapsed="false">
      <c r="A330" s="145" t="s">
        <v>4674</v>
      </c>
      <c r="B330" s="145" t="s">
        <v>4933</v>
      </c>
      <c r="C330" s="145" t="s">
        <v>4743</v>
      </c>
      <c r="D330" s="145" t="s">
        <v>4744</v>
      </c>
      <c r="E330" s="145" t="s">
        <v>6212</v>
      </c>
      <c r="F330" s="145" t="s">
        <v>6213</v>
      </c>
      <c r="G330" s="145" t="s">
        <v>6214</v>
      </c>
      <c r="H330" s="145" t="s">
        <v>6215</v>
      </c>
      <c r="I330" s="145" t="s">
        <v>4749</v>
      </c>
    </row>
    <row r="331" customFormat="false" ht="76" hidden="false" customHeight="true" outlineLevel="0" collapsed="false">
      <c r="A331" s="145" t="s">
        <v>4674</v>
      </c>
      <c r="B331" s="145" t="s">
        <v>4933</v>
      </c>
      <c r="C331" s="145" t="s">
        <v>4743</v>
      </c>
      <c r="D331" s="145" t="s">
        <v>4744</v>
      </c>
      <c r="E331" s="145" t="s">
        <v>6216</v>
      </c>
      <c r="F331" s="145" t="s">
        <v>6217</v>
      </c>
      <c r="G331" s="145" t="s">
        <v>6218</v>
      </c>
      <c r="H331" s="145" t="s">
        <v>6219</v>
      </c>
      <c r="I331" s="145" t="s">
        <v>4749</v>
      </c>
    </row>
    <row r="332" customFormat="false" ht="76" hidden="false" customHeight="true" outlineLevel="0" collapsed="false">
      <c r="A332" s="145" t="s">
        <v>4674</v>
      </c>
      <c r="B332" s="145" t="s">
        <v>4933</v>
      </c>
      <c r="C332" s="145" t="s">
        <v>4743</v>
      </c>
      <c r="D332" s="145" t="s">
        <v>4744</v>
      </c>
      <c r="E332" s="145" t="s">
        <v>6220</v>
      </c>
      <c r="F332" s="145" t="s">
        <v>6221</v>
      </c>
      <c r="G332" s="145" t="s">
        <v>6222</v>
      </c>
      <c r="H332" s="145" t="s">
        <v>6223</v>
      </c>
      <c r="I332" s="145" t="s">
        <v>4749</v>
      </c>
    </row>
    <row r="333" customFormat="false" ht="76" hidden="false" customHeight="true" outlineLevel="0" collapsed="false">
      <c r="A333" s="145" t="s">
        <v>4674</v>
      </c>
      <c r="B333" s="145" t="s">
        <v>4933</v>
      </c>
      <c r="C333" s="145" t="s">
        <v>4743</v>
      </c>
      <c r="D333" s="145" t="s">
        <v>4744</v>
      </c>
      <c r="E333" s="145" t="s">
        <v>6224</v>
      </c>
      <c r="F333" s="145" t="s">
        <v>6225</v>
      </c>
      <c r="G333" s="145" t="s">
        <v>6226</v>
      </c>
      <c r="H333" s="145" t="s">
        <v>6227</v>
      </c>
      <c r="I333" s="145" t="s">
        <v>4749</v>
      </c>
    </row>
    <row r="334" customFormat="false" ht="76" hidden="false" customHeight="true" outlineLevel="0" collapsed="false">
      <c r="A334" s="145" t="s">
        <v>4674</v>
      </c>
      <c r="B334" s="145" t="s">
        <v>4933</v>
      </c>
      <c r="C334" s="145" t="s">
        <v>4743</v>
      </c>
      <c r="D334" s="145" t="s">
        <v>4744</v>
      </c>
      <c r="E334" s="145" t="s">
        <v>6228</v>
      </c>
      <c r="F334" s="145" t="s">
        <v>6229</v>
      </c>
      <c r="G334" s="145" t="s">
        <v>6230</v>
      </c>
      <c r="H334" s="145" t="s">
        <v>6231</v>
      </c>
      <c r="I334" s="145" t="s">
        <v>4749</v>
      </c>
    </row>
    <row r="335" customFormat="false" ht="76" hidden="false" customHeight="true" outlineLevel="0" collapsed="false">
      <c r="A335" s="145" t="s">
        <v>4674</v>
      </c>
      <c r="B335" s="145" t="s">
        <v>4933</v>
      </c>
      <c r="C335" s="145" t="s">
        <v>4743</v>
      </c>
      <c r="D335" s="145" t="s">
        <v>4744</v>
      </c>
      <c r="E335" s="145" t="s">
        <v>6232</v>
      </c>
      <c r="F335" s="145" t="s">
        <v>6233</v>
      </c>
      <c r="G335" s="145" t="s">
        <v>6234</v>
      </c>
      <c r="H335" s="145" t="s">
        <v>6235</v>
      </c>
      <c r="I335" s="145" t="s">
        <v>4749</v>
      </c>
    </row>
    <row r="336" customFormat="false" ht="76" hidden="false" customHeight="true" outlineLevel="0" collapsed="false">
      <c r="A336" s="145" t="s">
        <v>4674</v>
      </c>
      <c r="B336" s="145" t="s">
        <v>4066</v>
      </c>
      <c r="C336" s="145" t="s">
        <v>4743</v>
      </c>
      <c r="D336" s="145" t="s">
        <v>4744</v>
      </c>
      <c r="E336" s="145" t="s">
        <v>4954</v>
      </c>
      <c r="F336" s="145" t="s">
        <v>6236</v>
      </c>
      <c r="G336" s="145" t="s">
        <v>6237</v>
      </c>
      <c r="H336" s="145" t="s">
        <v>4957</v>
      </c>
      <c r="I336" s="145" t="s">
        <v>4749</v>
      </c>
    </row>
    <row r="337" customFormat="false" ht="98" hidden="false" customHeight="true" outlineLevel="0" collapsed="false">
      <c r="A337" s="145" t="s">
        <v>4689</v>
      </c>
      <c r="B337" s="145" t="s">
        <v>4742</v>
      </c>
      <c r="C337" s="145" t="s">
        <v>4743</v>
      </c>
      <c r="D337" s="145" t="s">
        <v>4744</v>
      </c>
      <c r="E337" s="145" t="s">
        <v>6238</v>
      </c>
      <c r="F337" s="145" t="s">
        <v>6239</v>
      </c>
      <c r="G337" s="145" t="s">
        <v>6240</v>
      </c>
      <c r="H337" s="145" t="s">
        <v>6241</v>
      </c>
      <c r="I337" s="145" t="s">
        <v>4749</v>
      </c>
    </row>
    <row r="338" customFormat="false" ht="98" hidden="false" customHeight="true" outlineLevel="0" collapsed="false">
      <c r="A338" s="145" t="s">
        <v>4689</v>
      </c>
      <c r="B338" s="145" t="s">
        <v>4742</v>
      </c>
      <c r="C338" s="145" t="s">
        <v>4743</v>
      </c>
      <c r="D338" s="145" t="s">
        <v>4744</v>
      </c>
      <c r="E338" s="145" t="s">
        <v>6242</v>
      </c>
      <c r="F338" s="145" t="s">
        <v>6243</v>
      </c>
      <c r="G338" s="145" t="s">
        <v>6244</v>
      </c>
      <c r="H338" s="145" t="s">
        <v>6245</v>
      </c>
      <c r="I338" s="145" t="s">
        <v>4749</v>
      </c>
    </row>
    <row r="339" customFormat="false" ht="84" hidden="false" customHeight="true" outlineLevel="0" collapsed="false">
      <c r="A339" s="145" t="s">
        <v>4689</v>
      </c>
      <c r="B339" s="145" t="s">
        <v>4742</v>
      </c>
      <c r="C339" s="145" t="s">
        <v>4743</v>
      </c>
      <c r="D339" s="145" t="s">
        <v>4744</v>
      </c>
      <c r="E339" s="145" t="s">
        <v>6246</v>
      </c>
      <c r="F339" s="145" t="s">
        <v>6247</v>
      </c>
      <c r="G339" s="145" t="s">
        <v>6248</v>
      </c>
      <c r="H339" s="145" t="s">
        <v>6249</v>
      </c>
      <c r="I339" s="145" t="s">
        <v>4749</v>
      </c>
    </row>
    <row r="340" customFormat="false" ht="98" hidden="false" customHeight="true" outlineLevel="0" collapsed="false">
      <c r="A340" s="145" t="s">
        <v>4689</v>
      </c>
      <c r="B340" s="145" t="s">
        <v>4742</v>
      </c>
      <c r="C340" s="145" t="s">
        <v>4743</v>
      </c>
      <c r="D340" s="145" t="s">
        <v>4744</v>
      </c>
      <c r="E340" s="145" t="s">
        <v>6250</v>
      </c>
      <c r="F340" s="145" t="s">
        <v>6251</v>
      </c>
      <c r="G340" s="145" t="s">
        <v>6252</v>
      </c>
      <c r="H340" s="145" t="s">
        <v>6253</v>
      </c>
      <c r="I340" s="145" t="s">
        <v>4749</v>
      </c>
    </row>
    <row r="341" customFormat="false" ht="84" hidden="false" customHeight="true" outlineLevel="0" collapsed="false">
      <c r="A341" s="145" t="s">
        <v>4689</v>
      </c>
      <c r="B341" s="145" t="s">
        <v>4742</v>
      </c>
      <c r="C341" s="145" t="s">
        <v>4743</v>
      </c>
      <c r="D341" s="145" t="s">
        <v>4744</v>
      </c>
      <c r="E341" s="145" t="s">
        <v>6254</v>
      </c>
      <c r="F341" s="145" t="s">
        <v>6255</v>
      </c>
      <c r="G341" s="145" t="s">
        <v>6256</v>
      </c>
      <c r="H341" s="145" t="s">
        <v>6257</v>
      </c>
      <c r="I341" s="145" t="s">
        <v>4749</v>
      </c>
    </row>
    <row r="342" customFormat="false" ht="84" hidden="false" customHeight="true" outlineLevel="0" collapsed="false">
      <c r="A342" s="145" t="s">
        <v>4689</v>
      </c>
      <c r="B342" s="145" t="s">
        <v>4742</v>
      </c>
      <c r="C342" s="145" t="s">
        <v>4743</v>
      </c>
      <c r="D342" s="145" t="s">
        <v>4744</v>
      </c>
      <c r="E342" s="145" t="s">
        <v>6258</v>
      </c>
      <c r="F342" s="145" t="s">
        <v>6259</v>
      </c>
      <c r="G342" s="145" t="s">
        <v>6260</v>
      </c>
      <c r="H342" s="145" t="s">
        <v>6261</v>
      </c>
      <c r="I342" s="145" t="s">
        <v>4749</v>
      </c>
    </row>
    <row r="343" customFormat="false" ht="84" hidden="false" customHeight="true" outlineLevel="0" collapsed="false">
      <c r="A343" s="145" t="s">
        <v>4689</v>
      </c>
      <c r="B343" s="145" t="s">
        <v>4742</v>
      </c>
      <c r="C343" s="145" t="s">
        <v>4743</v>
      </c>
      <c r="D343" s="145" t="s">
        <v>4744</v>
      </c>
      <c r="E343" s="145" t="s">
        <v>6262</v>
      </c>
      <c r="F343" s="145" t="s">
        <v>6263</v>
      </c>
      <c r="G343" s="145" t="s">
        <v>6264</v>
      </c>
      <c r="H343" s="145" t="s">
        <v>6265</v>
      </c>
      <c r="I343" s="145" t="s">
        <v>4749</v>
      </c>
    </row>
    <row r="344" customFormat="false" ht="84" hidden="false" customHeight="true" outlineLevel="0" collapsed="false">
      <c r="A344" s="145" t="s">
        <v>4689</v>
      </c>
      <c r="B344" s="145" t="s">
        <v>4742</v>
      </c>
      <c r="C344" s="145" t="s">
        <v>4743</v>
      </c>
      <c r="D344" s="145" t="s">
        <v>4744</v>
      </c>
      <c r="E344" s="145" t="s">
        <v>6266</v>
      </c>
      <c r="F344" s="145" t="s">
        <v>6267</v>
      </c>
      <c r="G344" s="145" t="s">
        <v>6268</v>
      </c>
      <c r="H344" s="145" t="s">
        <v>6269</v>
      </c>
      <c r="I344" s="145" t="s">
        <v>4749</v>
      </c>
    </row>
    <row r="345" customFormat="false" ht="84" hidden="false" customHeight="true" outlineLevel="0" collapsed="false">
      <c r="A345" s="145" t="s">
        <v>4689</v>
      </c>
      <c r="B345" s="145" t="s">
        <v>4742</v>
      </c>
      <c r="C345" s="145" t="s">
        <v>4743</v>
      </c>
      <c r="D345" s="145" t="s">
        <v>4744</v>
      </c>
      <c r="E345" s="145" t="s">
        <v>6270</v>
      </c>
      <c r="F345" s="145" t="s">
        <v>6271</v>
      </c>
      <c r="G345" s="145" t="s">
        <v>6272</v>
      </c>
      <c r="H345" s="145" t="s">
        <v>6273</v>
      </c>
      <c r="I345" s="145" t="s">
        <v>4749</v>
      </c>
    </row>
    <row r="346" customFormat="false" ht="84" hidden="false" customHeight="true" outlineLevel="0" collapsed="false">
      <c r="A346" s="145" t="s">
        <v>4689</v>
      </c>
      <c r="B346" s="145" t="s">
        <v>4742</v>
      </c>
      <c r="C346" s="145" t="s">
        <v>4743</v>
      </c>
      <c r="D346" s="145" t="s">
        <v>4744</v>
      </c>
      <c r="E346" s="145" t="s">
        <v>6274</v>
      </c>
      <c r="F346" s="145" t="s">
        <v>6275</v>
      </c>
      <c r="G346" s="145" t="s">
        <v>6276</v>
      </c>
      <c r="H346" s="145" t="s">
        <v>6277</v>
      </c>
      <c r="I346" s="145" t="s">
        <v>4749</v>
      </c>
    </row>
    <row r="347" customFormat="false" ht="84" hidden="false" customHeight="true" outlineLevel="0" collapsed="false">
      <c r="A347" s="145" t="s">
        <v>4689</v>
      </c>
      <c r="B347" s="145" t="s">
        <v>4782</v>
      </c>
      <c r="C347" s="145" t="s">
        <v>4743</v>
      </c>
      <c r="D347" s="145" t="s">
        <v>5849</v>
      </c>
      <c r="E347" s="145" t="s">
        <v>6278</v>
      </c>
      <c r="F347" s="145" t="s">
        <v>6279</v>
      </c>
      <c r="G347" s="145" t="s">
        <v>6280</v>
      </c>
      <c r="H347" s="145" t="s">
        <v>6281</v>
      </c>
      <c r="I347" s="145" t="s">
        <v>4749</v>
      </c>
    </row>
    <row r="348" customFormat="false" ht="98" hidden="false" customHeight="true" outlineLevel="0" collapsed="false">
      <c r="A348" s="145" t="s">
        <v>4689</v>
      </c>
      <c r="B348" s="145" t="s">
        <v>4793</v>
      </c>
      <c r="C348" s="145" t="s">
        <v>4743</v>
      </c>
      <c r="D348" s="145" t="s">
        <v>4744</v>
      </c>
      <c r="E348" s="145" t="s">
        <v>6282</v>
      </c>
      <c r="F348" s="145" t="s">
        <v>6283</v>
      </c>
      <c r="G348" s="145" t="s">
        <v>6284</v>
      </c>
      <c r="H348" s="145" t="s">
        <v>6285</v>
      </c>
      <c r="I348" s="145" t="s">
        <v>4749</v>
      </c>
    </row>
    <row r="349" customFormat="false" ht="84" hidden="false" customHeight="true" outlineLevel="0" collapsed="false">
      <c r="A349" s="145" t="s">
        <v>4689</v>
      </c>
      <c r="B349" s="145" t="s">
        <v>4859</v>
      </c>
      <c r="C349" s="145" t="s">
        <v>4743</v>
      </c>
      <c r="D349" s="145" t="s">
        <v>5849</v>
      </c>
      <c r="E349" s="145" t="s">
        <v>6286</v>
      </c>
      <c r="F349" s="145" t="s">
        <v>6287</v>
      </c>
      <c r="G349" s="145" t="s">
        <v>6288</v>
      </c>
      <c r="H349" s="145" t="s">
        <v>6289</v>
      </c>
      <c r="I349" s="145" t="s">
        <v>4749</v>
      </c>
    </row>
    <row r="350" customFormat="false" ht="84" hidden="false" customHeight="true" outlineLevel="0" collapsed="false">
      <c r="A350" s="145" t="s">
        <v>4689</v>
      </c>
      <c r="B350" s="145" t="s">
        <v>4878</v>
      </c>
      <c r="C350" s="145" t="s">
        <v>4743</v>
      </c>
      <c r="D350" s="145" t="s">
        <v>4744</v>
      </c>
      <c r="E350" s="145" t="s">
        <v>6290</v>
      </c>
      <c r="F350" s="145" t="s">
        <v>6291</v>
      </c>
      <c r="G350" s="145" t="s">
        <v>6292</v>
      </c>
      <c r="H350" s="145" t="s">
        <v>6293</v>
      </c>
      <c r="I350" s="145" t="s">
        <v>4749</v>
      </c>
    </row>
    <row r="351" customFormat="false" ht="76" hidden="false" customHeight="true" outlineLevel="0" collapsed="false">
      <c r="A351" s="145" t="s">
        <v>4706</v>
      </c>
      <c r="B351" s="145" t="s">
        <v>4895</v>
      </c>
      <c r="C351" s="145" t="s">
        <v>4743</v>
      </c>
      <c r="D351" s="145" t="s">
        <v>6294</v>
      </c>
      <c r="E351" s="145" t="s">
        <v>6295</v>
      </c>
      <c r="F351" s="145" t="s">
        <v>6296</v>
      </c>
      <c r="G351" s="145" t="s">
        <v>6297</v>
      </c>
      <c r="H351" s="145" t="s">
        <v>6298</v>
      </c>
      <c r="I351" s="145" t="s">
        <v>4749</v>
      </c>
    </row>
    <row r="352" customFormat="false" ht="76" hidden="false" customHeight="true" outlineLevel="0" collapsed="false">
      <c r="A352" s="145" t="s">
        <v>4706</v>
      </c>
      <c r="B352" s="145" t="s">
        <v>4895</v>
      </c>
      <c r="C352" s="145" t="s">
        <v>4743</v>
      </c>
      <c r="D352" s="145" t="s">
        <v>6299</v>
      </c>
      <c r="E352" s="145" t="s">
        <v>6300</v>
      </c>
      <c r="F352" s="145" t="s">
        <v>6301</v>
      </c>
      <c r="G352" s="145" t="s">
        <v>6302</v>
      </c>
      <c r="H352" s="145" t="s">
        <v>6303</v>
      </c>
      <c r="I352" s="145" t="s">
        <v>4749</v>
      </c>
    </row>
    <row r="353" customFormat="false" ht="76" hidden="false" customHeight="true" outlineLevel="0" collapsed="false">
      <c r="A353" s="145" t="s">
        <v>4706</v>
      </c>
      <c r="B353" s="145" t="s">
        <v>4895</v>
      </c>
      <c r="C353" s="145" t="s">
        <v>4743</v>
      </c>
      <c r="D353" s="145" t="s">
        <v>5732</v>
      </c>
      <c r="E353" s="145" t="s">
        <v>6304</v>
      </c>
      <c r="F353" s="145" t="s">
        <v>6305</v>
      </c>
      <c r="G353" s="145" t="s">
        <v>6306</v>
      </c>
      <c r="H353" s="145" t="s">
        <v>6307</v>
      </c>
      <c r="I353" s="145" t="s">
        <v>4749</v>
      </c>
    </row>
    <row r="354" customFormat="false" ht="76" hidden="false" customHeight="true" outlineLevel="0" collapsed="false">
      <c r="A354" s="145" t="s">
        <v>4706</v>
      </c>
      <c r="B354" s="145" t="s">
        <v>4895</v>
      </c>
      <c r="C354" s="145" t="s">
        <v>4743</v>
      </c>
      <c r="D354" s="145" t="s">
        <v>5757</v>
      </c>
      <c r="E354" s="145" t="s">
        <v>6308</v>
      </c>
      <c r="F354" s="145" t="s">
        <v>6309</v>
      </c>
      <c r="G354" s="145" t="s">
        <v>6310</v>
      </c>
      <c r="H354" s="145" t="s">
        <v>6311</v>
      </c>
      <c r="I354" s="145" t="s">
        <v>4749</v>
      </c>
    </row>
    <row r="355" customFormat="false" ht="76" hidden="false" customHeight="true" outlineLevel="0" collapsed="false">
      <c r="A355" s="145" t="s">
        <v>4706</v>
      </c>
      <c r="B355" s="145" t="s">
        <v>4895</v>
      </c>
      <c r="C355" s="145" t="s">
        <v>4743</v>
      </c>
      <c r="D355" s="145" t="s">
        <v>6312</v>
      </c>
      <c r="E355" s="145" t="s">
        <v>6313</v>
      </c>
      <c r="F355" s="145" t="s">
        <v>6314</v>
      </c>
      <c r="G355" s="145" t="s">
        <v>6315</v>
      </c>
      <c r="H355" s="145" t="s">
        <v>6316</v>
      </c>
      <c r="I355" s="145" t="s">
        <v>4749</v>
      </c>
    </row>
    <row r="356" customFormat="false" ht="76" hidden="false" customHeight="true" outlineLevel="0" collapsed="false">
      <c r="A356" s="145" t="s">
        <v>4706</v>
      </c>
      <c r="B356" s="145" t="s">
        <v>4895</v>
      </c>
      <c r="C356" s="145" t="s">
        <v>4743</v>
      </c>
      <c r="D356" s="145" t="s">
        <v>6317</v>
      </c>
      <c r="E356" s="145" t="s">
        <v>6318</v>
      </c>
      <c r="F356" s="145" t="s">
        <v>6319</v>
      </c>
      <c r="G356" s="145" t="s">
        <v>6320</v>
      </c>
      <c r="H356" s="145" t="s">
        <v>6321</v>
      </c>
      <c r="I356" s="145" t="s">
        <v>4749</v>
      </c>
    </row>
    <row r="357" customFormat="false" ht="76" hidden="false" customHeight="true" outlineLevel="0" collapsed="false">
      <c r="A357" s="145" t="s">
        <v>4706</v>
      </c>
      <c r="B357" s="145" t="s">
        <v>4895</v>
      </c>
      <c r="C357" s="145" t="s">
        <v>4743</v>
      </c>
      <c r="D357" s="145" t="s">
        <v>6322</v>
      </c>
      <c r="E357" s="145" t="s">
        <v>6323</v>
      </c>
      <c r="F357" s="145" t="s">
        <v>6324</v>
      </c>
      <c r="G357" s="145" t="s">
        <v>6325</v>
      </c>
      <c r="H357" s="145" t="s">
        <v>6326</v>
      </c>
      <c r="I357" s="145" t="s">
        <v>4749</v>
      </c>
    </row>
    <row r="358" customFormat="false" ht="76" hidden="false" customHeight="true" outlineLevel="0" collapsed="false">
      <c r="A358" s="145" t="s">
        <v>4706</v>
      </c>
      <c r="B358" s="145" t="s">
        <v>5502</v>
      </c>
      <c r="C358" s="145" t="s">
        <v>4743</v>
      </c>
      <c r="D358" s="145" t="s">
        <v>4744</v>
      </c>
      <c r="E358" s="145" t="s">
        <v>6327</v>
      </c>
      <c r="F358" s="145" t="s">
        <v>6328</v>
      </c>
      <c r="G358" s="145" t="s">
        <v>6329</v>
      </c>
      <c r="H358" s="145" t="s">
        <v>6330</v>
      </c>
      <c r="I358" s="145" t="s">
        <v>4749</v>
      </c>
    </row>
    <row r="359" customFormat="false" ht="76" hidden="false" customHeight="true" outlineLevel="0" collapsed="false">
      <c r="A359" s="145" t="s">
        <v>4706</v>
      </c>
      <c r="B359" s="145" t="s">
        <v>5502</v>
      </c>
      <c r="C359" s="145" t="s">
        <v>4743</v>
      </c>
      <c r="D359" s="145" t="s">
        <v>4744</v>
      </c>
      <c r="E359" s="145" t="s">
        <v>6331</v>
      </c>
      <c r="F359" s="145" t="s">
        <v>6332</v>
      </c>
      <c r="G359" s="145" t="s">
        <v>6333</v>
      </c>
      <c r="H359" s="145" t="s">
        <v>6334</v>
      </c>
      <c r="I359" s="145" t="s">
        <v>4749</v>
      </c>
    </row>
    <row r="360" customFormat="false" ht="76" hidden="false" customHeight="true" outlineLevel="0" collapsed="false">
      <c r="A360" s="145" t="s">
        <v>4706</v>
      </c>
      <c r="B360" s="145" t="s">
        <v>5502</v>
      </c>
      <c r="C360" s="145" t="s">
        <v>4743</v>
      </c>
      <c r="D360" s="145" t="s">
        <v>4744</v>
      </c>
      <c r="E360" s="145" t="s">
        <v>6335</v>
      </c>
      <c r="F360" s="145" t="s">
        <v>6336</v>
      </c>
      <c r="G360" s="145" t="s">
        <v>6337</v>
      </c>
      <c r="H360" s="145" t="s">
        <v>6338</v>
      </c>
      <c r="I360" s="145" t="s">
        <v>4749</v>
      </c>
    </row>
    <row r="361" customFormat="false" ht="76" hidden="false" customHeight="true" outlineLevel="0" collapsed="false">
      <c r="A361" s="145" t="s">
        <v>4721</v>
      </c>
      <c r="B361" s="145" t="s">
        <v>4895</v>
      </c>
      <c r="C361" s="145" t="s">
        <v>4743</v>
      </c>
      <c r="D361" s="145" t="s">
        <v>5863</v>
      </c>
      <c r="E361" s="145" t="s">
        <v>6339</v>
      </c>
      <c r="F361" s="145" t="s">
        <v>6340</v>
      </c>
      <c r="G361" s="145" t="s">
        <v>6341</v>
      </c>
      <c r="H361" s="145" t="s">
        <v>6342</v>
      </c>
      <c r="I361" s="145" t="s">
        <v>4749</v>
      </c>
    </row>
    <row r="362" customFormat="false" ht="76" hidden="false" customHeight="true" outlineLevel="0" collapsed="false">
      <c r="A362" s="145" t="s">
        <v>4721</v>
      </c>
      <c r="B362" s="145" t="s">
        <v>4895</v>
      </c>
      <c r="C362" s="145" t="s">
        <v>4743</v>
      </c>
      <c r="D362" s="145" t="s">
        <v>6343</v>
      </c>
      <c r="E362" s="145" t="s">
        <v>6344</v>
      </c>
      <c r="F362" s="145" t="s">
        <v>6345</v>
      </c>
      <c r="G362" s="145" t="s">
        <v>6346</v>
      </c>
      <c r="H362" s="145" t="s">
        <v>6347</v>
      </c>
      <c r="I362" s="145" t="s">
        <v>4749</v>
      </c>
    </row>
    <row r="363" customFormat="false" ht="76" hidden="false" customHeight="true" outlineLevel="0" collapsed="false">
      <c r="A363" s="145" t="s">
        <v>4721</v>
      </c>
      <c r="B363" s="145" t="s">
        <v>4895</v>
      </c>
      <c r="C363" s="145" t="s">
        <v>4743</v>
      </c>
      <c r="D363" s="145" t="s">
        <v>6348</v>
      </c>
      <c r="E363" s="145" t="s">
        <v>6349</v>
      </c>
      <c r="F363" s="145" t="s">
        <v>6350</v>
      </c>
      <c r="G363" s="145" t="s">
        <v>6351</v>
      </c>
      <c r="H363" s="145" t="s">
        <v>6352</v>
      </c>
      <c r="I363" s="145" t="s">
        <v>4749</v>
      </c>
    </row>
    <row r="364" customFormat="false" ht="76" hidden="false" customHeight="true" outlineLevel="0" collapsed="false">
      <c r="A364" s="145" t="s">
        <v>4721</v>
      </c>
      <c r="B364" s="145" t="s">
        <v>4895</v>
      </c>
      <c r="C364" s="145" t="s">
        <v>4743</v>
      </c>
      <c r="D364" s="145" t="s">
        <v>6353</v>
      </c>
      <c r="E364" s="145" t="s">
        <v>6354</v>
      </c>
      <c r="F364" s="145" t="s">
        <v>6355</v>
      </c>
      <c r="G364" s="145" t="s">
        <v>6356</v>
      </c>
      <c r="H364" s="145" t="s">
        <v>6357</v>
      </c>
      <c r="I364" s="145" t="s">
        <v>4749</v>
      </c>
    </row>
    <row r="365" customFormat="false" ht="76" hidden="false" customHeight="true" outlineLevel="0" collapsed="false">
      <c r="A365" s="145" t="s">
        <v>4721</v>
      </c>
      <c r="B365" s="145" t="s">
        <v>4895</v>
      </c>
      <c r="C365" s="145" t="s">
        <v>4743</v>
      </c>
      <c r="D365" s="145" t="s">
        <v>6358</v>
      </c>
      <c r="E365" s="145" t="s">
        <v>6359</v>
      </c>
      <c r="F365" s="145" t="s">
        <v>6360</v>
      </c>
      <c r="G365" s="145" t="s">
        <v>6361</v>
      </c>
      <c r="H365" s="145" t="s">
        <v>6362</v>
      </c>
      <c r="I365" s="145" t="s">
        <v>4749</v>
      </c>
    </row>
    <row r="366" customFormat="false" ht="76" hidden="false" customHeight="true" outlineLevel="0" collapsed="false">
      <c r="A366" s="145" t="s">
        <v>4721</v>
      </c>
      <c r="B366" s="145" t="s">
        <v>4895</v>
      </c>
      <c r="C366" s="145" t="s">
        <v>4743</v>
      </c>
      <c r="D366" s="145" t="s">
        <v>6363</v>
      </c>
      <c r="E366" s="145" t="s">
        <v>6364</v>
      </c>
      <c r="F366" s="145" t="s">
        <v>6365</v>
      </c>
      <c r="G366" s="145" t="s">
        <v>6366</v>
      </c>
      <c r="H366" s="145" t="s">
        <v>6367</v>
      </c>
      <c r="I366" s="145" t="s">
        <v>4749</v>
      </c>
    </row>
    <row r="367" customFormat="false" ht="76" hidden="false" customHeight="true" outlineLevel="0" collapsed="false">
      <c r="A367" s="145" t="s">
        <v>4721</v>
      </c>
      <c r="B367" s="145" t="s">
        <v>4895</v>
      </c>
      <c r="C367" s="145" t="s">
        <v>4743</v>
      </c>
      <c r="D367" s="145" t="s">
        <v>6368</v>
      </c>
      <c r="E367" s="145" t="s">
        <v>6369</v>
      </c>
      <c r="F367" s="145" t="s">
        <v>6370</v>
      </c>
      <c r="G367" s="145" t="s">
        <v>6371</v>
      </c>
      <c r="H367" s="145" t="s">
        <v>6372</v>
      </c>
      <c r="I367" s="145" t="s">
        <v>4749</v>
      </c>
    </row>
    <row r="368" customFormat="false" ht="76" hidden="false" customHeight="true" outlineLevel="0" collapsed="false">
      <c r="A368" s="145" t="s">
        <v>4721</v>
      </c>
      <c r="B368" s="145" t="s">
        <v>4895</v>
      </c>
      <c r="C368" s="145" t="s">
        <v>4743</v>
      </c>
      <c r="D368" s="145" t="s">
        <v>6373</v>
      </c>
      <c r="E368" s="145" t="s">
        <v>6374</v>
      </c>
      <c r="F368" s="145" t="s">
        <v>6375</v>
      </c>
      <c r="G368" s="145" t="s">
        <v>6376</v>
      </c>
      <c r="H368" s="145" t="s">
        <v>6377</v>
      </c>
      <c r="I368" s="145" t="s">
        <v>4749</v>
      </c>
    </row>
    <row r="369" customFormat="false" ht="76" hidden="false" customHeight="true" outlineLevel="0" collapsed="false">
      <c r="A369" s="145" t="s">
        <v>4721</v>
      </c>
      <c r="B369" s="145" t="s">
        <v>4895</v>
      </c>
      <c r="C369" s="145" t="s">
        <v>4743</v>
      </c>
      <c r="D369" s="145" t="s">
        <v>6378</v>
      </c>
      <c r="E369" s="145" t="s">
        <v>6379</v>
      </c>
      <c r="F369" s="145" t="s">
        <v>6380</v>
      </c>
      <c r="G369" s="145" t="s">
        <v>6381</v>
      </c>
      <c r="H369" s="145" t="s">
        <v>6382</v>
      </c>
      <c r="I369" s="145" t="s">
        <v>4749</v>
      </c>
    </row>
    <row r="370" customFormat="false" ht="76" hidden="false" customHeight="true" outlineLevel="0" collapsed="false">
      <c r="A370" s="145" t="s">
        <v>4721</v>
      </c>
      <c r="B370" s="145" t="s">
        <v>5502</v>
      </c>
      <c r="C370" s="145" t="s">
        <v>4743</v>
      </c>
      <c r="D370" s="145" t="s">
        <v>4744</v>
      </c>
      <c r="E370" s="145" t="s">
        <v>6383</v>
      </c>
      <c r="F370" s="145" t="s">
        <v>6384</v>
      </c>
      <c r="G370" s="145" t="s">
        <v>6385</v>
      </c>
      <c r="H370" s="145" t="s">
        <v>6386</v>
      </c>
      <c r="I370" s="145" t="s">
        <v>4749</v>
      </c>
    </row>
    <row r="371" customFormat="false" ht="76" hidden="false" customHeight="true" outlineLevel="0" collapsed="false">
      <c r="A371" s="145" t="s">
        <v>4721</v>
      </c>
      <c r="B371" s="145" t="s">
        <v>5502</v>
      </c>
      <c r="C371" s="145" t="s">
        <v>4743</v>
      </c>
      <c r="D371" s="145" t="s">
        <v>4744</v>
      </c>
      <c r="E371" s="145" t="s">
        <v>6387</v>
      </c>
      <c r="F371" s="145" t="s">
        <v>6388</v>
      </c>
      <c r="G371" s="145" t="s">
        <v>6389</v>
      </c>
      <c r="H371" s="145" t="s">
        <v>6390</v>
      </c>
      <c r="I371" s="145" t="s">
        <v>4749</v>
      </c>
    </row>
    <row r="372" customFormat="false" ht="76" hidden="false" customHeight="true" outlineLevel="0" collapsed="false">
      <c r="A372" s="145" t="s">
        <v>4721</v>
      </c>
      <c r="B372" s="145" t="s">
        <v>5502</v>
      </c>
      <c r="C372" s="145" t="s">
        <v>4743</v>
      </c>
      <c r="D372" s="145" t="s">
        <v>4744</v>
      </c>
      <c r="E372" s="145" t="s">
        <v>6391</v>
      </c>
      <c r="F372" s="145" t="s">
        <v>6392</v>
      </c>
      <c r="G372" s="145" t="s">
        <v>6393</v>
      </c>
      <c r="H372" s="145" t="s">
        <v>6394</v>
      </c>
      <c r="I372" s="145" t="s">
        <v>4749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20"/>
    <col collapsed="false" customWidth="true" hidden="false" outlineLevel="0" max="3" min="3" style="0" width="22"/>
    <col collapsed="false" customWidth="true" hidden="false" outlineLevel="0" max="4" min="4" style="0" width="76"/>
    <col collapsed="false" customWidth="true" hidden="false" outlineLevel="0" max="5" min="5" style="0" width="16"/>
    <col collapsed="false" customWidth="true" hidden="false" outlineLevel="0" max="6" min="6" style="0" width="18"/>
    <col collapsed="false" customWidth="true" hidden="false" outlineLevel="0" max="7" min="7" style="0" width="56"/>
    <col collapsed="false" customWidth="true" hidden="false" outlineLevel="0" max="9" min="8" style="0" width="24"/>
    <col collapsed="false" customWidth="true" hidden="false" outlineLevel="0" max="10" min="10" style="0" width="22"/>
    <col collapsed="false" customWidth="true" hidden="false" outlineLevel="0" max="11" min="11" style="0" width="23"/>
    <col collapsed="false" customWidth="true" hidden="false" outlineLevel="0" max="12" min="12" style="0" width="18"/>
    <col collapsed="false" customWidth="true" hidden="false" outlineLevel="0" max="13" min="13" style="0" width="17"/>
    <col collapsed="false" customWidth="true" hidden="false" outlineLevel="0" max="14" min="14" style="0" width="18"/>
    <col collapsed="false" customWidth="true" hidden="false" outlineLevel="0" max="16" min="15" style="0" width="17"/>
    <col collapsed="false" customWidth="true" hidden="false" outlineLevel="0" max="18" min="17" style="0" width="20"/>
    <col collapsed="false" customWidth="true" hidden="false" outlineLevel="0" max="19" min="19" style="0" width="18"/>
    <col collapsed="false" customWidth="true" hidden="false" outlineLevel="0" max="20" min="20" style="0" width="20"/>
    <col collapsed="false" customWidth="true" hidden="false" outlineLevel="0" max="21" min="21" style="0" width="25"/>
    <col collapsed="false" customWidth="true" hidden="false" outlineLevel="0" max="24" min="22" style="0" width="20"/>
    <col collapsed="false" customWidth="true" hidden="false" outlineLevel="0" max="25" min="25" style="0" width="22"/>
    <col collapsed="false" customWidth="true" hidden="false" outlineLevel="0" max="26" min="26" style="0" width="90"/>
    <col collapsed="false" customWidth="true" hidden="false" outlineLevel="0" max="27" min="27" style="0" width="48"/>
    <col collapsed="false" customWidth="true" hidden="false" outlineLevel="0" max="28" min="28" style="0" width="100"/>
    <col collapsed="false" customWidth="true" hidden="false" outlineLevel="0" max="29" min="29" style="0" width="110"/>
    <col collapsed="false" customWidth="true" hidden="false" outlineLevel="0" max="30" min="30" style="0" width="68"/>
    <col collapsed="false" customWidth="true" hidden="false" outlineLevel="0" max="31" min="31" style="0" width="38"/>
    <col collapsed="false" customWidth="true" hidden="false" outlineLevel="0" max="32" min="32" style="0" width="34"/>
    <col collapsed="false" customWidth="true" hidden="false" outlineLevel="0" max="33" min="33" style="0" width="42"/>
    <col collapsed="false" customWidth="true" hidden="false" outlineLevel="0" max="34" min="34" style="0" width="110"/>
    <col collapsed="false" customWidth="true" hidden="false" outlineLevel="0" max="35" min="35" style="0" width="72"/>
  </cols>
  <sheetData>
    <row r="1" customFormat="false" ht="58" hidden="false" customHeight="true" outlineLevel="0" collapsed="false">
      <c r="A1" s="148" t="s">
        <v>6395</v>
      </c>
      <c r="B1" s="148" t="s">
        <v>6396</v>
      </c>
      <c r="C1" s="148" t="s">
        <v>6397</v>
      </c>
      <c r="D1" s="148" t="s">
        <v>3870</v>
      </c>
      <c r="E1" s="148" t="s">
        <v>3882</v>
      </c>
      <c r="F1" s="148" t="s">
        <v>638</v>
      </c>
      <c r="G1" s="148" t="s">
        <v>6398</v>
      </c>
      <c r="H1" s="148" t="s">
        <v>6399</v>
      </c>
      <c r="I1" s="148" t="s">
        <v>6400</v>
      </c>
      <c r="J1" s="148" t="s">
        <v>6401</v>
      </c>
      <c r="K1" s="148" t="s">
        <v>6402</v>
      </c>
      <c r="L1" s="148" t="s">
        <v>6403</v>
      </c>
      <c r="M1" s="148" t="s">
        <v>707</v>
      </c>
      <c r="N1" s="148" t="s">
        <v>3987</v>
      </c>
      <c r="O1" s="148" t="s">
        <v>713</v>
      </c>
      <c r="P1" s="148" t="s">
        <v>754</v>
      </c>
      <c r="Q1" s="148" t="s">
        <v>756</v>
      </c>
      <c r="R1" s="148" t="s">
        <v>758</v>
      </c>
      <c r="S1" s="148" t="s">
        <v>3877</v>
      </c>
      <c r="T1" s="148" t="s">
        <v>762</v>
      </c>
      <c r="U1" s="148" t="s">
        <v>6404</v>
      </c>
      <c r="V1" s="148" t="s">
        <v>6405</v>
      </c>
      <c r="W1" s="148" t="s">
        <v>6406</v>
      </c>
      <c r="X1" s="148" t="s">
        <v>6407</v>
      </c>
      <c r="Y1" s="148" t="s">
        <v>6408</v>
      </c>
      <c r="Z1" s="148" t="s">
        <v>6409</v>
      </c>
      <c r="AA1" s="148" t="s">
        <v>6410</v>
      </c>
      <c r="AB1" s="148" t="s">
        <v>6411</v>
      </c>
      <c r="AC1" s="148" t="s">
        <v>6412</v>
      </c>
      <c r="AD1" s="148" t="s">
        <v>6413</v>
      </c>
      <c r="AE1" s="148" t="s">
        <v>6414</v>
      </c>
      <c r="AF1" s="148" t="s">
        <v>6415</v>
      </c>
      <c r="AG1" s="148" t="s">
        <v>3890</v>
      </c>
      <c r="AH1" s="148" t="s">
        <v>6416</v>
      </c>
      <c r="AI1" s="148" t="s">
        <v>6417</v>
      </c>
    </row>
    <row r="2" customFormat="false" ht="130" hidden="false" customHeight="true" outlineLevel="0" collapsed="false">
      <c r="A2" s="149" t="s">
        <v>6418</v>
      </c>
      <c r="B2" s="149" t="s">
        <v>6419</v>
      </c>
      <c r="C2" s="149" t="s">
        <v>4595</v>
      </c>
      <c r="D2" s="149" t="s">
        <v>3256</v>
      </c>
      <c r="E2" s="150" t="n">
        <v>51</v>
      </c>
      <c r="F2" s="150" t="n">
        <v>17</v>
      </c>
      <c r="G2" s="149" t="s">
        <v>6420</v>
      </c>
      <c r="H2" s="149" t="s">
        <v>3838</v>
      </c>
      <c r="I2" s="149" t="s">
        <v>3826</v>
      </c>
      <c r="J2" s="149" t="s">
        <v>6421</v>
      </c>
      <c r="K2" s="149" t="s">
        <v>4001</v>
      </c>
      <c r="L2" s="150" t="n">
        <v>1</v>
      </c>
      <c r="M2" s="150" t="n">
        <v>0</v>
      </c>
      <c r="N2" s="150" t="n">
        <v>0</v>
      </c>
      <c r="O2" s="150" t="n">
        <v>0</v>
      </c>
      <c r="P2" s="150" t="n">
        <v>0</v>
      </c>
      <c r="Q2" s="150" t="n">
        <v>0</v>
      </c>
      <c r="R2" s="150" t="n">
        <v>0</v>
      </c>
      <c r="S2" s="150" t="n">
        <v>0</v>
      </c>
      <c r="T2" s="150" t="n">
        <v>0</v>
      </c>
      <c r="U2" s="150" t="str">
        <f aca="false">IF(AND(A2&lt;&gt;"",COUNTIF($A$2:$A$5,A2)=1,COUNTIF($C$2:$C$5,C2)=1,D2&lt;&gt;"",E2&gt;0,F2&gt;0,F2&lt;=E2,COUNT(L2:T2)=9,COUNTIF(M2:T2,0)=8,OR(AND(B2="状态纠正",C2="B24-MY-012",H2="needs_review",I2="verified",J2="已全审",K2="已接受",L2=1),AND(B2="比较校验",K2="比较限定",L2=0,OR(AND(C2="B23-MY-003",I2="verified"),AND(OR(C2="B25-MY-006",C2="B25-MY-007"),I2="不计已完成"))))),"范围已接受","范围冲突")</f>
        <v>范围已接受</v>
      </c>
      <c r="V2" s="150" t="n">
        <f aca="false">IF(AND(U2="范围已接受",B2="状态纠正"),1,0)</f>
        <v>1</v>
      </c>
      <c r="W2" s="150" t="n">
        <f aca="false">IF(U2="范围已接受",L2,0)</f>
        <v>1</v>
      </c>
      <c r="X2" s="150" t="n">
        <f aca="false">IF(U2="范围已接受",M2,0)</f>
        <v>0</v>
      </c>
      <c r="Y2" s="150" t="n">
        <f aca="false">IF(U2="范围已接受",N2,0)</f>
        <v>0</v>
      </c>
      <c r="Z2" s="149" t="s">
        <v>6422</v>
      </c>
      <c r="AA2" s="149" t="s">
        <v>6423</v>
      </c>
      <c r="AB2" s="149" t="s">
        <v>6424</v>
      </c>
      <c r="AC2" s="149" t="s">
        <v>6425</v>
      </c>
      <c r="AD2" s="149" t="s">
        <v>6426</v>
      </c>
      <c r="AE2" s="149" t="str">
        <f aca="false">HYPERLINK("https://chatgpt.com/api/library/files/libfile_b66f1f1d5e4c81918a4a8e2b9238a85e/download","下载B28私有纠正元数据包")</f>
        <v>下载B28私有纠正元数据包</v>
      </c>
      <c r="AF2" s="151" t="n">
        <v>46321.8936342593</v>
      </c>
      <c r="AG2" s="149" t="s">
        <v>2608</v>
      </c>
      <c r="AH2" s="149" t="s">
        <v>4599</v>
      </c>
      <c r="AI2" s="149" t="s">
        <v>6427</v>
      </c>
    </row>
    <row r="3" customFormat="false" ht="130" hidden="false" customHeight="true" outlineLevel="0" collapsed="false">
      <c r="A3" s="149" t="s">
        <v>6428</v>
      </c>
      <c r="B3" s="149" t="s">
        <v>630</v>
      </c>
      <c r="C3" s="149" t="s">
        <v>4129</v>
      </c>
      <c r="D3" s="149" t="s">
        <v>2950</v>
      </c>
      <c r="E3" s="150" t="n">
        <v>44</v>
      </c>
      <c r="F3" s="150" t="n">
        <v>16</v>
      </c>
      <c r="G3" s="149" t="s">
        <v>6429</v>
      </c>
      <c r="H3" s="149" t="s">
        <v>3826</v>
      </c>
      <c r="I3" s="149" t="s">
        <v>3826</v>
      </c>
      <c r="J3" s="149" t="s">
        <v>6421</v>
      </c>
      <c r="K3" s="149" t="s">
        <v>6430</v>
      </c>
      <c r="L3" s="150" t="n">
        <v>0</v>
      </c>
      <c r="M3" s="150" t="n">
        <v>0</v>
      </c>
      <c r="N3" s="150" t="n">
        <v>0</v>
      </c>
      <c r="O3" s="150" t="n">
        <v>0</v>
      </c>
      <c r="P3" s="150" t="n">
        <v>0</v>
      </c>
      <c r="Q3" s="150" t="n">
        <v>0</v>
      </c>
      <c r="R3" s="150" t="n">
        <v>0</v>
      </c>
      <c r="S3" s="150" t="n">
        <v>0</v>
      </c>
      <c r="T3" s="150" t="n">
        <v>0</v>
      </c>
      <c r="U3" s="150" t="str">
        <f aca="false">IF(AND(A3&lt;&gt;"",COUNTIF($A$2:$A$5,A3)=1,COUNTIF($C$2:$C$5,C3)=1,D3&lt;&gt;"",E3&gt;0,F3&gt;0,F3&lt;=E3,COUNT(L3:T3)=9,COUNTIF(M3:T3,0)=8,OR(AND(B3="状态纠正",C3="B24-MY-012",H3="needs_review",I3="verified",J3="已全审",K3="已接受",L3=1),AND(B3="比较校验",K3="比较限定",L3=0,OR(AND(C3="B23-MY-003",I3="verified"),AND(OR(C3="B25-MY-006",C3="B25-MY-007"),I3="不计已完成"))))),"范围已接受","范围冲突")</f>
        <v>范围已接受</v>
      </c>
      <c r="V3" s="150" t="n">
        <f aca="false">IF(AND(U3="范围已接受",B3="状态纠正"),1,0)</f>
        <v>0</v>
      </c>
      <c r="W3" s="150" t="n">
        <f aca="false">IF(U3="范围已接受",L3,0)</f>
        <v>0</v>
      </c>
      <c r="X3" s="150" t="n">
        <f aca="false">IF(U3="范围已接受",M3,0)</f>
        <v>0</v>
      </c>
      <c r="Y3" s="150" t="n">
        <f aca="false">IF(U3="范围已接受",N3,0)</f>
        <v>0</v>
      </c>
      <c r="Z3" s="149" t="s">
        <v>6431</v>
      </c>
      <c r="AA3" s="149" t="s">
        <v>6432</v>
      </c>
      <c r="AB3" s="149" t="s">
        <v>6424</v>
      </c>
      <c r="AC3" s="149" t="s">
        <v>6425</v>
      </c>
      <c r="AD3" s="149" t="s">
        <v>6433</v>
      </c>
      <c r="AE3" s="149" t="str">
        <f aca="false">HYPERLINK("https://chatgpt.com/api/library/files/libfile_b66f1f1d5e4c81918a4a8e2b9238a85e/download","下载B28私有纠正元数据包")</f>
        <v>下载B28私有纠正元数据包</v>
      </c>
      <c r="AF3" s="151" t="n">
        <v>46321.8936342593</v>
      </c>
      <c r="AG3" s="149" t="s">
        <v>2608</v>
      </c>
      <c r="AH3" s="149" t="s">
        <v>4133</v>
      </c>
      <c r="AI3" s="149" t="s">
        <v>6427</v>
      </c>
    </row>
    <row r="4" customFormat="false" ht="130" hidden="false" customHeight="true" outlineLevel="0" collapsed="false">
      <c r="A4" s="149" t="s">
        <v>6434</v>
      </c>
      <c r="B4" s="149" t="s">
        <v>630</v>
      </c>
      <c r="C4" s="149" t="s">
        <v>6435</v>
      </c>
      <c r="D4" s="149" t="s">
        <v>3454</v>
      </c>
      <c r="E4" s="150" t="n">
        <v>49</v>
      </c>
      <c r="F4" s="150" t="n">
        <v>6</v>
      </c>
      <c r="G4" s="149" t="s">
        <v>6436</v>
      </c>
      <c r="H4" s="149" t="s">
        <v>6437</v>
      </c>
      <c r="I4" s="149" t="s">
        <v>6438</v>
      </c>
      <c r="J4" s="149" t="s">
        <v>6438</v>
      </c>
      <c r="K4" s="149" t="s">
        <v>6430</v>
      </c>
      <c r="L4" s="150" t="n">
        <v>0</v>
      </c>
      <c r="M4" s="150" t="n">
        <v>0</v>
      </c>
      <c r="N4" s="150" t="n">
        <v>0</v>
      </c>
      <c r="O4" s="150" t="n">
        <v>0</v>
      </c>
      <c r="P4" s="150" t="n">
        <v>0</v>
      </c>
      <c r="Q4" s="150" t="n">
        <v>0</v>
      </c>
      <c r="R4" s="150" t="n">
        <v>0</v>
      </c>
      <c r="S4" s="150" t="n">
        <v>0</v>
      </c>
      <c r="T4" s="150" t="n">
        <v>0</v>
      </c>
      <c r="U4" s="150" t="str">
        <f aca="false">IF(AND(A4&lt;&gt;"",COUNTIF($A$2:$A$5,A4)=1,COUNTIF($C$2:$C$5,C4)=1,D4&lt;&gt;"",E4&gt;0,F4&gt;0,F4&lt;=E4,COUNT(L4:T4)=9,COUNTIF(M4:T4,0)=8,OR(AND(B4="状态纠正",C4="B24-MY-012",H4="needs_review",I4="verified",J4="已全审",K4="已接受",L4=1),AND(B4="比较校验",K4="比较限定",L4=0,OR(AND(C4="B23-MY-003",I4="verified"),AND(OR(C4="B25-MY-006",C4="B25-MY-007"),I4="不计已完成"))))),"范围已接受","范围冲突")</f>
        <v>范围已接受</v>
      </c>
      <c r="V4" s="150" t="n">
        <f aca="false">IF(AND(U4="范围已接受",B4="状态纠正"),1,0)</f>
        <v>0</v>
      </c>
      <c r="W4" s="150" t="n">
        <f aca="false">IF(U4="范围已接受",L4,0)</f>
        <v>0</v>
      </c>
      <c r="X4" s="150" t="n">
        <f aca="false">IF(U4="范围已接受",M4,0)</f>
        <v>0</v>
      </c>
      <c r="Y4" s="150" t="n">
        <f aca="false">IF(U4="范围已接受",N4,0)</f>
        <v>0</v>
      </c>
      <c r="Z4" s="149" t="s">
        <v>6439</v>
      </c>
      <c r="AA4" s="149" t="s">
        <v>6440</v>
      </c>
      <c r="AB4" s="149" t="s">
        <v>6424</v>
      </c>
      <c r="AC4" s="149" t="s">
        <v>6441</v>
      </c>
      <c r="AD4" s="149" t="s">
        <v>6440</v>
      </c>
      <c r="AE4" s="149" t="str">
        <f aca="false">HYPERLINK("https://chatgpt.com/api/library/files/libfile_b66f1f1d5e4c81918a4a8e2b9238a85e/download","下载B28私有纠正元数据包")</f>
        <v>下载B28私有纠正元数据包</v>
      </c>
      <c r="AF4" s="151" t="n">
        <v>46321.8936342593</v>
      </c>
      <c r="AG4" s="149" t="s">
        <v>2608</v>
      </c>
      <c r="AH4" s="149" t="s">
        <v>6442</v>
      </c>
      <c r="AI4" s="149" t="s">
        <v>6427</v>
      </c>
    </row>
    <row r="5" customFormat="false" ht="130" hidden="false" customHeight="true" outlineLevel="0" collapsed="false">
      <c r="A5" s="149" t="s">
        <v>6443</v>
      </c>
      <c r="B5" s="149" t="s">
        <v>630</v>
      </c>
      <c r="C5" s="149" t="s">
        <v>6444</v>
      </c>
      <c r="D5" s="149" t="s">
        <v>3465</v>
      </c>
      <c r="E5" s="150" t="n">
        <v>49</v>
      </c>
      <c r="F5" s="150" t="n">
        <v>6</v>
      </c>
      <c r="G5" s="149" t="s">
        <v>6445</v>
      </c>
      <c r="H5" s="149" t="s">
        <v>6437</v>
      </c>
      <c r="I5" s="149" t="s">
        <v>6438</v>
      </c>
      <c r="J5" s="149" t="s">
        <v>6438</v>
      </c>
      <c r="K5" s="149" t="s">
        <v>6430</v>
      </c>
      <c r="L5" s="150" t="n">
        <v>0</v>
      </c>
      <c r="M5" s="150" t="n">
        <v>0</v>
      </c>
      <c r="N5" s="150" t="n">
        <v>0</v>
      </c>
      <c r="O5" s="150" t="n">
        <v>0</v>
      </c>
      <c r="P5" s="150" t="n">
        <v>0</v>
      </c>
      <c r="Q5" s="150" t="n">
        <v>0</v>
      </c>
      <c r="R5" s="150" t="n">
        <v>0</v>
      </c>
      <c r="S5" s="150" t="n">
        <v>0</v>
      </c>
      <c r="T5" s="150" t="n">
        <v>0</v>
      </c>
      <c r="U5" s="150" t="str">
        <f aca="false">IF(AND(A5&lt;&gt;"",COUNTIF($A$2:$A$5,A5)=1,COUNTIF($C$2:$C$5,C5)=1,D5&lt;&gt;"",E5&gt;0,F5&gt;0,F5&lt;=E5,COUNT(L5:T5)=9,COUNTIF(M5:T5,0)=8,OR(AND(B5="状态纠正",C5="B24-MY-012",H5="needs_review",I5="verified",J5="已全审",K5="已接受",L5=1),AND(B5="比较校验",K5="比较限定",L5=0,OR(AND(C5="B23-MY-003",I5="verified"),AND(OR(C5="B25-MY-006",C5="B25-MY-007"),I5="不计已完成"))))),"范围已接受","范围冲突")</f>
        <v>范围已接受</v>
      </c>
      <c r="V5" s="150" t="n">
        <f aca="false">IF(AND(U5="范围已接受",B5="状态纠正"),1,0)</f>
        <v>0</v>
      </c>
      <c r="W5" s="150" t="n">
        <f aca="false">IF(U5="范围已接受",L5,0)</f>
        <v>0</v>
      </c>
      <c r="X5" s="150" t="n">
        <f aca="false">IF(U5="范围已接受",M5,0)</f>
        <v>0</v>
      </c>
      <c r="Y5" s="150" t="n">
        <f aca="false">IF(U5="范围已接受",N5,0)</f>
        <v>0</v>
      </c>
      <c r="Z5" s="149" t="s">
        <v>6446</v>
      </c>
      <c r="AA5" s="149" t="s">
        <v>6447</v>
      </c>
      <c r="AB5" s="149" t="s">
        <v>6424</v>
      </c>
      <c r="AC5" s="149" t="s">
        <v>6441</v>
      </c>
      <c r="AD5" s="149" t="s">
        <v>6447</v>
      </c>
      <c r="AE5" s="149" t="str">
        <f aca="false">HYPERLINK("https://chatgpt.com/api/library/files/libfile_b66f1f1d5e4c81918a4a8e2b9238a85e/download","下载B28私有纠正元数据包")</f>
        <v>下载B28私有纠正元数据包</v>
      </c>
      <c r="AF5" s="151" t="n">
        <v>46321.8936342593</v>
      </c>
      <c r="AG5" s="149" t="s">
        <v>2608</v>
      </c>
      <c r="AH5" s="149" t="s">
        <v>6448</v>
      </c>
      <c r="AI5" s="149" t="s">
        <v>6427</v>
      </c>
    </row>
    <row r="8" customFormat="false" ht="42" hidden="false" customHeight="true" outlineLevel="0" collapsed="false">
      <c r="A8" s="152" t="s">
        <v>6449</v>
      </c>
      <c r="B8" s="152" t="s">
        <v>6450</v>
      </c>
      <c r="C8" s="152" t="s">
        <v>783</v>
      </c>
      <c r="D8" s="152" t="s">
        <v>6451</v>
      </c>
    </row>
    <row r="9" customFormat="false" ht="95" hidden="false" customHeight="true" outlineLevel="0" collapsed="false">
      <c r="A9" s="149" t="s">
        <v>6452</v>
      </c>
      <c r="B9" s="149" t="s">
        <v>4595</v>
      </c>
      <c r="C9" s="149" t="s">
        <v>6453</v>
      </c>
      <c r="D9" s="149" t="s">
        <v>6454</v>
      </c>
    </row>
    <row r="10" customFormat="false" ht="95" hidden="false" customHeight="true" outlineLevel="0" collapsed="false">
      <c r="A10" s="149" t="s">
        <v>6455</v>
      </c>
      <c r="B10" s="149" t="s">
        <v>6456</v>
      </c>
      <c r="C10" s="149" t="s">
        <v>6457</v>
      </c>
      <c r="D10" s="149" t="s">
        <v>6458</v>
      </c>
    </row>
    <row r="11" customFormat="false" ht="95" hidden="false" customHeight="true" outlineLevel="0" collapsed="false">
      <c r="A11" s="149" t="s">
        <v>6459</v>
      </c>
      <c r="B11" s="149" t="s">
        <v>6460</v>
      </c>
      <c r="C11" s="149" t="s">
        <v>6461</v>
      </c>
      <c r="D11" s="149" t="s">
        <v>6462</v>
      </c>
    </row>
    <row r="12" customFormat="false" ht="95" hidden="false" customHeight="true" outlineLevel="0" collapsed="false">
      <c r="A12" s="149" t="s">
        <v>6463</v>
      </c>
      <c r="B12" s="149" t="s">
        <v>6464</v>
      </c>
      <c r="C12" s="149" t="s">
        <v>6465</v>
      </c>
      <c r="D12" s="149" t="s">
        <v>6466</v>
      </c>
    </row>
    <row r="13" customFormat="false" ht="95" hidden="false" customHeight="true" outlineLevel="0" collapsed="false">
      <c r="A13" s="149" t="s">
        <v>6467</v>
      </c>
      <c r="B13" s="149" t="s">
        <v>6468</v>
      </c>
      <c r="C13" s="149" t="s">
        <v>6469</v>
      </c>
      <c r="D13" s="149" t="s">
        <v>6470</v>
      </c>
    </row>
    <row r="14" customFormat="false" ht="95" hidden="false" customHeight="true" outlineLevel="0" collapsed="false">
      <c r="A14" s="149" t="s">
        <v>6471</v>
      </c>
      <c r="B14" s="149" t="s">
        <v>6472</v>
      </c>
      <c r="C14" s="149" t="s">
        <v>6473</v>
      </c>
      <c r="D14" s="149" t="s">
        <v>6474</v>
      </c>
    </row>
    <row r="15" customFormat="false" ht="95" hidden="false" customHeight="true" outlineLevel="0" collapsed="false">
      <c r="A15" s="149" t="s">
        <v>6475</v>
      </c>
      <c r="B15" s="149" t="s">
        <v>6476</v>
      </c>
      <c r="C15" s="149" t="s">
        <v>6477</v>
      </c>
      <c r="D15" s="149" t="s">
        <v>6478</v>
      </c>
    </row>
    <row r="16" customFormat="false" ht="95" hidden="false" customHeight="true" outlineLevel="0" collapsed="false">
      <c r="A16" s="149" t="s">
        <v>6479</v>
      </c>
      <c r="B16" s="149" t="s">
        <v>6480</v>
      </c>
      <c r="C16" s="149" t="s">
        <v>6481</v>
      </c>
      <c r="D16" s="149" t="s">
        <v>6482</v>
      </c>
    </row>
    <row r="17" customFormat="false" ht="95" hidden="false" customHeight="true" outlineLevel="0" collapsed="false">
      <c r="A17" s="149" t="s">
        <v>6483</v>
      </c>
      <c r="B17" s="149" t="s">
        <v>6484</v>
      </c>
      <c r="C17" s="149" t="s">
        <v>6485</v>
      </c>
      <c r="D17" s="149" t="s">
        <v>6486</v>
      </c>
    </row>
    <row r="18" customFormat="false" ht="95" hidden="false" customHeight="true" outlineLevel="0" collapsed="false">
      <c r="A18" s="149" t="s">
        <v>6487</v>
      </c>
      <c r="B18" s="149" t="s">
        <v>6488</v>
      </c>
      <c r="C18" s="149" t="s">
        <v>6489</v>
      </c>
      <c r="D18" s="149" t="s">
        <v>6490</v>
      </c>
    </row>
    <row r="19" customFormat="false" ht="95" hidden="false" customHeight="true" outlineLevel="0" collapsed="false">
      <c r="A19" s="149" t="s">
        <v>6491</v>
      </c>
      <c r="B19" s="149" t="s">
        <v>6492</v>
      </c>
      <c r="C19" s="149" t="s">
        <v>6489</v>
      </c>
      <c r="D19" s="149" t="s">
        <v>6493</v>
      </c>
    </row>
    <row r="20" customFormat="false" ht="95" hidden="false" customHeight="true" outlineLevel="0" collapsed="false">
      <c r="A20" s="149" t="s">
        <v>6494</v>
      </c>
      <c r="B20" s="149" t="s">
        <v>6495</v>
      </c>
      <c r="C20" s="149" t="s">
        <v>6476</v>
      </c>
      <c r="D20" s="149" t="s">
        <v>6496</v>
      </c>
    </row>
    <row r="21" customFormat="false" ht="95" hidden="false" customHeight="true" outlineLevel="0" collapsed="false">
      <c r="A21" s="149" t="s">
        <v>6497</v>
      </c>
      <c r="B21" s="149" t="s">
        <v>6498</v>
      </c>
      <c r="C21" s="149" t="s">
        <v>6476</v>
      </c>
      <c r="D21" s="149" t="s">
        <v>6499</v>
      </c>
    </row>
    <row r="22" customFormat="false" ht="95" hidden="false" customHeight="true" outlineLevel="0" collapsed="false">
      <c r="A22" s="149" t="s">
        <v>697</v>
      </c>
      <c r="B22" s="149" t="s">
        <v>698</v>
      </c>
      <c r="C22" s="149" t="s">
        <v>6500</v>
      </c>
      <c r="D22" s="149" t="s">
        <v>6501</v>
      </c>
    </row>
    <row r="23" customFormat="false" ht="95" hidden="false" customHeight="true" outlineLevel="0" collapsed="false">
      <c r="A23" s="149" t="s">
        <v>6502</v>
      </c>
      <c r="B23" s="149" t="s">
        <v>6503</v>
      </c>
      <c r="C23" s="149" t="s">
        <v>6504</v>
      </c>
      <c r="D23" s="149" t="s">
        <v>6505</v>
      </c>
    </row>
    <row r="24" customFormat="false" ht="95" hidden="false" customHeight="true" outlineLevel="0" collapsed="false">
      <c r="A24" s="149" t="s">
        <v>6506</v>
      </c>
      <c r="B24" s="149" t="s">
        <v>6507</v>
      </c>
      <c r="C24" s="149" t="s">
        <v>6508</v>
      </c>
      <c r="D24" s="149" t="s">
        <v>6509</v>
      </c>
    </row>
    <row r="25" customFormat="false" ht="95" hidden="false" customHeight="true" outlineLevel="0" collapsed="false">
      <c r="A25" s="149" t="s">
        <v>6510</v>
      </c>
      <c r="B25" s="149" t="s">
        <v>2608</v>
      </c>
      <c r="C25" s="149" t="s">
        <v>370</v>
      </c>
      <c r="D25" s="149" t="s">
        <v>6511</v>
      </c>
    </row>
    <row r="26" customFormat="false" ht="95" hidden="false" customHeight="true" outlineLevel="0" collapsed="false">
      <c r="A26" s="149" t="s">
        <v>6512</v>
      </c>
      <c r="B26" s="149" t="s">
        <v>6513</v>
      </c>
      <c r="C26" s="149" t="s">
        <v>6514</v>
      </c>
      <c r="D26" s="149" t="s">
        <v>6515</v>
      </c>
    </row>
  </sheetData>
  <conditionalFormatting sqref="U2:U5">
    <cfRule type="containsText" priority="2" operator="containsText" aboveAverage="0" equalAverage="0" bottom="0" percent="0" rank="0" text="冲突" dxfId="36">
      <formula>NOT(ISERROR(SEARCH("冲突",U2)))</formula>
    </cfRule>
  </conditionalFormatting>
  <dataValidations count="2">
    <dataValidation allowBlank="false" errorStyle="stop" operator="between" showDropDown="false" showErrorMessage="false" showInputMessage="false" sqref="B2:B5" type="list">
      <formula1>"状态纠正,比较校验"</formula1>
      <formula2>0</formula2>
    </dataValidation>
    <dataValidation allowBlank="false" errorStyle="stop" operator="between" showDropDown="false" showErrorMessage="false" showInputMessage="false" sqref="K2:K5" type="list">
      <formula1>"已接受,比较限定"</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8"/>
    <col collapsed="false" customWidth="true" hidden="false" outlineLevel="0" max="3" min="3" style="0" width="34"/>
    <col collapsed="false" customWidth="true" hidden="false" outlineLevel="0" max="4" min="4" style="0" width="46"/>
    <col collapsed="false" customWidth="true" hidden="false" outlineLevel="0" max="5" min="5" style="0" width="44"/>
    <col collapsed="false" customWidth="true" hidden="false" outlineLevel="0" max="6" min="6" style="0" width="68"/>
    <col collapsed="false" customWidth="true" hidden="false" outlineLevel="0" max="7" min="7" style="0" width="22"/>
    <col collapsed="false" customWidth="true" hidden="false" outlineLevel="0" max="8" min="8" style="0" width="15"/>
    <col collapsed="false" customWidth="true" hidden="false" outlineLevel="0" max="9" min="9" style="0" width="18"/>
    <col collapsed="false" customWidth="true" hidden="false" outlineLevel="0" max="10" min="10" style="0" width="16"/>
    <col collapsed="false" customWidth="true" hidden="false" outlineLevel="0" max="11" min="11" style="0" width="18"/>
    <col collapsed="false" customWidth="true" hidden="false" outlineLevel="0" max="12" min="12" style="0" width="14"/>
    <col collapsed="false" customWidth="true" hidden="false" outlineLevel="0" max="13" min="13" style="0" width="17"/>
    <col collapsed="false" customWidth="true" hidden="false" outlineLevel="0" max="14" min="14" style="0" width="19"/>
    <col collapsed="false" customWidth="true" hidden="false" outlineLevel="0" max="15" min="15" style="0" width="22"/>
    <col collapsed="false" customWidth="true" hidden="false" outlineLevel="0" max="16" min="16" style="0" width="17"/>
    <col collapsed="false" customWidth="true" hidden="false" outlineLevel="0" max="17" min="17" style="0" width="15"/>
    <col collapsed="false" customWidth="true" hidden="false" outlineLevel="0" max="19" min="18" style="0" width="18"/>
    <col collapsed="false" customWidth="true" hidden="false" outlineLevel="0" max="20" min="20" style="0" width="17"/>
    <col collapsed="false" customWidth="true" hidden="false" outlineLevel="0" max="21" min="21" style="0" width="18"/>
    <col collapsed="false" customWidth="true" hidden="false" outlineLevel="0" max="23" min="22" style="0" width="15"/>
    <col collapsed="false" customWidth="true" hidden="false" outlineLevel="0" max="24" min="24" style="0" width="17"/>
    <col collapsed="false" customWidth="true" hidden="false" outlineLevel="0" max="25" min="25" style="0" width="15"/>
    <col collapsed="false" customWidth="true" hidden="false" outlineLevel="0" max="27" min="26" style="0" width="18"/>
    <col collapsed="false" customWidth="true" hidden="false" outlineLevel="0" max="28" min="28" style="0" width="25"/>
    <col collapsed="false" customWidth="true" hidden="false" outlineLevel="0" max="29" min="29" style="0" width="33"/>
    <col collapsed="false" customWidth="true" hidden="false" outlineLevel="0" max="30" min="30" style="0" width="34"/>
    <col collapsed="false" customWidth="true" hidden="false" outlineLevel="0" max="31" min="31" style="0" width="75"/>
    <col collapsed="false" customWidth="true" hidden="false" outlineLevel="0" max="32" min="32" style="0" width="62"/>
    <col collapsed="false" customWidth="true" hidden="false" outlineLevel="0" max="33" min="33" style="0" width="105"/>
    <col collapsed="false" customWidth="true" hidden="false" outlineLevel="0" max="34" min="34" style="0" width="70"/>
    <col collapsed="false" customWidth="true" hidden="false" outlineLevel="0" max="35" min="35" style="0" width="96"/>
    <col collapsed="false" customWidth="true" hidden="false" outlineLevel="0" max="36" min="36" style="0" width="72"/>
    <col collapsed="false" customWidth="true" hidden="false" outlineLevel="0" max="37" min="37" style="0" width="84"/>
    <col collapsed="false" customWidth="true" hidden="false" outlineLevel="0" max="38" min="38" style="0" width="68"/>
    <col collapsed="false" customWidth="true" hidden="false" outlineLevel="0" max="40" min="39" style="0" width="33"/>
    <col collapsed="false" customWidth="true" hidden="false" outlineLevel="0" max="41" min="41" style="0" width="100"/>
    <col collapsed="false" customWidth="true" hidden="false" outlineLevel="0" max="42" min="42" style="0" width="68"/>
    <col collapsed="false" customWidth="true" hidden="false" outlineLevel="0" max="43" min="43" style="0" width="40"/>
    <col collapsed="false" customWidth="true" hidden="false" outlineLevel="0" max="44" min="44" style="0" width="22"/>
    <col collapsed="false" customWidth="true" hidden="false" outlineLevel="0" max="45" min="45" style="0" width="55"/>
    <col collapsed="false" customWidth="true" hidden="false" outlineLevel="0" max="46" min="46" style="0" width="104"/>
    <col collapsed="false" customWidth="true" hidden="false" outlineLevel="0" max="47" min="47" style="0" width="120"/>
    <col collapsed="false" customWidth="true" hidden="false" outlineLevel="0" max="50" min="48" style="0" width="95"/>
    <col collapsed="false" customWidth="true" hidden="false" outlineLevel="0" max="51" min="51" style="0" width="40"/>
    <col collapsed="false" customWidth="true" hidden="false" outlineLevel="0" max="52" min="52" style="0" width="55"/>
    <col collapsed="false" customWidth="true" hidden="false" outlineLevel="0" max="53" min="53" style="0" width="28"/>
    <col collapsed="false" customWidth="true" hidden="false" outlineLevel="0" max="55" min="54" style="0" width="76"/>
    <col collapsed="false" customWidth="true" hidden="false" outlineLevel="0" max="56" min="56" style="0" width="84"/>
    <col collapsed="false" customWidth="true" hidden="false" outlineLevel="0" max="57" min="57" style="0" width="68"/>
    <col collapsed="false" customWidth="true" hidden="false" outlineLevel="0" max="59" min="58" style="0" width="100"/>
    <col collapsed="false" customWidth="true" hidden="false" outlineLevel="0" max="60" min="60" style="0" width="82"/>
    <col collapsed="false" customWidth="true" hidden="false" outlineLevel="0" max="75" min="61" style="0" width="20"/>
  </cols>
  <sheetData>
    <row r="1" customFormat="false" ht="54" hidden="false" customHeight="true" outlineLevel="0" collapsed="false">
      <c r="A1" s="153" t="s">
        <v>2799</v>
      </c>
      <c r="B1" s="153" t="s">
        <v>797</v>
      </c>
      <c r="C1" s="153" t="s">
        <v>4062</v>
      </c>
      <c r="D1" s="153" t="s">
        <v>3975</v>
      </c>
      <c r="E1" s="153" t="s">
        <v>3976</v>
      </c>
      <c r="F1" s="153" t="s">
        <v>3870</v>
      </c>
      <c r="G1" s="153" t="s">
        <v>6516</v>
      </c>
      <c r="H1" s="153" t="s">
        <v>3978</v>
      </c>
      <c r="I1" s="153" t="s">
        <v>6517</v>
      </c>
      <c r="J1" s="153" t="s">
        <v>3980</v>
      </c>
      <c r="K1" s="153" t="s">
        <v>6518</v>
      </c>
      <c r="L1" s="153" t="s">
        <v>3982</v>
      </c>
      <c r="M1" s="153" t="s">
        <v>3983</v>
      </c>
      <c r="N1" s="153" t="s">
        <v>3984</v>
      </c>
      <c r="O1" s="153" t="s">
        <v>2810</v>
      </c>
      <c r="P1" s="153" t="s">
        <v>6519</v>
      </c>
      <c r="Q1" s="153" t="s">
        <v>754</v>
      </c>
      <c r="R1" s="153" t="s">
        <v>756</v>
      </c>
      <c r="S1" s="153" t="s">
        <v>758</v>
      </c>
      <c r="T1" s="153" t="s">
        <v>3877</v>
      </c>
      <c r="U1" s="153" t="s">
        <v>762</v>
      </c>
      <c r="V1" s="153" t="s">
        <v>709</v>
      </c>
      <c r="W1" s="153" t="s">
        <v>711</v>
      </c>
      <c r="X1" s="153" t="s">
        <v>3879</v>
      </c>
      <c r="Y1" s="153" t="s">
        <v>707</v>
      </c>
      <c r="Z1" s="153" t="s">
        <v>3987</v>
      </c>
      <c r="AA1" s="153" t="s">
        <v>3880</v>
      </c>
      <c r="AB1" s="153" t="s">
        <v>3988</v>
      </c>
      <c r="AC1" s="153" t="s">
        <v>4063</v>
      </c>
      <c r="AD1" s="153" t="s">
        <v>238</v>
      </c>
      <c r="AE1" s="153" t="s">
        <v>4064</v>
      </c>
      <c r="AF1" s="153" t="s">
        <v>3886</v>
      </c>
      <c r="AG1" s="153" t="s">
        <v>6520</v>
      </c>
      <c r="AH1" s="153" t="s">
        <v>4066</v>
      </c>
      <c r="AI1" s="153" t="s">
        <v>4067</v>
      </c>
      <c r="AJ1" s="153" t="s">
        <v>3994</v>
      </c>
      <c r="AK1" s="153" t="s">
        <v>4068</v>
      </c>
      <c r="AL1" s="153" t="s">
        <v>3996</v>
      </c>
      <c r="AM1" s="153" t="s">
        <v>3997</v>
      </c>
      <c r="AN1" s="153" t="s">
        <v>2827</v>
      </c>
      <c r="AO1" s="153" t="s">
        <v>3998</v>
      </c>
      <c r="AP1" s="153" t="s">
        <v>4069</v>
      </c>
      <c r="AQ1" s="153" t="s">
        <v>6521</v>
      </c>
      <c r="AR1" s="153" t="s">
        <v>6522</v>
      </c>
      <c r="AS1" s="153" t="s">
        <v>4071</v>
      </c>
      <c r="AT1" s="153" t="s">
        <v>6523</v>
      </c>
      <c r="AU1" s="153" t="s">
        <v>4073</v>
      </c>
      <c r="AV1" s="153" t="s">
        <v>4074</v>
      </c>
      <c r="AW1" s="153" t="s">
        <v>6524</v>
      </c>
      <c r="AX1" s="153" t="s">
        <v>4076</v>
      </c>
      <c r="AY1" s="153" t="s">
        <v>4077</v>
      </c>
      <c r="AZ1" s="153" t="s">
        <v>4078</v>
      </c>
      <c r="BA1" s="153" t="s">
        <v>4079</v>
      </c>
      <c r="BB1" s="153" t="s">
        <v>4080</v>
      </c>
      <c r="BC1" s="153" t="s">
        <v>4081</v>
      </c>
      <c r="BD1" s="153" t="s">
        <v>4082</v>
      </c>
      <c r="BE1" s="153" t="s">
        <v>4083</v>
      </c>
      <c r="BF1" s="153" t="s">
        <v>4084</v>
      </c>
      <c r="BG1" s="153" t="s">
        <v>6525</v>
      </c>
      <c r="BH1" s="153" t="s">
        <v>4086</v>
      </c>
      <c r="BI1" s="153" t="s">
        <v>52</v>
      </c>
      <c r="BJ1" s="153" t="s">
        <v>6526</v>
      </c>
      <c r="BK1" s="153" t="s">
        <v>6527</v>
      </c>
      <c r="BL1" s="153" t="s">
        <v>6528</v>
      </c>
      <c r="BM1" s="153" t="s">
        <v>6529</v>
      </c>
      <c r="BN1" s="153" t="s">
        <v>6530</v>
      </c>
      <c r="BO1" s="153" t="s">
        <v>6531</v>
      </c>
      <c r="BP1" s="153" t="s">
        <v>6532</v>
      </c>
      <c r="BQ1" s="153" t="s">
        <v>6533</v>
      </c>
      <c r="BR1" s="153" t="s">
        <v>6534</v>
      </c>
      <c r="BS1" s="153" t="s">
        <v>6535</v>
      </c>
      <c r="BT1" s="153" t="s">
        <v>6536</v>
      </c>
      <c r="BU1" s="153" t="s">
        <v>6537</v>
      </c>
      <c r="BV1" s="153" t="s">
        <v>6538</v>
      </c>
      <c r="BW1" s="153" t="s">
        <v>6539</v>
      </c>
    </row>
    <row r="2" customFormat="false" ht="130" hidden="false" customHeight="true" outlineLevel="0" collapsed="false">
      <c r="A2" s="154" t="s">
        <v>6540</v>
      </c>
      <c r="B2" s="154" t="s">
        <v>1669</v>
      </c>
      <c r="C2" s="154" t="s">
        <v>883</v>
      </c>
      <c r="D2" s="154" t="s">
        <v>3395</v>
      </c>
      <c r="E2" s="154" t="s">
        <v>3398</v>
      </c>
      <c r="F2" s="154" t="s">
        <v>3399</v>
      </c>
      <c r="G2" s="154" t="s">
        <v>3394</v>
      </c>
      <c r="H2" s="155" t="n">
        <v>69</v>
      </c>
      <c r="I2" s="155" t="n">
        <v>69</v>
      </c>
      <c r="J2" s="155" t="n">
        <v>69</v>
      </c>
      <c r="K2" s="155" t="n">
        <v>69</v>
      </c>
      <c r="L2" s="155" t="n">
        <v>0</v>
      </c>
      <c r="M2" s="154" t="s">
        <v>4001</v>
      </c>
      <c r="N2" s="154" t="s">
        <v>3838</v>
      </c>
      <c r="O2" s="154" t="s">
        <v>4002</v>
      </c>
      <c r="P2" s="154" t="b">
        <f aca="false">TRUE()</f>
        <v>1</v>
      </c>
      <c r="Q2" s="155" t="n">
        <v>0</v>
      </c>
      <c r="R2" s="155" t="n">
        <v>0</v>
      </c>
      <c r="S2" s="155" t="n">
        <v>0</v>
      </c>
      <c r="T2" s="155" t="n">
        <v>0</v>
      </c>
      <c r="U2" s="155" t="n">
        <v>0</v>
      </c>
      <c r="V2" s="155" t="n">
        <v>0</v>
      </c>
      <c r="W2" s="155" t="n">
        <f aca="false">IF(AND(AB2="范围已验收",N2="verified"),1,0)</f>
        <v>0</v>
      </c>
      <c r="X2" s="155" t="n">
        <v>0</v>
      </c>
      <c r="Y2" s="155" t="n">
        <f aca="false">IF(AB2="范围已验收",1,0)</f>
        <v>1</v>
      </c>
      <c r="Z2" s="155" t="n">
        <f aca="false">H2*Y2</f>
        <v>69</v>
      </c>
      <c r="AA2" s="155" t="n">
        <f aca="false">IF(AND(A2&lt;&gt;"",COUNTIF($A$2:$A$31,A2)=1,F2&lt;&gt;"",COUNTIF($F$2:$F$31,F2)=1),1,0)</f>
        <v>1</v>
      </c>
      <c r="AB2" s="154" t="str">
        <f aca="false">IF(AND(AA2=1,COUNT(H2:L2)=5,H2&gt;0,I2=H2,J2=H2,K2=H2,L2=0,M2="已接受",N2=AR2,OR(AR2="needs_review",AR2="verified"),O2="full_present_file",P2=BL2,BJ2=FALSE(),BQ2=TRUE(),COUNT(Q2:U2)=5,COUNTIF(Q2:U2,0)=5,COUNT(V2,X2,BO2,BR2,BS2,BT2,BU2)=7,BR2=1,BS2=IF(AR2="verified",1,0),V2=BT2,BT2=IF(BK2=TRUE(),-1,0),X2=BU2,IF(BM2=TRUE(),1,0)=IF(BL2=TRUE(),1,0)+X2,OR(BW2=FALSE(),IF(BN2=TRUE(),1,0)=IF(BV2=TRUE(),1,0)+BO2),OR(BN2=FALSE(),BM2=FALSE()),G2&lt;&gt;"",AE2&lt;&gt;"",AW2&lt;&gt;"",BG2&lt;&gt;""),"范围已验收","范围冲突或重复")</f>
        <v>范围已验收</v>
      </c>
      <c r="AC2" s="156" t="n">
        <v>46321.9468287037</v>
      </c>
      <c r="AD2" s="154" t="str">
        <f aca="false">HYPERLINK("https://chatgpt.com/api/library/files/libfile_66b6637a9d148191be83fc71e96c314a/download","下载合并私有接受元数据包")</f>
        <v>下载合并私有接受元数据包</v>
      </c>
      <c r="AE2" s="154" t="s">
        <v>6541</v>
      </c>
      <c r="AF2" s="154" t="s">
        <v>3403</v>
      </c>
      <c r="AG2" s="154" t="s">
        <v>6542</v>
      </c>
      <c r="AH2" s="154" t="s">
        <v>6543</v>
      </c>
      <c r="AI2" s="154" t="s">
        <v>6544</v>
      </c>
      <c r="AJ2" s="154" t="s">
        <v>6545</v>
      </c>
      <c r="AK2" s="154" t="s">
        <v>6546</v>
      </c>
      <c r="AL2" s="154" t="s">
        <v>4009</v>
      </c>
      <c r="AM2" s="156" t="n">
        <v>46321.7618287037</v>
      </c>
      <c r="AN2" s="156" t="n">
        <v>46321.795</v>
      </c>
      <c r="AO2" s="154" t="s">
        <v>6547</v>
      </c>
      <c r="AP2" s="154" t="s">
        <v>6548</v>
      </c>
      <c r="AQ2" s="154" t="s">
        <v>766</v>
      </c>
      <c r="AR2" s="154" t="s">
        <v>3838</v>
      </c>
      <c r="AS2" s="154" t="s">
        <v>6549</v>
      </c>
      <c r="AT2" s="154" t="s">
        <v>6550</v>
      </c>
      <c r="AU2" s="154" t="s">
        <v>6551</v>
      </c>
      <c r="AV2" s="154" t="s">
        <v>6552</v>
      </c>
      <c r="AW2" s="154" t="s">
        <v>6553</v>
      </c>
      <c r="AX2" s="154" t="s">
        <v>6554</v>
      </c>
      <c r="AY2" s="154" t="s">
        <v>6555</v>
      </c>
      <c r="AZ2" s="154" t="s">
        <v>6556</v>
      </c>
      <c r="BA2" s="154" t="s">
        <v>6557</v>
      </c>
      <c r="BB2" s="154" t="s">
        <v>4444</v>
      </c>
      <c r="BC2" s="154" t="s">
        <v>6558</v>
      </c>
      <c r="BD2" s="154" t="s">
        <v>6559</v>
      </c>
      <c r="BE2" s="154" t="s">
        <v>6560</v>
      </c>
      <c r="BF2" s="154" t="s">
        <v>6561</v>
      </c>
      <c r="BG2" s="154" t="s">
        <v>6562</v>
      </c>
      <c r="BH2" s="154" t="s">
        <v>6563</v>
      </c>
      <c r="BI2" s="154" t="s">
        <v>6564</v>
      </c>
      <c r="BJ2" s="154" t="b">
        <f aca="false">FALSE()</f>
        <v>0</v>
      </c>
      <c r="BK2" s="154" t="b">
        <f aca="false">FALSE()</f>
        <v>0</v>
      </c>
      <c r="BL2" s="154" t="b">
        <f aca="false">TRUE()</f>
        <v>1</v>
      </c>
      <c r="BM2" s="154" t="b">
        <f aca="false">TRUE()</f>
        <v>1</v>
      </c>
      <c r="BN2" s="154" t="b">
        <f aca="false">FALSE()</f>
        <v>0</v>
      </c>
      <c r="BO2" s="154" t="n">
        <v>0</v>
      </c>
      <c r="BP2" s="154" t="b">
        <f aca="false">TRUE()</f>
        <v>1</v>
      </c>
      <c r="BQ2" s="154" t="b">
        <f aca="false">TRUE()</f>
        <v>1</v>
      </c>
      <c r="BR2" s="154" t="n">
        <v>1</v>
      </c>
      <c r="BS2" s="154" t="n">
        <v>0</v>
      </c>
      <c r="BT2" s="154" t="n">
        <v>0</v>
      </c>
      <c r="BU2" s="154" t="n">
        <v>0</v>
      </c>
      <c r="BV2" s="154" t="b">
        <f aca="false">FALSE()</f>
        <v>0</v>
      </c>
      <c r="BW2" s="154" t="b">
        <f aca="false">FALSE()</f>
        <v>0</v>
      </c>
    </row>
    <row r="3" customFormat="false" ht="130" hidden="false" customHeight="true" outlineLevel="0" collapsed="false">
      <c r="A3" s="154" t="s">
        <v>6565</v>
      </c>
      <c r="B3" s="154" t="s">
        <v>1669</v>
      </c>
      <c r="C3" s="154" t="s">
        <v>883</v>
      </c>
      <c r="D3" s="154" t="s">
        <v>3406</v>
      </c>
      <c r="E3" s="154" t="s">
        <v>3409</v>
      </c>
      <c r="F3" s="154" t="s">
        <v>3410</v>
      </c>
      <c r="G3" s="154" t="s">
        <v>3405</v>
      </c>
      <c r="H3" s="155" t="n">
        <v>69</v>
      </c>
      <c r="I3" s="155" t="n">
        <v>69</v>
      </c>
      <c r="J3" s="155" t="n">
        <v>69</v>
      </c>
      <c r="K3" s="155" t="n">
        <v>69</v>
      </c>
      <c r="L3" s="155" t="n">
        <v>0</v>
      </c>
      <c r="M3" s="154" t="s">
        <v>4001</v>
      </c>
      <c r="N3" s="154" t="s">
        <v>3838</v>
      </c>
      <c r="O3" s="154" t="s">
        <v>4002</v>
      </c>
      <c r="P3" s="154" t="b">
        <f aca="false">TRUE()</f>
        <v>1</v>
      </c>
      <c r="Q3" s="155" t="n">
        <v>0</v>
      </c>
      <c r="R3" s="155" t="n">
        <v>0</v>
      </c>
      <c r="S3" s="155" t="n">
        <v>0</v>
      </c>
      <c r="T3" s="155" t="n">
        <v>0</v>
      </c>
      <c r="U3" s="155" t="n">
        <v>0</v>
      </c>
      <c r="V3" s="155" t="n">
        <v>0</v>
      </c>
      <c r="W3" s="155" t="n">
        <f aca="false">IF(AND(AB3="范围已验收",N3="verified"),1,0)</f>
        <v>0</v>
      </c>
      <c r="X3" s="155" t="n">
        <v>0</v>
      </c>
      <c r="Y3" s="155" t="n">
        <f aca="false">IF(AB3="范围已验收",1,0)</f>
        <v>1</v>
      </c>
      <c r="Z3" s="155" t="n">
        <f aca="false">H3*Y3</f>
        <v>69</v>
      </c>
      <c r="AA3" s="155" t="n">
        <f aca="false">IF(AND(A3&lt;&gt;"",COUNTIF($A$2:$A$31,A3)=1,F3&lt;&gt;"",COUNTIF($F$2:$F$31,F3)=1),1,0)</f>
        <v>1</v>
      </c>
      <c r="AB3" s="154" t="str">
        <f aca="false">IF(AND(AA3=1,COUNT(H3:L3)=5,H3&gt;0,I3=H3,J3=H3,K3=H3,L3=0,M3="已接受",N3=AR3,OR(AR3="needs_review",AR3="verified"),O3="full_present_file",P3=BL3,BJ3=FALSE(),BQ3=TRUE(),COUNT(Q3:U3)=5,COUNTIF(Q3:U3,0)=5,COUNT(V3,X3,BO3,BR3,BS3,BT3,BU3)=7,BR3=1,BS3=IF(AR3="verified",1,0),V3=BT3,BT3=IF(BK3=TRUE(),-1,0),X3=BU3,IF(BM3=TRUE(),1,0)=IF(BL3=TRUE(),1,0)+X3,OR(BW3=FALSE(),IF(BN3=TRUE(),1,0)=IF(BV3=TRUE(),1,0)+BO3),OR(BN3=FALSE(),BM3=FALSE()),G3&lt;&gt;"",AE3&lt;&gt;"",AW3&lt;&gt;"",BG3&lt;&gt;""),"范围已验收","范围冲突或重复")</f>
        <v>范围已验收</v>
      </c>
      <c r="AC3" s="156" t="n">
        <v>46321.9468287037</v>
      </c>
      <c r="AD3" s="154" t="str">
        <f aca="false">HYPERLINK("https://chatgpt.com/api/library/files/libfile_66b6637a9d148191be83fc71e96c314a/download","下载合并私有接受元数据包")</f>
        <v>下载合并私有接受元数据包</v>
      </c>
      <c r="AE3" s="154" t="s">
        <v>6566</v>
      </c>
      <c r="AF3" s="154" t="s">
        <v>3413</v>
      </c>
      <c r="AG3" s="154" t="s">
        <v>6567</v>
      </c>
      <c r="AH3" s="154" t="s">
        <v>6568</v>
      </c>
      <c r="AI3" s="154" t="s">
        <v>6569</v>
      </c>
      <c r="AJ3" s="154" t="s">
        <v>6545</v>
      </c>
      <c r="AK3" s="154" t="s">
        <v>6570</v>
      </c>
      <c r="AL3" s="154" t="s">
        <v>4009</v>
      </c>
      <c r="AM3" s="156" t="n">
        <v>46321.7618287037</v>
      </c>
      <c r="AN3" s="156" t="n">
        <v>46321.7690162037</v>
      </c>
      <c r="AO3" s="154" t="s">
        <v>6571</v>
      </c>
      <c r="AP3" s="154" t="s">
        <v>6548</v>
      </c>
      <c r="AQ3" s="154" t="s">
        <v>766</v>
      </c>
      <c r="AR3" s="154" t="s">
        <v>3838</v>
      </c>
      <c r="AS3" s="154" t="s">
        <v>6572</v>
      </c>
      <c r="AT3" s="154" t="s">
        <v>6573</v>
      </c>
      <c r="AU3" s="154" t="s">
        <v>6574</v>
      </c>
      <c r="AV3" s="154" t="s">
        <v>6575</v>
      </c>
      <c r="AW3" s="154" t="s">
        <v>6576</v>
      </c>
      <c r="AX3" s="154" t="s">
        <v>6577</v>
      </c>
      <c r="AY3" s="154" t="s">
        <v>6578</v>
      </c>
      <c r="AZ3" s="154" t="s">
        <v>6556</v>
      </c>
      <c r="BA3" s="154" t="s">
        <v>6557</v>
      </c>
      <c r="BB3" s="154" t="s">
        <v>6579</v>
      </c>
      <c r="BC3" s="154" t="s">
        <v>6580</v>
      </c>
      <c r="BD3" s="154" t="s">
        <v>6581</v>
      </c>
      <c r="BE3" s="154" t="s">
        <v>6582</v>
      </c>
      <c r="BF3" s="154" t="s">
        <v>6583</v>
      </c>
      <c r="BG3" s="154" t="s">
        <v>6584</v>
      </c>
      <c r="BH3" s="154" t="s">
        <v>6563</v>
      </c>
      <c r="BI3" s="154" t="s">
        <v>6564</v>
      </c>
      <c r="BJ3" s="154" t="b">
        <f aca="false">FALSE()</f>
        <v>0</v>
      </c>
      <c r="BK3" s="154" t="b">
        <f aca="false">FALSE()</f>
        <v>0</v>
      </c>
      <c r="BL3" s="154" t="b">
        <f aca="false">TRUE()</f>
        <v>1</v>
      </c>
      <c r="BM3" s="154" t="b">
        <f aca="false">TRUE()</f>
        <v>1</v>
      </c>
      <c r="BN3" s="154" t="b">
        <f aca="false">FALSE()</f>
        <v>0</v>
      </c>
      <c r="BO3" s="154" t="n">
        <v>0</v>
      </c>
      <c r="BP3" s="154" t="b">
        <f aca="false">TRUE()</f>
        <v>1</v>
      </c>
      <c r="BQ3" s="154" t="b">
        <f aca="false">TRUE()</f>
        <v>1</v>
      </c>
      <c r="BR3" s="154" t="n">
        <v>1</v>
      </c>
      <c r="BS3" s="154" t="n">
        <v>0</v>
      </c>
      <c r="BT3" s="154" t="n">
        <v>0</v>
      </c>
      <c r="BU3" s="154" t="n">
        <v>0</v>
      </c>
      <c r="BV3" s="154" t="b">
        <f aca="false">FALSE()</f>
        <v>0</v>
      </c>
      <c r="BW3" s="154" t="b">
        <f aca="false">FALSE()</f>
        <v>0</v>
      </c>
    </row>
    <row r="4" customFormat="false" ht="130" hidden="false" customHeight="true" outlineLevel="0" collapsed="false">
      <c r="A4" s="154" t="s">
        <v>6585</v>
      </c>
      <c r="B4" s="154" t="s">
        <v>1669</v>
      </c>
      <c r="C4" s="154" t="s">
        <v>883</v>
      </c>
      <c r="D4" s="154" t="s">
        <v>3416</v>
      </c>
      <c r="E4" s="154" t="s">
        <v>3419</v>
      </c>
      <c r="F4" s="154" t="s">
        <v>3420</v>
      </c>
      <c r="G4" s="154" t="s">
        <v>3415</v>
      </c>
      <c r="H4" s="155" t="n">
        <v>74</v>
      </c>
      <c r="I4" s="155" t="n">
        <v>74</v>
      </c>
      <c r="J4" s="155" t="n">
        <v>74</v>
      </c>
      <c r="K4" s="155" t="n">
        <v>74</v>
      </c>
      <c r="L4" s="155" t="n">
        <v>0</v>
      </c>
      <c r="M4" s="154" t="s">
        <v>4001</v>
      </c>
      <c r="N4" s="154" t="s">
        <v>3838</v>
      </c>
      <c r="O4" s="154" t="s">
        <v>4002</v>
      </c>
      <c r="P4" s="154" t="b">
        <f aca="false">TRUE()</f>
        <v>1</v>
      </c>
      <c r="Q4" s="155" t="n">
        <v>0</v>
      </c>
      <c r="R4" s="155" t="n">
        <v>0</v>
      </c>
      <c r="S4" s="155" t="n">
        <v>0</v>
      </c>
      <c r="T4" s="155" t="n">
        <v>0</v>
      </c>
      <c r="U4" s="155" t="n">
        <v>0</v>
      </c>
      <c r="V4" s="155" t="n">
        <v>0</v>
      </c>
      <c r="W4" s="155" t="n">
        <f aca="false">IF(AND(AB4="范围已验收",N4="verified"),1,0)</f>
        <v>0</v>
      </c>
      <c r="X4" s="155" t="n">
        <v>0</v>
      </c>
      <c r="Y4" s="155" t="n">
        <f aca="false">IF(AB4="范围已验收",1,0)</f>
        <v>1</v>
      </c>
      <c r="Z4" s="155" t="n">
        <f aca="false">H4*Y4</f>
        <v>74</v>
      </c>
      <c r="AA4" s="155" t="n">
        <f aca="false">IF(AND(A4&lt;&gt;"",COUNTIF($A$2:$A$31,A4)=1,F4&lt;&gt;"",COUNTIF($F$2:$F$31,F4)=1),1,0)</f>
        <v>1</v>
      </c>
      <c r="AB4" s="154" t="str">
        <f aca="false">IF(AND(AA4=1,COUNT(H4:L4)=5,H4&gt;0,I4=H4,J4=H4,K4=H4,L4=0,M4="已接受",N4=AR4,OR(AR4="needs_review",AR4="verified"),O4="full_present_file",P4=BL4,BJ4=FALSE(),BQ4=TRUE(),COUNT(Q4:U4)=5,COUNTIF(Q4:U4,0)=5,COUNT(V4,X4,BO4,BR4,BS4,BT4,BU4)=7,BR4=1,BS4=IF(AR4="verified",1,0),V4=BT4,BT4=IF(BK4=TRUE(),-1,0),X4=BU4,IF(BM4=TRUE(),1,0)=IF(BL4=TRUE(),1,0)+X4,OR(BW4=FALSE(),IF(BN4=TRUE(),1,0)=IF(BV4=TRUE(),1,0)+BO4),OR(BN4=FALSE(),BM4=FALSE()),G4&lt;&gt;"",AE4&lt;&gt;"",AW4&lt;&gt;"",BG4&lt;&gt;""),"范围已验收","范围冲突或重复")</f>
        <v>范围已验收</v>
      </c>
      <c r="AC4" s="156" t="n">
        <v>46321.9468287037</v>
      </c>
      <c r="AD4" s="154" t="str">
        <f aca="false">HYPERLINK("https://chatgpt.com/api/library/files/libfile_66b6637a9d148191be83fc71e96c314a/download","下载合并私有接受元数据包")</f>
        <v>下载合并私有接受元数据包</v>
      </c>
      <c r="AE4" s="154" t="s">
        <v>6586</v>
      </c>
      <c r="AF4" s="154" t="s">
        <v>3424</v>
      </c>
      <c r="AG4" s="154" t="s">
        <v>6587</v>
      </c>
      <c r="AH4" s="154" t="s">
        <v>6588</v>
      </c>
      <c r="AI4" s="154" t="s">
        <v>6589</v>
      </c>
      <c r="AJ4" s="154" t="s">
        <v>6545</v>
      </c>
      <c r="AK4" s="154" t="s">
        <v>6590</v>
      </c>
      <c r="AL4" s="154" t="s">
        <v>4009</v>
      </c>
      <c r="AM4" s="156" t="n">
        <v>46321.7618287037</v>
      </c>
      <c r="AN4" s="156" t="n">
        <v>46321.7733796296</v>
      </c>
      <c r="AO4" s="154" t="s">
        <v>6591</v>
      </c>
      <c r="AP4" s="154" t="s">
        <v>6548</v>
      </c>
      <c r="AQ4" s="154" t="s">
        <v>766</v>
      </c>
      <c r="AR4" s="154" t="s">
        <v>3838</v>
      </c>
      <c r="AS4" s="154" t="s">
        <v>6592</v>
      </c>
      <c r="AT4" s="154" t="s">
        <v>6593</v>
      </c>
      <c r="AU4" s="154" t="s">
        <v>6594</v>
      </c>
      <c r="AV4" s="154" t="s">
        <v>6595</v>
      </c>
      <c r="AW4" s="154" t="s">
        <v>6596</v>
      </c>
      <c r="AX4" s="154" t="s">
        <v>6597</v>
      </c>
      <c r="AY4" s="154" t="s">
        <v>6598</v>
      </c>
      <c r="AZ4" s="154" t="s">
        <v>6556</v>
      </c>
      <c r="BA4" s="154" t="s">
        <v>6557</v>
      </c>
      <c r="BB4" s="154" t="s">
        <v>6599</v>
      </c>
      <c r="BC4" s="154" t="s">
        <v>6600</v>
      </c>
      <c r="BD4" s="154" t="s">
        <v>6601</v>
      </c>
      <c r="BE4" s="154" t="s">
        <v>6602</v>
      </c>
      <c r="BF4" s="154" t="s">
        <v>6603</v>
      </c>
      <c r="BG4" s="154" t="s">
        <v>6604</v>
      </c>
      <c r="BH4" s="154" t="s">
        <v>6563</v>
      </c>
      <c r="BI4" s="154" t="s">
        <v>6564</v>
      </c>
      <c r="BJ4" s="154" t="b">
        <f aca="false">FALSE()</f>
        <v>0</v>
      </c>
      <c r="BK4" s="154" t="b">
        <f aca="false">FALSE()</f>
        <v>0</v>
      </c>
      <c r="BL4" s="154" t="b">
        <f aca="false">TRUE()</f>
        <v>1</v>
      </c>
      <c r="BM4" s="154" t="b">
        <f aca="false">TRUE()</f>
        <v>1</v>
      </c>
      <c r="BN4" s="154" t="b">
        <f aca="false">FALSE()</f>
        <v>0</v>
      </c>
      <c r="BO4" s="154" t="n">
        <v>0</v>
      </c>
      <c r="BP4" s="154" t="b">
        <f aca="false">TRUE()</f>
        <v>1</v>
      </c>
      <c r="BQ4" s="154" t="b">
        <f aca="false">TRUE()</f>
        <v>1</v>
      </c>
      <c r="BR4" s="154" t="n">
        <v>1</v>
      </c>
      <c r="BS4" s="154" t="n">
        <v>0</v>
      </c>
      <c r="BT4" s="154" t="n">
        <v>0</v>
      </c>
      <c r="BU4" s="154" t="n">
        <v>0</v>
      </c>
      <c r="BV4" s="154" t="b">
        <f aca="false">FALSE()</f>
        <v>0</v>
      </c>
      <c r="BW4" s="154" t="b">
        <f aca="false">FALSE()</f>
        <v>0</v>
      </c>
    </row>
    <row r="5" customFormat="false" ht="130" hidden="false" customHeight="true" outlineLevel="0" collapsed="false">
      <c r="A5" s="154" t="s">
        <v>6605</v>
      </c>
      <c r="B5" s="154" t="s">
        <v>1669</v>
      </c>
      <c r="C5" s="154" t="s">
        <v>883</v>
      </c>
      <c r="D5" s="154" t="s">
        <v>3427</v>
      </c>
      <c r="E5" s="154" t="s">
        <v>3431</v>
      </c>
      <c r="F5" s="154" t="s">
        <v>3432</v>
      </c>
      <c r="G5" s="154" t="s">
        <v>3426</v>
      </c>
      <c r="H5" s="155" t="n">
        <v>44</v>
      </c>
      <c r="I5" s="155" t="n">
        <v>44</v>
      </c>
      <c r="J5" s="155" t="n">
        <v>44</v>
      </c>
      <c r="K5" s="155" t="n">
        <v>44</v>
      </c>
      <c r="L5" s="155" t="n">
        <v>0</v>
      </c>
      <c r="M5" s="154" t="s">
        <v>4001</v>
      </c>
      <c r="N5" s="154" t="s">
        <v>3826</v>
      </c>
      <c r="O5" s="154" t="s">
        <v>4002</v>
      </c>
      <c r="P5" s="154" t="b">
        <f aca="false">TRUE()</f>
        <v>1</v>
      </c>
      <c r="Q5" s="155" t="n">
        <v>0</v>
      </c>
      <c r="R5" s="155" t="n">
        <v>0</v>
      </c>
      <c r="S5" s="155" t="n">
        <v>0</v>
      </c>
      <c r="T5" s="155" t="n">
        <v>0</v>
      </c>
      <c r="U5" s="155" t="n">
        <v>0</v>
      </c>
      <c r="V5" s="155" t="n">
        <v>0</v>
      </c>
      <c r="W5" s="155" t="n">
        <f aca="false">IF(AND(AB5="范围已验收",N5="verified"),1,0)</f>
        <v>1</v>
      </c>
      <c r="X5" s="155" t="n">
        <v>0</v>
      </c>
      <c r="Y5" s="155" t="n">
        <f aca="false">IF(AB5="范围已验收",1,0)</f>
        <v>1</v>
      </c>
      <c r="Z5" s="155" t="n">
        <f aca="false">H5*Y5</f>
        <v>44</v>
      </c>
      <c r="AA5" s="155" t="n">
        <f aca="false">IF(AND(A5&lt;&gt;"",COUNTIF($A$2:$A$31,A5)=1,F5&lt;&gt;"",COUNTIF($F$2:$F$31,F5)=1),1,0)</f>
        <v>1</v>
      </c>
      <c r="AB5" s="154" t="str">
        <f aca="false">IF(AND(AA5=1,COUNT(H5:L5)=5,H5&gt;0,I5=H5,J5=H5,K5=H5,L5=0,M5="已接受",N5=AR5,OR(AR5="needs_review",AR5="verified"),O5="full_present_file",P5=BL5,BJ5=FALSE(),BQ5=TRUE(),COUNT(Q5:U5)=5,COUNTIF(Q5:U5,0)=5,COUNT(V5,X5,BO5,BR5,BS5,BT5,BU5)=7,BR5=1,BS5=IF(AR5="verified",1,0),V5=BT5,BT5=IF(BK5=TRUE(),-1,0),X5=BU5,IF(BM5=TRUE(),1,0)=IF(BL5=TRUE(),1,0)+X5,OR(BW5=FALSE(),IF(BN5=TRUE(),1,0)=IF(BV5=TRUE(),1,0)+BO5),OR(BN5=FALSE(),BM5=FALSE()),G5&lt;&gt;"",AE5&lt;&gt;"",AW5&lt;&gt;"",BG5&lt;&gt;""),"范围已验收","范围冲突或重复")</f>
        <v>范围已验收</v>
      </c>
      <c r="AC5" s="156" t="n">
        <v>46321.9468287037</v>
      </c>
      <c r="AD5" s="154" t="str">
        <f aca="false">HYPERLINK("https://chatgpt.com/api/library/files/libfile_66b6637a9d148191be83fc71e96c314a/download","下载合并私有接受元数据包")</f>
        <v>下载合并私有接受元数据包</v>
      </c>
      <c r="AE5" s="154" t="s">
        <v>6606</v>
      </c>
      <c r="AF5" s="154" t="s">
        <v>3436</v>
      </c>
      <c r="AG5" s="154" t="s">
        <v>6607</v>
      </c>
      <c r="AH5" s="154" t="s">
        <v>6608</v>
      </c>
      <c r="AI5" s="154" t="s">
        <v>6609</v>
      </c>
      <c r="AJ5" s="154" t="s">
        <v>6545</v>
      </c>
      <c r="AK5" s="154" t="s">
        <v>6610</v>
      </c>
      <c r="AL5" s="154" t="s">
        <v>4009</v>
      </c>
      <c r="AM5" s="156" t="n">
        <v>46321.7618287037</v>
      </c>
      <c r="AN5" s="156" t="n">
        <v>46321.7794791667</v>
      </c>
      <c r="AO5" s="154" t="s">
        <v>6611</v>
      </c>
      <c r="AP5" s="154" t="s">
        <v>6548</v>
      </c>
      <c r="AQ5" s="154" t="s">
        <v>766</v>
      </c>
      <c r="AR5" s="154" t="s">
        <v>3826</v>
      </c>
      <c r="AS5" s="154" t="s">
        <v>6592</v>
      </c>
      <c r="AT5" s="154" t="s">
        <v>6612</v>
      </c>
      <c r="AU5" s="154" t="s">
        <v>6613</v>
      </c>
      <c r="AV5" s="154" t="s">
        <v>6614</v>
      </c>
      <c r="AW5" s="154" t="s">
        <v>6615</v>
      </c>
      <c r="AX5" s="154" t="s">
        <v>6616</v>
      </c>
      <c r="AY5" s="154" t="s">
        <v>6617</v>
      </c>
      <c r="AZ5" s="154" t="s">
        <v>6556</v>
      </c>
      <c r="BA5" s="154" t="s">
        <v>6557</v>
      </c>
      <c r="BB5" s="154" t="s">
        <v>6599</v>
      </c>
      <c r="BC5" s="154" t="s">
        <v>6618</v>
      </c>
      <c r="BD5" s="154" t="s">
        <v>6619</v>
      </c>
      <c r="BE5" s="154" t="s">
        <v>6620</v>
      </c>
      <c r="BF5" s="154" t="s">
        <v>6621</v>
      </c>
      <c r="BG5" s="154" t="s">
        <v>6622</v>
      </c>
      <c r="BH5" s="154" t="s">
        <v>6563</v>
      </c>
      <c r="BI5" s="154" t="s">
        <v>6564</v>
      </c>
      <c r="BJ5" s="154" t="b">
        <f aca="false">FALSE()</f>
        <v>0</v>
      </c>
      <c r="BK5" s="154" t="b">
        <f aca="false">FALSE()</f>
        <v>0</v>
      </c>
      <c r="BL5" s="154" t="b">
        <f aca="false">TRUE()</f>
        <v>1</v>
      </c>
      <c r="BM5" s="154" t="b">
        <f aca="false">TRUE()</f>
        <v>1</v>
      </c>
      <c r="BN5" s="154" t="b">
        <f aca="false">FALSE()</f>
        <v>0</v>
      </c>
      <c r="BO5" s="154" t="n">
        <v>0</v>
      </c>
      <c r="BP5" s="154" t="b">
        <f aca="false">TRUE()</f>
        <v>1</v>
      </c>
      <c r="BQ5" s="154" t="b">
        <f aca="false">TRUE()</f>
        <v>1</v>
      </c>
      <c r="BR5" s="154" t="n">
        <v>1</v>
      </c>
      <c r="BS5" s="154" t="n">
        <v>1</v>
      </c>
      <c r="BT5" s="154" t="n">
        <v>0</v>
      </c>
      <c r="BU5" s="154" t="n">
        <v>0</v>
      </c>
      <c r="BV5" s="154" t="b">
        <f aca="false">FALSE()</f>
        <v>0</v>
      </c>
      <c r="BW5" s="154" t="b">
        <f aca="false">FALSE()</f>
        <v>0</v>
      </c>
    </row>
    <row r="6" customFormat="false" ht="130" hidden="false" customHeight="true" outlineLevel="0" collapsed="false">
      <c r="A6" s="154" t="s">
        <v>6623</v>
      </c>
      <c r="B6" s="154" t="s">
        <v>1669</v>
      </c>
      <c r="C6" s="154" t="s">
        <v>883</v>
      </c>
      <c r="D6" s="154" t="s">
        <v>3439</v>
      </c>
      <c r="E6" s="154" t="s">
        <v>3442</v>
      </c>
      <c r="F6" s="154" t="s">
        <v>3443</v>
      </c>
      <c r="G6" s="154" t="s">
        <v>3438</v>
      </c>
      <c r="H6" s="155" t="n">
        <v>54</v>
      </c>
      <c r="I6" s="155" t="n">
        <v>54</v>
      </c>
      <c r="J6" s="155" t="n">
        <v>54</v>
      </c>
      <c r="K6" s="155" t="n">
        <v>54</v>
      </c>
      <c r="L6" s="155" t="n">
        <v>0</v>
      </c>
      <c r="M6" s="154" t="s">
        <v>4001</v>
      </c>
      <c r="N6" s="154" t="s">
        <v>3838</v>
      </c>
      <c r="O6" s="154" t="s">
        <v>4002</v>
      </c>
      <c r="P6" s="154" t="b">
        <f aca="false">TRUE()</f>
        <v>1</v>
      </c>
      <c r="Q6" s="155" t="n">
        <v>0</v>
      </c>
      <c r="R6" s="155" t="n">
        <v>0</v>
      </c>
      <c r="S6" s="155" t="n">
        <v>0</v>
      </c>
      <c r="T6" s="155" t="n">
        <v>0</v>
      </c>
      <c r="U6" s="155" t="n">
        <v>0</v>
      </c>
      <c r="V6" s="155" t="n">
        <v>0</v>
      </c>
      <c r="W6" s="155" t="n">
        <f aca="false">IF(AND(AB6="范围已验收",N6="verified"),1,0)</f>
        <v>0</v>
      </c>
      <c r="X6" s="155" t="n">
        <v>0</v>
      </c>
      <c r="Y6" s="155" t="n">
        <f aca="false">IF(AB6="范围已验收",1,0)</f>
        <v>1</v>
      </c>
      <c r="Z6" s="155" t="n">
        <f aca="false">H6*Y6</f>
        <v>54</v>
      </c>
      <c r="AA6" s="155" t="n">
        <f aca="false">IF(AND(A6&lt;&gt;"",COUNTIF($A$2:$A$31,A6)=1,F6&lt;&gt;"",COUNTIF($F$2:$F$31,F6)=1),1,0)</f>
        <v>1</v>
      </c>
      <c r="AB6" s="154" t="str">
        <f aca="false">IF(AND(AA6=1,COUNT(H6:L6)=5,H6&gt;0,I6=H6,J6=H6,K6=H6,L6=0,M6="已接受",N6=AR6,OR(AR6="needs_review",AR6="verified"),O6="full_present_file",P6=BL6,BJ6=FALSE(),BQ6=TRUE(),COUNT(Q6:U6)=5,COUNTIF(Q6:U6,0)=5,COUNT(V6,X6,BO6,BR6,BS6,BT6,BU6)=7,BR6=1,BS6=IF(AR6="verified",1,0),V6=BT6,BT6=IF(BK6=TRUE(),-1,0),X6=BU6,IF(BM6=TRUE(),1,0)=IF(BL6=TRUE(),1,0)+X6,OR(BW6=FALSE(),IF(BN6=TRUE(),1,0)=IF(BV6=TRUE(),1,0)+BO6),OR(BN6=FALSE(),BM6=FALSE()),G6&lt;&gt;"",AE6&lt;&gt;"",AW6&lt;&gt;"",BG6&lt;&gt;""),"范围已验收","范围冲突或重复")</f>
        <v>范围已验收</v>
      </c>
      <c r="AC6" s="156" t="n">
        <v>46321.9468287037</v>
      </c>
      <c r="AD6" s="154" t="str">
        <f aca="false">HYPERLINK("https://chatgpt.com/api/library/files/libfile_66b6637a9d148191be83fc71e96c314a/download","下载合并私有接受元数据包")</f>
        <v>下载合并私有接受元数据包</v>
      </c>
      <c r="AE6" s="154" t="s">
        <v>6624</v>
      </c>
      <c r="AF6" s="154" t="s">
        <v>3447</v>
      </c>
      <c r="AG6" s="154" t="s">
        <v>6625</v>
      </c>
      <c r="AH6" s="154" t="s">
        <v>6626</v>
      </c>
      <c r="AI6" s="154" t="s">
        <v>6627</v>
      </c>
      <c r="AJ6" s="154" t="s">
        <v>6545</v>
      </c>
      <c r="AK6" s="154" t="s">
        <v>6628</v>
      </c>
      <c r="AL6" s="154" t="s">
        <v>4009</v>
      </c>
      <c r="AM6" s="156" t="n">
        <v>46321.7618287037</v>
      </c>
      <c r="AN6" s="156" t="n">
        <v>46321.787962963</v>
      </c>
      <c r="AO6" s="154" t="s">
        <v>6629</v>
      </c>
      <c r="AP6" s="154" t="s">
        <v>6548</v>
      </c>
      <c r="AQ6" s="154" t="s">
        <v>766</v>
      </c>
      <c r="AR6" s="154" t="s">
        <v>3838</v>
      </c>
      <c r="AS6" s="154" t="s">
        <v>6592</v>
      </c>
      <c r="AT6" s="154" t="s">
        <v>6630</v>
      </c>
      <c r="AU6" s="154" t="s">
        <v>6631</v>
      </c>
      <c r="AV6" s="154" t="s">
        <v>6632</v>
      </c>
      <c r="AW6" s="154" t="s">
        <v>6633</v>
      </c>
      <c r="AX6" s="154" t="s">
        <v>6634</v>
      </c>
      <c r="AY6" s="154" t="s">
        <v>6635</v>
      </c>
      <c r="AZ6" s="154" t="s">
        <v>6556</v>
      </c>
      <c r="BA6" s="154" t="s">
        <v>6557</v>
      </c>
      <c r="BB6" s="154" t="s">
        <v>6599</v>
      </c>
      <c r="BC6" s="154" t="s">
        <v>6636</v>
      </c>
      <c r="BD6" s="154" t="s">
        <v>6637</v>
      </c>
      <c r="BE6" s="154" t="s">
        <v>6638</v>
      </c>
      <c r="BF6" s="154" t="s">
        <v>6639</v>
      </c>
      <c r="BG6" s="154" t="s">
        <v>6640</v>
      </c>
      <c r="BH6" s="154" t="s">
        <v>6641</v>
      </c>
      <c r="BI6" s="154" t="s">
        <v>6564</v>
      </c>
      <c r="BJ6" s="154" t="b">
        <f aca="false">FALSE()</f>
        <v>0</v>
      </c>
      <c r="BK6" s="154" t="b">
        <f aca="false">FALSE()</f>
        <v>0</v>
      </c>
      <c r="BL6" s="154" t="b">
        <f aca="false">TRUE()</f>
        <v>1</v>
      </c>
      <c r="BM6" s="154" t="b">
        <f aca="false">TRUE()</f>
        <v>1</v>
      </c>
      <c r="BN6" s="154" t="b">
        <f aca="false">FALSE()</f>
        <v>0</v>
      </c>
      <c r="BO6" s="154" t="n">
        <v>0</v>
      </c>
      <c r="BP6" s="154" t="b">
        <f aca="false">TRUE()</f>
        <v>1</v>
      </c>
      <c r="BQ6" s="154" t="b">
        <f aca="false">TRUE()</f>
        <v>1</v>
      </c>
      <c r="BR6" s="154" t="n">
        <v>1</v>
      </c>
      <c r="BS6" s="154" t="n">
        <v>0</v>
      </c>
      <c r="BT6" s="154" t="n">
        <v>0</v>
      </c>
      <c r="BU6" s="154" t="n">
        <v>0</v>
      </c>
      <c r="BV6" s="154" t="b">
        <f aca="false">FALSE()</f>
        <v>0</v>
      </c>
      <c r="BW6" s="154" t="b">
        <f aca="false">FALSE()</f>
        <v>0</v>
      </c>
    </row>
    <row r="7" customFormat="false" ht="130" hidden="false" customHeight="true" outlineLevel="0" collapsed="false">
      <c r="A7" s="154" t="s">
        <v>6435</v>
      </c>
      <c r="B7" s="154" t="s">
        <v>1669</v>
      </c>
      <c r="C7" s="154" t="s">
        <v>883</v>
      </c>
      <c r="D7" s="154" t="s">
        <v>3450</v>
      </c>
      <c r="E7" s="154" t="s">
        <v>3453</v>
      </c>
      <c r="F7" s="154" t="s">
        <v>3454</v>
      </c>
      <c r="G7" s="154" t="s">
        <v>3449</v>
      </c>
      <c r="H7" s="155" t="n">
        <v>49</v>
      </c>
      <c r="I7" s="155" t="n">
        <v>49</v>
      </c>
      <c r="J7" s="155" t="n">
        <v>49</v>
      </c>
      <c r="K7" s="155" t="n">
        <v>49</v>
      </c>
      <c r="L7" s="155" t="n">
        <v>0</v>
      </c>
      <c r="M7" s="154" t="s">
        <v>4001</v>
      </c>
      <c r="N7" s="154" t="s">
        <v>3826</v>
      </c>
      <c r="O7" s="154" t="s">
        <v>4002</v>
      </c>
      <c r="P7" s="154" t="b">
        <f aca="false">TRUE()</f>
        <v>1</v>
      </c>
      <c r="Q7" s="155" t="n">
        <v>0</v>
      </c>
      <c r="R7" s="155" t="n">
        <v>0</v>
      </c>
      <c r="S7" s="155" t="n">
        <v>0</v>
      </c>
      <c r="T7" s="155" t="n">
        <v>0</v>
      </c>
      <c r="U7" s="155" t="n">
        <v>0</v>
      </c>
      <c r="V7" s="155" t="n">
        <v>0</v>
      </c>
      <c r="W7" s="155" t="n">
        <f aca="false">IF(AND(AB7="范围已验收",N7="verified"),1,0)</f>
        <v>1</v>
      </c>
      <c r="X7" s="155" t="n">
        <v>0</v>
      </c>
      <c r="Y7" s="155" t="n">
        <f aca="false">IF(AB7="范围已验收",1,0)</f>
        <v>1</v>
      </c>
      <c r="Z7" s="155" t="n">
        <f aca="false">H7*Y7</f>
        <v>49</v>
      </c>
      <c r="AA7" s="155" t="n">
        <f aca="false">IF(AND(A7&lt;&gt;"",COUNTIF($A$2:$A$31,A7)=1,F7&lt;&gt;"",COUNTIF($F$2:$F$31,F7)=1),1,0)</f>
        <v>1</v>
      </c>
      <c r="AB7" s="154" t="str">
        <f aca="false">IF(AND(AA7=1,COUNT(H7:L7)=5,H7&gt;0,I7=H7,J7=H7,K7=H7,L7=0,M7="已接受",N7=AR7,OR(AR7="needs_review",AR7="verified"),O7="full_present_file",P7=BL7,BJ7=FALSE(),BQ7=TRUE(),COUNT(Q7:U7)=5,COUNTIF(Q7:U7,0)=5,COUNT(V7,X7,BO7,BR7,BS7,BT7,BU7)=7,BR7=1,BS7=IF(AR7="verified",1,0),V7=BT7,BT7=IF(BK7=TRUE(),-1,0),X7=BU7,IF(BM7=TRUE(),1,0)=IF(BL7=TRUE(),1,0)+X7,OR(BW7=FALSE(),IF(BN7=TRUE(),1,0)=IF(BV7=TRUE(),1,0)+BO7),OR(BN7=FALSE(),BM7=FALSE()),G7&lt;&gt;"",AE7&lt;&gt;"",AW7&lt;&gt;"",BG7&lt;&gt;""),"范围已验收","范围冲突或重复")</f>
        <v>范围已验收</v>
      </c>
      <c r="AC7" s="156" t="n">
        <v>46321.9468287037</v>
      </c>
      <c r="AD7" s="154" t="str">
        <f aca="false">HYPERLINK("https://chatgpt.com/api/library/files/libfile_66b6637a9d148191be83fc71e96c314a/download","下载合并私有接受元数据包")</f>
        <v>下载合并私有接受元数据包</v>
      </c>
      <c r="AE7" s="154" t="s">
        <v>6642</v>
      </c>
      <c r="AF7" s="154" t="s">
        <v>3458</v>
      </c>
      <c r="AG7" s="154" t="s">
        <v>6643</v>
      </c>
      <c r="AH7" s="154" t="s">
        <v>6644</v>
      </c>
      <c r="AI7" s="154" t="s">
        <v>6645</v>
      </c>
      <c r="AJ7" s="154" t="s">
        <v>6545</v>
      </c>
      <c r="AK7" s="154" t="s">
        <v>6646</v>
      </c>
      <c r="AL7" s="154" t="s">
        <v>4009</v>
      </c>
      <c r="AM7" s="156" t="n">
        <v>46321.7618287037</v>
      </c>
      <c r="AN7" s="156" t="n">
        <v>46321.776875</v>
      </c>
      <c r="AO7" s="154" t="s">
        <v>6442</v>
      </c>
      <c r="AP7" s="154" t="s">
        <v>6548</v>
      </c>
      <c r="AQ7" s="154" t="s">
        <v>766</v>
      </c>
      <c r="AR7" s="154" t="s">
        <v>3826</v>
      </c>
      <c r="AS7" s="154" t="s">
        <v>6647</v>
      </c>
      <c r="AT7" s="154" t="s">
        <v>6648</v>
      </c>
      <c r="AU7" s="154" t="s">
        <v>6649</v>
      </c>
      <c r="AV7" s="154" t="s">
        <v>6650</v>
      </c>
      <c r="AW7" s="154" t="s">
        <v>6651</v>
      </c>
      <c r="AX7" s="154" t="s">
        <v>6652</v>
      </c>
      <c r="AY7" s="154" t="s">
        <v>6653</v>
      </c>
      <c r="AZ7" s="154" t="s">
        <v>4103</v>
      </c>
      <c r="BA7" s="154" t="s">
        <v>6557</v>
      </c>
      <c r="BB7" s="154" t="s">
        <v>6579</v>
      </c>
      <c r="BC7" s="154" t="s">
        <v>6654</v>
      </c>
      <c r="BD7" s="154" t="s">
        <v>6655</v>
      </c>
      <c r="BE7" s="154" t="s">
        <v>6656</v>
      </c>
      <c r="BF7" s="154" t="s">
        <v>6657</v>
      </c>
      <c r="BG7" s="154" t="s">
        <v>6658</v>
      </c>
      <c r="BH7" s="154" t="s">
        <v>6641</v>
      </c>
      <c r="BI7" s="154" t="s">
        <v>6564</v>
      </c>
      <c r="BJ7" s="154" t="b">
        <f aca="false">FALSE()</f>
        <v>0</v>
      </c>
      <c r="BK7" s="154" t="b">
        <f aca="false">FALSE()</f>
        <v>0</v>
      </c>
      <c r="BL7" s="154" t="b">
        <f aca="false">TRUE()</f>
        <v>1</v>
      </c>
      <c r="BM7" s="154" t="b">
        <f aca="false">TRUE()</f>
        <v>1</v>
      </c>
      <c r="BN7" s="154" t="b">
        <f aca="false">FALSE()</f>
        <v>0</v>
      </c>
      <c r="BO7" s="154" t="n">
        <v>0</v>
      </c>
      <c r="BP7" s="154" t="b">
        <f aca="false">TRUE()</f>
        <v>1</v>
      </c>
      <c r="BQ7" s="154" t="b">
        <f aca="false">TRUE()</f>
        <v>1</v>
      </c>
      <c r="BR7" s="154" t="n">
        <v>1</v>
      </c>
      <c r="BS7" s="154" t="n">
        <v>1</v>
      </c>
      <c r="BT7" s="154" t="n">
        <v>0</v>
      </c>
      <c r="BU7" s="154" t="n">
        <v>0</v>
      </c>
      <c r="BV7" s="154" t="b">
        <f aca="false">FALSE()</f>
        <v>0</v>
      </c>
      <c r="BW7" s="154" t="b">
        <f aca="false">FALSE()</f>
        <v>0</v>
      </c>
    </row>
    <row r="8" customFormat="false" ht="130" hidden="false" customHeight="true" outlineLevel="0" collapsed="false">
      <c r="A8" s="154" t="s">
        <v>6444</v>
      </c>
      <c r="B8" s="154" t="s">
        <v>1669</v>
      </c>
      <c r="C8" s="154" t="s">
        <v>883</v>
      </c>
      <c r="D8" s="154" t="s">
        <v>3461</v>
      </c>
      <c r="E8" s="154" t="s">
        <v>3464</v>
      </c>
      <c r="F8" s="154" t="s">
        <v>3465</v>
      </c>
      <c r="G8" s="154" t="s">
        <v>3460</v>
      </c>
      <c r="H8" s="155" t="n">
        <v>49</v>
      </c>
      <c r="I8" s="155" t="n">
        <v>49</v>
      </c>
      <c r="J8" s="155" t="n">
        <v>49</v>
      </c>
      <c r="K8" s="155" t="n">
        <v>49</v>
      </c>
      <c r="L8" s="155" t="n">
        <v>0</v>
      </c>
      <c r="M8" s="154" t="s">
        <v>4001</v>
      </c>
      <c r="N8" s="154" t="s">
        <v>3826</v>
      </c>
      <c r="O8" s="154" t="s">
        <v>4002</v>
      </c>
      <c r="P8" s="154" t="b">
        <f aca="false">TRUE()</f>
        <v>1</v>
      </c>
      <c r="Q8" s="155" t="n">
        <v>0</v>
      </c>
      <c r="R8" s="155" t="n">
        <v>0</v>
      </c>
      <c r="S8" s="155" t="n">
        <v>0</v>
      </c>
      <c r="T8" s="155" t="n">
        <v>0</v>
      </c>
      <c r="U8" s="155" t="n">
        <v>0</v>
      </c>
      <c r="V8" s="155" t="n">
        <v>0</v>
      </c>
      <c r="W8" s="155" t="n">
        <f aca="false">IF(AND(AB8="范围已验收",N8="verified"),1,0)</f>
        <v>1</v>
      </c>
      <c r="X8" s="155" t="n">
        <v>0</v>
      </c>
      <c r="Y8" s="155" t="n">
        <f aca="false">IF(AB8="范围已验收",1,0)</f>
        <v>1</v>
      </c>
      <c r="Z8" s="155" t="n">
        <f aca="false">H8*Y8</f>
        <v>49</v>
      </c>
      <c r="AA8" s="155" t="n">
        <f aca="false">IF(AND(A8&lt;&gt;"",COUNTIF($A$2:$A$31,A8)=1,F8&lt;&gt;"",COUNTIF($F$2:$F$31,F8)=1),1,0)</f>
        <v>1</v>
      </c>
      <c r="AB8" s="154" t="str">
        <f aca="false">IF(AND(AA8=1,COUNT(H8:L8)=5,H8&gt;0,I8=H8,J8=H8,K8=H8,L8=0,M8="已接受",N8=AR8,OR(AR8="needs_review",AR8="verified"),O8="full_present_file",P8=BL8,BJ8=FALSE(),BQ8=TRUE(),COUNT(Q8:U8)=5,COUNTIF(Q8:U8,0)=5,COUNT(V8,X8,BO8,BR8,BS8,BT8,BU8)=7,BR8=1,BS8=IF(AR8="verified",1,0),V8=BT8,BT8=IF(BK8=TRUE(),-1,0),X8=BU8,IF(BM8=TRUE(),1,0)=IF(BL8=TRUE(),1,0)+X8,OR(BW8=FALSE(),IF(BN8=TRUE(),1,0)=IF(BV8=TRUE(),1,0)+BO8),OR(BN8=FALSE(),BM8=FALSE()),G8&lt;&gt;"",AE8&lt;&gt;"",AW8&lt;&gt;"",BG8&lt;&gt;""),"范围已验收","范围冲突或重复")</f>
        <v>范围已验收</v>
      </c>
      <c r="AC8" s="156" t="n">
        <v>46321.9468287037</v>
      </c>
      <c r="AD8" s="154" t="str">
        <f aca="false">HYPERLINK("https://chatgpt.com/api/library/files/libfile_66b6637a9d148191be83fc71e96c314a/download","下载合并私有接受元数据包")</f>
        <v>下载合并私有接受元数据包</v>
      </c>
      <c r="AE8" s="154" t="s">
        <v>6659</v>
      </c>
      <c r="AF8" s="154" t="s">
        <v>3469</v>
      </c>
      <c r="AG8" s="154" t="s">
        <v>6660</v>
      </c>
      <c r="AH8" s="154" t="s">
        <v>6661</v>
      </c>
      <c r="AI8" s="154" t="s">
        <v>6662</v>
      </c>
      <c r="AJ8" s="154" t="s">
        <v>6545</v>
      </c>
      <c r="AK8" s="154" t="s">
        <v>6663</v>
      </c>
      <c r="AL8" s="154" t="s">
        <v>4009</v>
      </c>
      <c r="AM8" s="156" t="n">
        <v>46321.7618287037</v>
      </c>
      <c r="AN8" s="156" t="n">
        <v>46321.8003356481</v>
      </c>
      <c r="AO8" s="154" t="s">
        <v>6448</v>
      </c>
      <c r="AP8" s="154" t="s">
        <v>6548</v>
      </c>
      <c r="AQ8" s="154" t="s">
        <v>766</v>
      </c>
      <c r="AR8" s="154" t="s">
        <v>3826</v>
      </c>
      <c r="AS8" s="154" t="s">
        <v>6664</v>
      </c>
      <c r="AT8" s="154" t="s">
        <v>6665</v>
      </c>
      <c r="AU8" s="154" t="s">
        <v>6666</v>
      </c>
      <c r="AV8" s="154" t="s">
        <v>6667</v>
      </c>
      <c r="AW8" s="154" t="s">
        <v>6668</v>
      </c>
      <c r="AX8" s="154" t="s">
        <v>6669</v>
      </c>
      <c r="AY8" s="154" t="s">
        <v>6670</v>
      </c>
      <c r="AZ8" s="154" t="s">
        <v>6671</v>
      </c>
      <c r="BA8" s="154" t="s">
        <v>6557</v>
      </c>
      <c r="BB8" s="154" t="s">
        <v>6672</v>
      </c>
      <c r="BC8" s="154" t="s">
        <v>6654</v>
      </c>
      <c r="BD8" s="154" t="s">
        <v>6673</v>
      </c>
      <c r="BE8" s="154" t="s">
        <v>6674</v>
      </c>
      <c r="BF8" s="154" t="s">
        <v>6675</v>
      </c>
      <c r="BG8" s="154" t="s">
        <v>6676</v>
      </c>
      <c r="BH8" s="154" t="s">
        <v>6641</v>
      </c>
      <c r="BI8" s="154" t="s">
        <v>6564</v>
      </c>
      <c r="BJ8" s="154" t="b">
        <f aca="false">FALSE()</f>
        <v>0</v>
      </c>
      <c r="BK8" s="154" t="b">
        <f aca="false">FALSE()</f>
        <v>0</v>
      </c>
      <c r="BL8" s="154" t="b">
        <f aca="false">TRUE()</f>
        <v>1</v>
      </c>
      <c r="BM8" s="154" t="b">
        <f aca="false">TRUE()</f>
        <v>1</v>
      </c>
      <c r="BN8" s="154" t="b">
        <f aca="false">FALSE()</f>
        <v>0</v>
      </c>
      <c r="BO8" s="154" t="n">
        <v>0</v>
      </c>
      <c r="BP8" s="154" t="b">
        <f aca="false">TRUE()</f>
        <v>1</v>
      </c>
      <c r="BQ8" s="154" t="b">
        <f aca="false">TRUE()</f>
        <v>1</v>
      </c>
      <c r="BR8" s="154" t="n">
        <v>1</v>
      </c>
      <c r="BS8" s="154" t="n">
        <v>1</v>
      </c>
      <c r="BT8" s="154" t="n">
        <v>0</v>
      </c>
      <c r="BU8" s="154" t="n">
        <v>0</v>
      </c>
      <c r="BV8" s="154" t="b">
        <f aca="false">FALSE()</f>
        <v>0</v>
      </c>
      <c r="BW8" s="154" t="b">
        <f aca="false">FALSE()</f>
        <v>0</v>
      </c>
    </row>
    <row r="9" customFormat="false" ht="130" hidden="false" customHeight="true" outlineLevel="0" collapsed="false">
      <c r="A9" s="154" t="s">
        <v>6677</v>
      </c>
      <c r="B9" s="154" t="s">
        <v>1669</v>
      </c>
      <c r="C9" s="154" t="s">
        <v>883</v>
      </c>
      <c r="D9" s="154" t="s">
        <v>3472</v>
      </c>
      <c r="E9" s="154" t="s">
        <v>3475</v>
      </c>
      <c r="F9" s="154" t="s">
        <v>3476</v>
      </c>
      <c r="G9" s="154" t="s">
        <v>3471</v>
      </c>
      <c r="H9" s="155" t="n">
        <v>50</v>
      </c>
      <c r="I9" s="155" t="n">
        <v>50</v>
      </c>
      <c r="J9" s="155" t="n">
        <v>50</v>
      </c>
      <c r="K9" s="155" t="n">
        <v>50</v>
      </c>
      <c r="L9" s="155" t="n">
        <v>0</v>
      </c>
      <c r="M9" s="154" t="s">
        <v>4001</v>
      </c>
      <c r="N9" s="154" t="s">
        <v>3838</v>
      </c>
      <c r="O9" s="154" t="s">
        <v>4002</v>
      </c>
      <c r="P9" s="154" t="b">
        <f aca="false">TRUE()</f>
        <v>1</v>
      </c>
      <c r="Q9" s="155" t="n">
        <v>0</v>
      </c>
      <c r="R9" s="155" t="n">
        <v>0</v>
      </c>
      <c r="S9" s="155" t="n">
        <v>0</v>
      </c>
      <c r="T9" s="155" t="n">
        <v>0</v>
      </c>
      <c r="U9" s="155" t="n">
        <v>0</v>
      </c>
      <c r="V9" s="155" t="n">
        <v>0</v>
      </c>
      <c r="W9" s="155" t="n">
        <f aca="false">IF(AND(AB9="范围已验收",N9="verified"),1,0)</f>
        <v>0</v>
      </c>
      <c r="X9" s="155" t="n">
        <v>0</v>
      </c>
      <c r="Y9" s="155" t="n">
        <f aca="false">IF(AB9="范围已验收",1,0)</f>
        <v>1</v>
      </c>
      <c r="Z9" s="155" t="n">
        <f aca="false">H9*Y9</f>
        <v>50</v>
      </c>
      <c r="AA9" s="155" t="n">
        <f aca="false">IF(AND(A9&lt;&gt;"",COUNTIF($A$2:$A$31,A9)=1,F9&lt;&gt;"",COUNTIF($F$2:$F$31,F9)=1),1,0)</f>
        <v>1</v>
      </c>
      <c r="AB9" s="154" t="str">
        <f aca="false">IF(AND(AA9=1,COUNT(H9:L9)=5,H9&gt;0,I9=H9,J9=H9,K9=H9,L9=0,M9="已接受",N9=AR9,OR(AR9="needs_review",AR9="verified"),O9="full_present_file",P9=BL9,BJ9=FALSE(),BQ9=TRUE(),COUNT(Q9:U9)=5,COUNTIF(Q9:U9,0)=5,COUNT(V9,X9,BO9,BR9,BS9,BT9,BU9)=7,BR9=1,BS9=IF(AR9="verified",1,0),V9=BT9,BT9=IF(BK9=TRUE(),-1,0),X9=BU9,IF(BM9=TRUE(),1,0)=IF(BL9=TRUE(),1,0)+X9,OR(BW9=FALSE(),IF(BN9=TRUE(),1,0)=IF(BV9=TRUE(),1,0)+BO9),OR(BN9=FALSE(),BM9=FALSE()),G9&lt;&gt;"",AE9&lt;&gt;"",AW9&lt;&gt;"",BG9&lt;&gt;""),"范围已验收","范围冲突或重复")</f>
        <v>范围已验收</v>
      </c>
      <c r="AC9" s="156" t="n">
        <v>46321.9468287037</v>
      </c>
      <c r="AD9" s="154" t="str">
        <f aca="false">HYPERLINK("https://chatgpt.com/api/library/files/libfile_66b6637a9d148191be83fc71e96c314a/download","下载合并私有接受元数据包")</f>
        <v>下载合并私有接受元数据包</v>
      </c>
      <c r="AE9" s="154" t="s">
        <v>6678</v>
      </c>
      <c r="AF9" s="154" t="s">
        <v>3480</v>
      </c>
      <c r="AG9" s="154" t="s">
        <v>6679</v>
      </c>
      <c r="AH9" s="154" t="s">
        <v>6680</v>
      </c>
      <c r="AI9" s="154" t="s">
        <v>6681</v>
      </c>
      <c r="AJ9" s="154" t="s">
        <v>6545</v>
      </c>
      <c r="AK9" s="154" t="s">
        <v>6682</v>
      </c>
      <c r="AL9" s="154" t="s">
        <v>4009</v>
      </c>
      <c r="AM9" s="156" t="n">
        <v>46321.7618287037</v>
      </c>
      <c r="AN9" s="156" t="n">
        <v>46321.8084375</v>
      </c>
      <c r="AO9" s="154" t="s">
        <v>6683</v>
      </c>
      <c r="AP9" s="154" t="s">
        <v>6548</v>
      </c>
      <c r="AQ9" s="154" t="s">
        <v>766</v>
      </c>
      <c r="AR9" s="154" t="s">
        <v>3838</v>
      </c>
      <c r="AS9" s="154" t="s">
        <v>6684</v>
      </c>
      <c r="AT9" s="154" t="s">
        <v>6685</v>
      </c>
      <c r="AU9" s="154" t="s">
        <v>6686</v>
      </c>
      <c r="AV9" s="154" t="s">
        <v>6687</v>
      </c>
      <c r="AW9" s="154" t="s">
        <v>6688</v>
      </c>
      <c r="AX9" s="154" t="s">
        <v>6689</v>
      </c>
      <c r="AY9" s="154" t="s">
        <v>6690</v>
      </c>
      <c r="AZ9" s="154" t="s">
        <v>6556</v>
      </c>
      <c r="BA9" s="154" t="s">
        <v>6557</v>
      </c>
      <c r="BB9" s="154" t="s">
        <v>6691</v>
      </c>
      <c r="BC9" s="154" t="s">
        <v>6654</v>
      </c>
      <c r="BD9" s="154" t="s">
        <v>6692</v>
      </c>
      <c r="BE9" s="154" t="s">
        <v>6693</v>
      </c>
      <c r="BF9" s="154" t="s">
        <v>6694</v>
      </c>
      <c r="BG9" s="154" t="s">
        <v>6695</v>
      </c>
      <c r="BH9" s="154" t="s">
        <v>6641</v>
      </c>
      <c r="BI9" s="154" t="s">
        <v>6564</v>
      </c>
      <c r="BJ9" s="154" t="b">
        <f aca="false">FALSE()</f>
        <v>0</v>
      </c>
      <c r="BK9" s="154" t="b">
        <f aca="false">FALSE()</f>
        <v>0</v>
      </c>
      <c r="BL9" s="154" t="b">
        <f aca="false">TRUE()</f>
        <v>1</v>
      </c>
      <c r="BM9" s="154" t="b">
        <f aca="false">TRUE()</f>
        <v>1</v>
      </c>
      <c r="BN9" s="154" t="b">
        <f aca="false">FALSE()</f>
        <v>0</v>
      </c>
      <c r="BO9" s="154" t="n">
        <v>0</v>
      </c>
      <c r="BP9" s="154" t="b">
        <f aca="false">TRUE()</f>
        <v>1</v>
      </c>
      <c r="BQ9" s="154" t="b">
        <f aca="false">TRUE()</f>
        <v>1</v>
      </c>
      <c r="BR9" s="154" t="n">
        <v>1</v>
      </c>
      <c r="BS9" s="154" t="n">
        <v>0</v>
      </c>
      <c r="BT9" s="154" t="n">
        <v>0</v>
      </c>
      <c r="BU9" s="154" t="n">
        <v>0</v>
      </c>
      <c r="BV9" s="154" t="b">
        <f aca="false">FALSE()</f>
        <v>0</v>
      </c>
      <c r="BW9" s="154" t="b">
        <f aca="false">FALSE()</f>
        <v>0</v>
      </c>
    </row>
    <row r="10" customFormat="false" ht="130" hidden="false" customHeight="true" outlineLevel="0" collapsed="false">
      <c r="A10" s="154" t="s">
        <v>6696</v>
      </c>
      <c r="B10" s="154" t="s">
        <v>1669</v>
      </c>
      <c r="C10" s="154" t="s">
        <v>883</v>
      </c>
      <c r="D10" s="154" t="s">
        <v>3483</v>
      </c>
      <c r="E10" s="154" t="s">
        <v>3486</v>
      </c>
      <c r="F10" s="154" t="s">
        <v>3487</v>
      </c>
      <c r="G10" s="154" t="s">
        <v>3482</v>
      </c>
      <c r="H10" s="155" t="n">
        <v>54</v>
      </c>
      <c r="I10" s="155" t="n">
        <v>54</v>
      </c>
      <c r="J10" s="155" t="n">
        <v>54</v>
      </c>
      <c r="K10" s="155" t="n">
        <v>54</v>
      </c>
      <c r="L10" s="155" t="n">
        <v>0</v>
      </c>
      <c r="M10" s="154" t="s">
        <v>4001</v>
      </c>
      <c r="N10" s="154" t="s">
        <v>3838</v>
      </c>
      <c r="O10" s="154" t="s">
        <v>4002</v>
      </c>
      <c r="P10" s="154" t="b">
        <f aca="false">TRUE()</f>
        <v>1</v>
      </c>
      <c r="Q10" s="155" t="n">
        <v>0</v>
      </c>
      <c r="R10" s="155" t="n">
        <v>0</v>
      </c>
      <c r="S10" s="155" t="n">
        <v>0</v>
      </c>
      <c r="T10" s="155" t="n">
        <v>0</v>
      </c>
      <c r="U10" s="155" t="n">
        <v>0</v>
      </c>
      <c r="V10" s="155" t="n">
        <v>0</v>
      </c>
      <c r="W10" s="155" t="n">
        <f aca="false">IF(AND(AB10="范围已验收",N10="verified"),1,0)</f>
        <v>0</v>
      </c>
      <c r="X10" s="155" t="n">
        <v>0</v>
      </c>
      <c r="Y10" s="155" t="n">
        <f aca="false">IF(AB10="范围已验收",1,0)</f>
        <v>1</v>
      </c>
      <c r="Z10" s="155" t="n">
        <f aca="false">H10*Y10</f>
        <v>54</v>
      </c>
      <c r="AA10" s="155" t="n">
        <f aca="false">IF(AND(A10&lt;&gt;"",COUNTIF($A$2:$A$31,A10)=1,F10&lt;&gt;"",COUNTIF($F$2:$F$31,F10)=1),1,0)</f>
        <v>1</v>
      </c>
      <c r="AB10" s="154" t="str">
        <f aca="false">IF(AND(AA10=1,COUNT(H10:L10)=5,H10&gt;0,I10=H10,J10=H10,K10=H10,L10=0,M10="已接受",N10=AR10,OR(AR10="needs_review",AR10="verified"),O10="full_present_file",P10=BL10,BJ10=FALSE(),BQ10=TRUE(),COUNT(Q10:U10)=5,COUNTIF(Q10:U10,0)=5,COUNT(V10,X10,BO10,BR10,BS10,BT10,BU10)=7,BR10=1,BS10=IF(AR10="verified",1,0),V10=BT10,BT10=IF(BK10=TRUE(),-1,0),X10=BU10,IF(BM10=TRUE(),1,0)=IF(BL10=TRUE(),1,0)+X10,OR(BW10=FALSE(),IF(BN10=TRUE(),1,0)=IF(BV10=TRUE(),1,0)+BO10),OR(BN10=FALSE(),BM10=FALSE()),G10&lt;&gt;"",AE10&lt;&gt;"",AW10&lt;&gt;"",BG10&lt;&gt;""),"范围已验收","范围冲突或重复")</f>
        <v>范围已验收</v>
      </c>
      <c r="AC10" s="156" t="n">
        <v>46321.9468287037</v>
      </c>
      <c r="AD10" s="154" t="str">
        <f aca="false">HYPERLINK("https://chatgpt.com/api/library/files/libfile_66b6637a9d148191be83fc71e96c314a/download","下载合并私有接受元数据包")</f>
        <v>下载合并私有接受元数据包</v>
      </c>
      <c r="AE10" s="154" t="s">
        <v>6697</v>
      </c>
      <c r="AF10" s="154" t="s">
        <v>3491</v>
      </c>
      <c r="AG10" s="154" t="s">
        <v>6698</v>
      </c>
      <c r="AH10" s="154" t="s">
        <v>6699</v>
      </c>
      <c r="AI10" s="154" t="s">
        <v>6700</v>
      </c>
      <c r="AJ10" s="154" t="s">
        <v>6545</v>
      </c>
      <c r="AK10" s="154" t="s">
        <v>6701</v>
      </c>
      <c r="AL10" s="154" t="s">
        <v>4009</v>
      </c>
      <c r="AM10" s="156" t="n">
        <v>46321.7618287037</v>
      </c>
      <c r="AN10" s="156" t="n">
        <v>46321.8169560185</v>
      </c>
      <c r="AO10" s="154" t="s">
        <v>6702</v>
      </c>
      <c r="AP10" s="154" t="s">
        <v>6548</v>
      </c>
      <c r="AQ10" s="154" t="s">
        <v>766</v>
      </c>
      <c r="AR10" s="154" t="s">
        <v>3838</v>
      </c>
      <c r="AS10" s="154" t="s">
        <v>6703</v>
      </c>
      <c r="AT10" s="154" t="s">
        <v>6704</v>
      </c>
      <c r="AU10" s="154" t="s">
        <v>6705</v>
      </c>
      <c r="AV10" s="154" t="s">
        <v>6706</v>
      </c>
      <c r="AW10" s="154" t="s">
        <v>6707</v>
      </c>
      <c r="AX10" s="154" t="s">
        <v>6708</v>
      </c>
      <c r="AY10" s="154" t="s">
        <v>6709</v>
      </c>
      <c r="AZ10" s="154" t="s">
        <v>6556</v>
      </c>
      <c r="BA10" s="154" t="s">
        <v>6557</v>
      </c>
      <c r="BB10" s="154" t="s">
        <v>6691</v>
      </c>
      <c r="BC10" s="154" t="s">
        <v>6636</v>
      </c>
      <c r="BD10" s="154" t="s">
        <v>6710</v>
      </c>
      <c r="BE10" s="154" t="s">
        <v>6711</v>
      </c>
      <c r="BF10" s="154" t="s">
        <v>6712</v>
      </c>
      <c r="BG10" s="154" t="s">
        <v>6713</v>
      </c>
      <c r="BH10" s="154" t="s">
        <v>6641</v>
      </c>
      <c r="BI10" s="154" t="s">
        <v>6564</v>
      </c>
      <c r="BJ10" s="154" t="b">
        <f aca="false">FALSE()</f>
        <v>0</v>
      </c>
      <c r="BK10" s="154" t="b">
        <f aca="false">FALSE()</f>
        <v>0</v>
      </c>
      <c r="BL10" s="154" t="b">
        <f aca="false">TRUE()</f>
        <v>1</v>
      </c>
      <c r="BM10" s="154" t="b">
        <f aca="false">TRUE()</f>
        <v>1</v>
      </c>
      <c r="BN10" s="154" t="b">
        <f aca="false">FALSE()</f>
        <v>0</v>
      </c>
      <c r="BO10" s="154" t="n">
        <v>0</v>
      </c>
      <c r="BP10" s="154" t="b">
        <f aca="false">TRUE()</f>
        <v>1</v>
      </c>
      <c r="BQ10" s="154" t="b">
        <f aca="false">TRUE()</f>
        <v>1</v>
      </c>
      <c r="BR10" s="154" t="n">
        <v>1</v>
      </c>
      <c r="BS10" s="154" t="n">
        <v>0</v>
      </c>
      <c r="BT10" s="154" t="n">
        <v>0</v>
      </c>
      <c r="BU10" s="154" t="n">
        <v>0</v>
      </c>
      <c r="BV10" s="154" t="b">
        <f aca="false">FALSE()</f>
        <v>0</v>
      </c>
      <c r="BW10" s="154" t="b">
        <f aca="false">FALSE()</f>
        <v>0</v>
      </c>
    </row>
    <row r="11" customFormat="false" ht="130" hidden="false" customHeight="true" outlineLevel="0" collapsed="false">
      <c r="A11" s="154" t="s">
        <v>6714</v>
      </c>
      <c r="B11" s="154" t="s">
        <v>1669</v>
      </c>
      <c r="C11" s="154" t="s">
        <v>883</v>
      </c>
      <c r="D11" s="154" t="s">
        <v>3516</v>
      </c>
      <c r="E11" s="154" t="s">
        <v>3519</v>
      </c>
      <c r="F11" s="154" t="s">
        <v>3520</v>
      </c>
      <c r="G11" s="154" t="s">
        <v>3515</v>
      </c>
      <c r="H11" s="155" t="n">
        <v>42</v>
      </c>
      <c r="I11" s="155" t="n">
        <v>42</v>
      </c>
      <c r="J11" s="155" t="n">
        <v>42</v>
      </c>
      <c r="K11" s="155" t="n">
        <v>42</v>
      </c>
      <c r="L11" s="155" t="n">
        <v>0</v>
      </c>
      <c r="M11" s="154" t="s">
        <v>4001</v>
      </c>
      <c r="N11" s="154" t="s">
        <v>3838</v>
      </c>
      <c r="O11" s="154" t="s">
        <v>4002</v>
      </c>
      <c r="P11" s="154" t="b">
        <f aca="false">TRUE()</f>
        <v>1</v>
      </c>
      <c r="Q11" s="155" t="n">
        <v>0</v>
      </c>
      <c r="R11" s="155" t="n">
        <v>0</v>
      </c>
      <c r="S11" s="155" t="n">
        <v>0</v>
      </c>
      <c r="T11" s="155" t="n">
        <v>0</v>
      </c>
      <c r="U11" s="155" t="n">
        <v>0</v>
      </c>
      <c r="V11" s="155" t="n">
        <v>0</v>
      </c>
      <c r="W11" s="155" t="n">
        <f aca="false">IF(AND(AB11="范围已验收",N11="verified"),1,0)</f>
        <v>0</v>
      </c>
      <c r="X11" s="155" t="n">
        <v>0</v>
      </c>
      <c r="Y11" s="155" t="n">
        <f aca="false">IF(AB11="范围已验收",1,0)</f>
        <v>1</v>
      </c>
      <c r="Z11" s="155" t="n">
        <f aca="false">H11*Y11</f>
        <v>42</v>
      </c>
      <c r="AA11" s="155" t="n">
        <f aca="false">IF(AND(A11&lt;&gt;"",COUNTIF($A$2:$A$31,A11)=1,F11&lt;&gt;"",COUNTIF($F$2:$F$31,F11)=1),1,0)</f>
        <v>1</v>
      </c>
      <c r="AB11" s="154" t="str">
        <f aca="false">IF(AND(AA11=1,COUNT(H11:L11)=5,H11&gt;0,I11=H11,J11=H11,K11=H11,L11=0,M11="已接受",N11=AR11,OR(AR11="needs_review",AR11="verified"),O11="full_present_file",P11=BL11,BJ11=FALSE(),BQ11=TRUE(),COUNT(Q11:U11)=5,COUNTIF(Q11:U11,0)=5,COUNT(V11,X11,BO11,BR11,BS11,BT11,BU11)=7,BR11=1,BS11=IF(AR11="verified",1,0),V11=BT11,BT11=IF(BK11=TRUE(),-1,0),X11=BU11,IF(BM11=TRUE(),1,0)=IF(BL11=TRUE(),1,0)+X11,OR(BW11=FALSE(),IF(BN11=TRUE(),1,0)=IF(BV11=TRUE(),1,0)+BO11),OR(BN11=FALSE(),BM11=FALSE()),G11&lt;&gt;"",AE11&lt;&gt;"",AW11&lt;&gt;"",BG11&lt;&gt;""),"范围已验收","范围冲突或重复")</f>
        <v>范围已验收</v>
      </c>
      <c r="AC11" s="156" t="n">
        <v>46321.9468287037</v>
      </c>
      <c r="AD11" s="154" t="str">
        <f aca="false">HYPERLINK("https://chatgpt.com/api/library/files/libfile_66b6637a9d148191be83fc71e96c314a/download","下载合并私有接受元数据包")</f>
        <v>下载合并私有接受元数据包</v>
      </c>
      <c r="AE11" s="154" t="s">
        <v>6715</v>
      </c>
      <c r="AF11" s="154" t="s">
        <v>3524</v>
      </c>
      <c r="AG11" s="154" t="s">
        <v>6716</v>
      </c>
      <c r="AH11" s="154" t="s">
        <v>6717</v>
      </c>
      <c r="AI11" s="154" t="s">
        <v>6718</v>
      </c>
      <c r="AJ11" s="154" t="s">
        <v>6545</v>
      </c>
      <c r="AK11" s="154" t="s">
        <v>6719</v>
      </c>
      <c r="AL11" s="154" t="s">
        <v>4009</v>
      </c>
      <c r="AM11" s="156" t="n">
        <v>46321.7618287037</v>
      </c>
      <c r="AN11" s="156" t="n">
        <v>46321.7819212963</v>
      </c>
      <c r="AO11" s="154" t="s">
        <v>6720</v>
      </c>
      <c r="AP11" s="154" t="s">
        <v>6548</v>
      </c>
      <c r="AQ11" s="154" t="s">
        <v>766</v>
      </c>
      <c r="AR11" s="154" t="s">
        <v>3838</v>
      </c>
      <c r="AS11" s="154" t="s">
        <v>6721</v>
      </c>
      <c r="AT11" s="154" t="s">
        <v>6722</v>
      </c>
      <c r="AU11" s="154" t="s">
        <v>6723</v>
      </c>
      <c r="AV11" s="154" t="s">
        <v>6724</v>
      </c>
      <c r="AW11" s="154" t="s">
        <v>6725</v>
      </c>
      <c r="AX11" s="154" t="s">
        <v>6726</v>
      </c>
      <c r="AY11" s="154" t="s">
        <v>6727</v>
      </c>
      <c r="AZ11" s="154" t="s">
        <v>6556</v>
      </c>
      <c r="BA11" s="154" t="s">
        <v>6557</v>
      </c>
      <c r="BB11" s="154" t="s">
        <v>6728</v>
      </c>
      <c r="BC11" s="154" t="s">
        <v>6729</v>
      </c>
      <c r="BD11" s="154" t="s">
        <v>6730</v>
      </c>
      <c r="BE11" s="154" t="s">
        <v>6731</v>
      </c>
      <c r="BF11" s="154" t="s">
        <v>6732</v>
      </c>
      <c r="BG11" s="154" t="s">
        <v>6733</v>
      </c>
      <c r="BH11" s="154" t="s">
        <v>6641</v>
      </c>
      <c r="BI11" s="154" t="s">
        <v>6564</v>
      </c>
      <c r="BJ11" s="154" t="b">
        <f aca="false">FALSE()</f>
        <v>0</v>
      </c>
      <c r="BK11" s="154" t="b">
        <f aca="false">FALSE()</f>
        <v>0</v>
      </c>
      <c r="BL11" s="154" t="b">
        <f aca="false">TRUE()</f>
        <v>1</v>
      </c>
      <c r="BM11" s="154" t="b">
        <f aca="false">TRUE()</f>
        <v>1</v>
      </c>
      <c r="BN11" s="154" t="b">
        <f aca="false">FALSE()</f>
        <v>0</v>
      </c>
      <c r="BO11" s="154" t="n">
        <v>0</v>
      </c>
      <c r="BP11" s="154" t="b">
        <f aca="false">TRUE()</f>
        <v>1</v>
      </c>
      <c r="BQ11" s="154" t="b">
        <f aca="false">TRUE()</f>
        <v>1</v>
      </c>
      <c r="BR11" s="154" t="n">
        <v>1</v>
      </c>
      <c r="BS11" s="154" t="n">
        <v>0</v>
      </c>
      <c r="BT11" s="154" t="n">
        <v>0</v>
      </c>
      <c r="BU11" s="154" t="n">
        <v>0</v>
      </c>
      <c r="BV11" s="154" t="b">
        <f aca="false">FALSE()</f>
        <v>0</v>
      </c>
      <c r="BW11" s="154" t="b">
        <f aca="false">FALSE()</f>
        <v>0</v>
      </c>
    </row>
    <row r="12" customFormat="false" ht="130" hidden="false" customHeight="true" outlineLevel="0" collapsed="false">
      <c r="A12" s="154" t="s">
        <v>6734</v>
      </c>
      <c r="B12" s="154" t="s">
        <v>1669</v>
      </c>
      <c r="C12" s="154" t="s">
        <v>883</v>
      </c>
      <c r="D12" s="154" t="s">
        <v>3527</v>
      </c>
      <c r="E12" s="154" t="s">
        <v>3530</v>
      </c>
      <c r="F12" s="154" t="s">
        <v>3531</v>
      </c>
      <c r="G12" s="154" t="s">
        <v>3526</v>
      </c>
      <c r="H12" s="155" t="n">
        <v>41</v>
      </c>
      <c r="I12" s="155" t="n">
        <v>41</v>
      </c>
      <c r="J12" s="155" t="n">
        <v>41</v>
      </c>
      <c r="K12" s="155" t="n">
        <v>41</v>
      </c>
      <c r="L12" s="155" t="n">
        <v>0</v>
      </c>
      <c r="M12" s="154" t="s">
        <v>4001</v>
      </c>
      <c r="N12" s="154" t="s">
        <v>3838</v>
      </c>
      <c r="O12" s="154" t="s">
        <v>4002</v>
      </c>
      <c r="P12" s="154" t="b">
        <f aca="false">TRUE()</f>
        <v>1</v>
      </c>
      <c r="Q12" s="155" t="n">
        <v>0</v>
      </c>
      <c r="R12" s="155" t="n">
        <v>0</v>
      </c>
      <c r="S12" s="155" t="n">
        <v>0</v>
      </c>
      <c r="T12" s="155" t="n">
        <v>0</v>
      </c>
      <c r="U12" s="155" t="n">
        <v>0</v>
      </c>
      <c r="V12" s="155" t="n">
        <v>0</v>
      </c>
      <c r="W12" s="155" t="n">
        <f aca="false">IF(AND(AB12="范围已验收",N12="verified"),1,0)</f>
        <v>0</v>
      </c>
      <c r="X12" s="155" t="n">
        <v>0</v>
      </c>
      <c r="Y12" s="155" t="n">
        <f aca="false">IF(AB12="范围已验收",1,0)</f>
        <v>1</v>
      </c>
      <c r="Z12" s="155" t="n">
        <f aca="false">H12*Y12</f>
        <v>41</v>
      </c>
      <c r="AA12" s="155" t="n">
        <f aca="false">IF(AND(A12&lt;&gt;"",COUNTIF($A$2:$A$31,A12)=1,F12&lt;&gt;"",COUNTIF($F$2:$F$31,F12)=1),1,0)</f>
        <v>1</v>
      </c>
      <c r="AB12" s="154" t="str">
        <f aca="false">IF(AND(AA12=1,COUNT(H12:L12)=5,H12&gt;0,I12=H12,J12=H12,K12=H12,L12=0,M12="已接受",N12=AR12,OR(AR12="needs_review",AR12="verified"),O12="full_present_file",P12=BL12,BJ12=FALSE(),BQ12=TRUE(),COUNT(Q12:U12)=5,COUNTIF(Q12:U12,0)=5,COUNT(V12,X12,BO12,BR12,BS12,BT12,BU12)=7,BR12=1,BS12=IF(AR12="verified",1,0),V12=BT12,BT12=IF(BK12=TRUE(),-1,0),X12=BU12,IF(BM12=TRUE(),1,0)=IF(BL12=TRUE(),1,0)+X12,OR(BW12=FALSE(),IF(BN12=TRUE(),1,0)=IF(BV12=TRUE(),1,0)+BO12),OR(BN12=FALSE(),BM12=FALSE()),G12&lt;&gt;"",AE12&lt;&gt;"",AW12&lt;&gt;"",BG12&lt;&gt;""),"范围已验收","范围冲突或重复")</f>
        <v>范围已验收</v>
      </c>
      <c r="AC12" s="156" t="n">
        <v>46321.9468287037</v>
      </c>
      <c r="AD12" s="154" t="str">
        <f aca="false">HYPERLINK("https://chatgpt.com/api/library/files/libfile_66b6637a9d148191be83fc71e96c314a/download","下载合并私有接受元数据包")</f>
        <v>下载合并私有接受元数据包</v>
      </c>
      <c r="AE12" s="154" t="s">
        <v>6735</v>
      </c>
      <c r="AF12" s="154" t="s">
        <v>3535</v>
      </c>
      <c r="AG12" s="154" t="s">
        <v>6736</v>
      </c>
      <c r="AH12" s="154" t="s">
        <v>6737</v>
      </c>
      <c r="AI12" s="154" t="s">
        <v>6738</v>
      </c>
      <c r="AJ12" s="154" t="s">
        <v>6545</v>
      </c>
      <c r="AK12" s="154" t="s">
        <v>6739</v>
      </c>
      <c r="AL12" s="154" t="s">
        <v>4009</v>
      </c>
      <c r="AM12" s="156" t="n">
        <v>46321.7618287037</v>
      </c>
      <c r="AN12" s="156" t="n">
        <v>46321.7897453704</v>
      </c>
      <c r="AO12" s="154" t="s">
        <v>6740</v>
      </c>
      <c r="AP12" s="154" t="s">
        <v>6548</v>
      </c>
      <c r="AQ12" s="154" t="s">
        <v>766</v>
      </c>
      <c r="AR12" s="154" t="s">
        <v>3838</v>
      </c>
      <c r="AS12" s="154" t="s">
        <v>6741</v>
      </c>
      <c r="AT12" s="154" t="s">
        <v>6742</v>
      </c>
      <c r="AU12" s="154" t="s">
        <v>6743</v>
      </c>
      <c r="AV12" s="154" t="s">
        <v>6744</v>
      </c>
      <c r="AW12" s="154" t="s">
        <v>6745</v>
      </c>
      <c r="AX12" s="154" t="s">
        <v>6746</v>
      </c>
      <c r="AY12" s="154" t="s">
        <v>6747</v>
      </c>
      <c r="AZ12" s="154" t="s">
        <v>6556</v>
      </c>
      <c r="BA12" s="154" t="s">
        <v>6557</v>
      </c>
      <c r="BB12" s="154" t="s">
        <v>6728</v>
      </c>
      <c r="BC12" s="154" t="s">
        <v>6748</v>
      </c>
      <c r="BD12" s="154" t="s">
        <v>6749</v>
      </c>
      <c r="BE12" s="154" t="s">
        <v>6750</v>
      </c>
      <c r="BF12" s="154" t="s">
        <v>6751</v>
      </c>
      <c r="BG12" s="154" t="s">
        <v>6752</v>
      </c>
      <c r="BH12" s="154" t="s">
        <v>6641</v>
      </c>
      <c r="BI12" s="154" t="s">
        <v>6564</v>
      </c>
      <c r="BJ12" s="154" t="b">
        <f aca="false">FALSE()</f>
        <v>0</v>
      </c>
      <c r="BK12" s="154" t="b">
        <f aca="false">FALSE()</f>
        <v>0</v>
      </c>
      <c r="BL12" s="154" t="b">
        <f aca="false">TRUE()</f>
        <v>1</v>
      </c>
      <c r="BM12" s="154" t="b">
        <f aca="false">TRUE()</f>
        <v>1</v>
      </c>
      <c r="BN12" s="154" t="b">
        <f aca="false">FALSE()</f>
        <v>0</v>
      </c>
      <c r="BO12" s="154" t="n">
        <v>0</v>
      </c>
      <c r="BP12" s="154" t="b">
        <f aca="false">TRUE()</f>
        <v>1</v>
      </c>
      <c r="BQ12" s="154" t="b">
        <f aca="false">TRUE()</f>
        <v>1</v>
      </c>
      <c r="BR12" s="154" t="n">
        <v>1</v>
      </c>
      <c r="BS12" s="154" t="n">
        <v>0</v>
      </c>
      <c r="BT12" s="154" t="n">
        <v>0</v>
      </c>
      <c r="BU12" s="154" t="n">
        <v>0</v>
      </c>
      <c r="BV12" s="154" t="b">
        <f aca="false">FALSE()</f>
        <v>0</v>
      </c>
      <c r="BW12" s="154" t="b">
        <f aca="false">FALSE()</f>
        <v>0</v>
      </c>
    </row>
    <row r="13" customFormat="false" ht="130" hidden="false" customHeight="true" outlineLevel="0" collapsed="false">
      <c r="A13" s="154" t="s">
        <v>6753</v>
      </c>
      <c r="B13" s="154" t="s">
        <v>1669</v>
      </c>
      <c r="C13" s="154" t="s">
        <v>883</v>
      </c>
      <c r="D13" s="154" t="s">
        <v>3538</v>
      </c>
      <c r="E13" s="154" t="s">
        <v>3541</v>
      </c>
      <c r="F13" s="154" t="s">
        <v>3542</v>
      </c>
      <c r="G13" s="154" t="s">
        <v>3537</v>
      </c>
      <c r="H13" s="155" t="n">
        <v>44</v>
      </c>
      <c r="I13" s="155" t="n">
        <v>44</v>
      </c>
      <c r="J13" s="155" t="n">
        <v>44</v>
      </c>
      <c r="K13" s="155" t="n">
        <v>44</v>
      </c>
      <c r="L13" s="155" t="n">
        <v>0</v>
      </c>
      <c r="M13" s="154" t="s">
        <v>4001</v>
      </c>
      <c r="N13" s="154" t="s">
        <v>3838</v>
      </c>
      <c r="O13" s="154" t="s">
        <v>4002</v>
      </c>
      <c r="P13" s="154" t="b">
        <f aca="false">TRUE()</f>
        <v>1</v>
      </c>
      <c r="Q13" s="155" t="n">
        <v>0</v>
      </c>
      <c r="R13" s="155" t="n">
        <v>0</v>
      </c>
      <c r="S13" s="155" t="n">
        <v>0</v>
      </c>
      <c r="T13" s="155" t="n">
        <v>0</v>
      </c>
      <c r="U13" s="155" t="n">
        <v>0</v>
      </c>
      <c r="V13" s="155" t="n">
        <v>0</v>
      </c>
      <c r="W13" s="155" t="n">
        <f aca="false">IF(AND(AB13="范围已验收",N13="verified"),1,0)</f>
        <v>0</v>
      </c>
      <c r="X13" s="155" t="n">
        <v>0</v>
      </c>
      <c r="Y13" s="155" t="n">
        <f aca="false">IF(AB13="范围已验收",1,0)</f>
        <v>1</v>
      </c>
      <c r="Z13" s="155" t="n">
        <f aca="false">H13*Y13</f>
        <v>44</v>
      </c>
      <c r="AA13" s="155" t="n">
        <f aca="false">IF(AND(A13&lt;&gt;"",COUNTIF($A$2:$A$31,A13)=1,F13&lt;&gt;"",COUNTIF($F$2:$F$31,F13)=1),1,0)</f>
        <v>1</v>
      </c>
      <c r="AB13" s="154" t="str">
        <f aca="false">IF(AND(AA13=1,COUNT(H13:L13)=5,H13&gt;0,I13=H13,J13=H13,K13=H13,L13=0,M13="已接受",N13=AR13,OR(AR13="needs_review",AR13="verified"),O13="full_present_file",P13=BL13,BJ13=FALSE(),BQ13=TRUE(),COUNT(Q13:U13)=5,COUNTIF(Q13:U13,0)=5,COUNT(V13,X13,BO13,BR13,BS13,BT13,BU13)=7,BR13=1,BS13=IF(AR13="verified",1,0),V13=BT13,BT13=IF(BK13=TRUE(),-1,0),X13=BU13,IF(BM13=TRUE(),1,0)=IF(BL13=TRUE(),1,0)+X13,OR(BW13=FALSE(),IF(BN13=TRUE(),1,0)=IF(BV13=TRUE(),1,0)+BO13),OR(BN13=FALSE(),BM13=FALSE()),G13&lt;&gt;"",AE13&lt;&gt;"",AW13&lt;&gt;"",BG13&lt;&gt;""),"范围已验收","范围冲突或重复")</f>
        <v>范围已验收</v>
      </c>
      <c r="AC13" s="156" t="n">
        <v>46321.9468287037</v>
      </c>
      <c r="AD13" s="154" t="str">
        <f aca="false">HYPERLINK("https://chatgpt.com/api/library/files/libfile_66b6637a9d148191be83fc71e96c314a/download","下载合并私有接受元数据包")</f>
        <v>下载合并私有接受元数据包</v>
      </c>
      <c r="AE13" s="154" t="s">
        <v>6754</v>
      </c>
      <c r="AF13" s="154" t="s">
        <v>3546</v>
      </c>
      <c r="AG13" s="154" t="s">
        <v>6755</v>
      </c>
      <c r="AH13" s="154" t="s">
        <v>6756</v>
      </c>
      <c r="AI13" s="154" t="s">
        <v>6757</v>
      </c>
      <c r="AJ13" s="154" t="s">
        <v>6545</v>
      </c>
      <c r="AK13" s="154" t="s">
        <v>6758</v>
      </c>
      <c r="AL13" s="154" t="s">
        <v>4009</v>
      </c>
      <c r="AM13" s="156" t="n">
        <v>46321.7618287037</v>
      </c>
      <c r="AN13" s="156" t="n">
        <v>46321.7959027778</v>
      </c>
      <c r="AO13" s="154" t="s">
        <v>6759</v>
      </c>
      <c r="AP13" s="154" t="s">
        <v>6548</v>
      </c>
      <c r="AQ13" s="154" t="s">
        <v>766</v>
      </c>
      <c r="AR13" s="154" t="s">
        <v>3838</v>
      </c>
      <c r="AS13" s="154" t="s">
        <v>6592</v>
      </c>
      <c r="AT13" s="154" t="s">
        <v>6760</v>
      </c>
      <c r="AU13" s="154" t="s">
        <v>6761</v>
      </c>
      <c r="AV13" s="154" t="s">
        <v>6762</v>
      </c>
      <c r="AW13" s="154" t="s">
        <v>6763</v>
      </c>
      <c r="AX13" s="154" t="s">
        <v>6764</v>
      </c>
      <c r="AY13" s="154" t="s">
        <v>6765</v>
      </c>
      <c r="AZ13" s="154" t="s">
        <v>6556</v>
      </c>
      <c r="BA13" s="154" t="s">
        <v>6557</v>
      </c>
      <c r="BB13" s="154" t="s">
        <v>6599</v>
      </c>
      <c r="BC13" s="154" t="s">
        <v>6766</v>
      </c>
      <c r="BD13" s="154" t="s">
        <v>6767</v>
      </c>
      <c r="BE13" s="154" t="s">
        <v>6768</v>
      </c>
      <c r="BF13" s="154" t="s">
        <v>6769</v>
      </c>
      <c r="BG13" s="154" t="s">
        <v>6770</v>
      </c>
      <c r="BH13" s="154" t="s">
        <v>6641</v>
      </c>
      <c r="BI13" s="154" t="s">
        <v>6564</v>
      </c>
      <c r="BJ13" s="154" t="b">
        <f aca="false">FALSE()</f>
        <v>0</v>
      </c>
      <c r="BK13" s="154" t="b">
        <f aca="false">FALSE()</f>
        <v>0</v>
      </c>
      <c r="BL13" s="154" t="b">
        <f aca="false">TRUE()</f>
        <v>1</v>
      </c>
      <c r="BM13" s="154" t="b">
        <f aca="false">TRUE()</f>
        <v>1</v>
      </c>
      <c r="BN13" s="154" t="b">
        <f aca="false">FALSE()</f>
        <v>0</v>
      </c>
      <c r="BO13" s="154" t="n">
        <v>0</v>
      </c>
      <c r="BP13" s="154" t="b">
        <f aca="false">TRUE()</f>
        <v>1</v>
      </c>
      <c r="BQ13" s="154" t="b">
        <f aca="false">TRUE()</f>
        <v>1</v>
      </c>
      <c r="BR13" s="154" t="n">
        <v>1</v>
      </c>
      <c r="BS13" s="154" t="n">
        <v>0</v>
      </c>
      <c r="BT13" s="154" t="n">
        <v>0</v>
      </c>
      <c r="BU13" s="154" t="n">
        <v>0</v>
      </c>
      <c r="BV13" s="154" t="b">
        <f aca="false">FALSE()</f>
        <v>0</v>
      </c>
      <c r="BW13" s="154" t="b">
        <f aca="false">FALSE()</f>
        <v>0</v>
      </c>
    </row>
    <row r="14" customFormat="false" ht="130" hidden="false" customHeight="true" outlineLevel="0" collapsed="false">
      <c r="A14" s="154" t="s">
        <v>6771</v>
      </c>
      <c r="B14" s="154" t="s">
        <v>1669</v>
      </c>
      <c r="C14" s="154" t="s">
        <v>883</v>
      </c>
      <c r="D14" s="154" t="s">
        <v>3592</v>
      </c>
      <c r="E14" s="154" t="s">
        <v>3595</v>
      </c>
      <c r="F14" s="154" t="s">
        <v>3596</v>
      </c>
      <c r="G14" s="154" t="s">
        <v>3591</v>
      </c>
      <c r="H14" s="155" t="n">
        <v>87</v>
      </c>
      <c r="I14" s="155" t="n">
        <v>87</v>
      </c>
      <c r="J14" s="155" t="n">
        <v>87</v>
      </c>
      <c r="K14" s="155" t="n">
        <v>87</v>
      </c>
      <c r="L14" s="155" t="n">
        <v>0</v>
      </c>
      <c r="M14" s="154" t="s">
        <v>4001</v>
      </c>
      <c r="N14" s="154" t="s">
        <v>3838</v>
      </c>
      <c r="O14" s="154" t="s">
        <v>4002</v>
      </c>
      <c r="P14" s="154" t="b">
        <f aca="false">TRUE()</f>
        <v>1</v>
      </c>
      <c r="Q14" s="155" t="n">
        <v>0</v>
      </c>
      <c r="R14" s="155" t="n">
        <v>0</v>
      </c>
      <c r="S14" s="155" t="n">
        <v>0</v>
      </c>
      <c r="T14" s="155" t="n">
        <v>0</v>
      </c>
      <c r="U14" s="155" t="n">
        <v>0</v>
      </c>
      <c r="V14" s="155" t="n">
        <v>0</v>
      </c>
      <c r="W14" s="155" t="n">
        <f aca="false">IF(AND(AB14="范围已验收",N14="verified"),1,0)</f>
        <v>0</v>
      </c>
      <c r="X14" s="155" t="n">
        <v>0</v>
      </c>
      <c r="Y14" s="155" t="n">
        <f aca="false">IF(AB14="范围已验收",1,0)</f>
        <v>1</v>
      </c>
      <c r="Z14" s="155" t="n">
        <f aca="false">H14*Y14</f>
        <v>87</v>
      </c>
      <c r="AA14" s="155" t="n">
        <f aca="false">IF(AND(A14&lt;&gt;"",COUNTIF($A$2:$A$31,A14)=1,F14&lt;&gt;"",COUNTIF($F$2:$F$31,F14)=1),1,0)</f>
        <v>1</v>
      </c>
      <c r="AB14" s="154" t="str">
        <f aca="false">IF(AND(AA14=1,COUNT(H14:L14)=5,H14&gt;0,I14=H14,J14=H14,K14=H14,L14=0,M14="已接受",N14=AR14,OR(AR14="needs_review",AR14="verified"),O14="full_present_file",P14=BL14,BJ14=FALSE(),BQ14=TRUE(),COUNT(Q14:U14)=5,COUNTIF(Q14:U14,0)=5,COUNT(V14,X14,BO14,BR14,BS14,BT14,BU14)=7,BR14=1,BS14=IF(AR14="verified",1,0),V14=BT14,BT14=IF(BK14=TRUE(),-1,0),X14=BU14,IF(BM14=TRUE(),1,0)=IF(BL14=TRUE(),1,0)+X14,OR(BW14=FALSE(),IF(BN14=TRUE(),1,0)=IF(BV14=TRUE(),1,0)+BO14),OR(BN14=FALSE(),BM14=FALSE()),G14&lt;&gt;"",AE14&lt;&gt;"",AW14&lt;&gt;"",BG14&lt;&gt;""),"范围已验收","范围冲突或重复")</f>
        <v>范围已验收</v>
      </c>
      <c r="AC14" s="156" t="n">
        <v>46321.9468287037</v>
      </c>
      <c r="AD14" s="154" t="str">
        <f aca="false">HYPERLINK("https://chatgpt.com/api/library/files/libfile_66b6637a9d148191be83fc71e96c314a/download","下载合并私有接受元数据包")</f>
        <v>下载合并私有接受元数据包</v>
      </c>
      <c r="AE14" s="154" t="s">
        <v>6772</v>
      </c>
      <c r="AF14" s="154" t="s">
        <v>3600</v>
      </c>
      <c r="AG14" s="154" t="s">
        <v>6773</v>
      </c>
      <c r="AH14" s="154" t="s">
        <v>6774</v>
      </c>
      <c r="AI14" s="154" t="s">
        <v>6775</v>
      </c>
      <c r="AJ14" s="154" t="s">
        <v>6545</v>
      </c>
      <c r="AK14" s="154" t="s">
        <v>6776</v>
      </c>
      <c r="AL14" s="154" t="s">
        <v>4009</v>
      </c>
      <c r="AM14" s="156" t="n">
        <v>46321.7618287037</v>
      </c>
      <c r="AN14" s="156" t="n">
        <v>46321.8076388889</v>
      </c>
      <c r="AO14" s="154" t="s">
        <v>6777</v>
      </c>
      <c r="AP14" s="154" t="s">
        <v>6548</v>
      </c>
      <c r="AQ14" s="154" t="s">
        <v>766</v>
      </c>
      <c r="AR14" s="154" t="s">
        <v>3838</v>
      </c>
      <c r="AS14" s="154" t="s">
        <v>6592</v>
      </c>
      <c r="AT14" s="154" t="s">
        <v>6778</v>
      </c>
      <c r="AU14" s="154" t="s">
        <v>6779</v>
      </c>
      <c r="AV14" s="154" t="s">
        <v>6780</v>
      </c>
      <c r="AW14" s="154" t="s">
        <v>6781</v>
      </c>
      <c r="AX14" s="154" t="s">
        <v>6782</v>
      </c>
      <c r="AY14" s="154" t="s">
        <v>6783</v>
      </c>
      <c r="AZ14" s="154" t="s">
        <v>6556</v>
      </c>
      <c r="BA14" s="154" t="s">
        <v>6557</v>
      </c>
      <c r="BB14" s="154" t="s">
        <v>6784</v>
      </c>
      <c r="BC14" s="154" t="s">
        <v>6785</v>
      </c>
      <c r="BD14" s="154" t="s">
        <v>6786</v>
      </c>
      <c r="BE14" s="154" t="s">
        <v>6787</v>
      </c>
      <c r="BF14" s="154" t="s">
        <v>6788</v>
      </c>
      <c r="BG14" s="154" t="s">
        <v>6789</v>
      </c>
      <c r="BH14" s="154" t="s">
        <v>6563</v>
      </c>
      <c r="BI14" s="154" t="s">
        <v>6564</v>
      </c>
      <c r="BJ14" s="154" t="b">
        <f aca="false">FALSE()</f>
        <v>0</v>
      </c>
      <c r="BK14" s="154" t="b">
        <f aca="false">FALSE()</f>
        <v>0</v>
      </c>
      <c r="BL14" s="154" t="b">
        <f aca="false">TRUE()</f>
        <v>1</v>
      </c>
      <c r="BM14" s="154" t="b">
        <f aca="false">TRUE()</f>
        <v>1</v>
      </c>
      <c r="BN14" s="154" t="b">
        <f aca="false">FALSE()</f>
        <v>0</v>
      </c>
      <c r="BO14" s="154" t="n">
        <v>0</v>
      </c>
      <c r="BP14" s="154" t="b">
        <f aca="false">TRUE()</f>
        <v>1</v>
      </c>
      <c r="BQ14" s="154" t="b">
        <f aca="false">TRUE()</f>
        <v>1</v>
      </c>
      <c r="BR14" s="154" t="n">
        <v>1</v>
      </c>
      <c r="BS14" s="154" t="n">
        <v>0</v>
      </c>
      <c r="BT14" s="154" t="n">
        <v>0</v>
      </c>
      <c r="BU14" s="154" t="n">
        <v>0</v>
      </c>
      <c r="BV14" s="154" t="b">
        <f aca="false">FALSE()</f>
        <v>0</v>
      </c>
      <c r="BW14" s="154" t="b">
        <f aca="false">FALSE()</f>
        <v>0</v>
      </c>
    </row>
    <row r="15" customFormat="false" ht="130" hidden="false" customHeight="true" outlineLevel="0" collapsed="false">
      <c r="A15" s="154" t="s">
        <v>6790</v>
      </c>
      <c r="B15" s="154" t="s">
        <v>1669</v>
      </c>
      <c r="C15" s="154" t="s">
        <v>883</v>
      </c>
      <c r="D15" s="154" t="s">
        <v>3603</v>
      </c>
      <c r="E15" s="154" t="s">
        <v>3606</v>
      </c>
      <c r="F15" s="154" t="s">
        <v>3607</v>
      </c>
      <c r="G15" s="154" t="s">
        <v>3602</v>
      </c>
      <c r="H15" s="155" t="n">
        <v>86</v>
      </c>
      <c r="I15" s="155" t="n">
        <v>86</v>
      </c>
      <c r="J15" s="155" t="n">
        <v>86</v>
      </c>
      <c r="K15" s="155" t="n">
        <v>86</v>
      </c>
      <c r="L15" s="155" t="n">
        <v>0</v>
      </c>
      <c r="M15" s="154" t="s">
        <v>4001</v>
      </c>
      <c r="N15" s="154" t="s">
        <v>3838</v>
      </c>
      <c r="O15" s="154" t="s">
        <v>4002</v>
      </c>
      <c r="P15" s="154" t="b">
        <f aca="false">TRUE()</f>
        <v>1</v>
      </c>
      <c r="Q15" s="155" t="n">
        <v>0</v>
      </c>
      <c r="R15" s="155" t="n">
        <v>0</v>
      </c>
      <c r="S15" s="155" t="n">
        <v>0</v>
      </c>
      <c r="T15" s="155" t="n">
        <v>0</v>
      </c>
      <c r="U15" s="155" t="n">
        <v>0</v>
      </c>
      <c r="V15" s="155" t="n">
        <v>0</v>
      </c>
      <c r="W15" s="155" t="n">
        <f aca="false">IF(AND(AB15="范围已验收",N15="verified"),1,0)</f>
        <v>0</v>
      </c>
      <c r="X15" s="155" t="n">
        <v>0</v>
      </c>
      <c r="Y15" s="155" t="n">
        <f aca="false">IF(AB15="范围已验收",1,0)</f>
        <v>1</v>
      </c>
      <c r="Z15" s="155" t="n">
        <f aca="false">H15*Y15</f>
        <v>86</v>
      </c>
      <c r="AA15" s="155" t="n">
        <f aca="false">IF(AND(A15&lt;&gt;"",COUNTIF($A$2:$A$31,A15)=1,F15&lt;&gt;"",COUNTIF($F$2:$F$31,F15)=1),1,0)</f>
        <v>1</v>
      </c>
      <c r="AB15" s="154" t="str">
        <f aca="false">IF(AND(AA15=1,COUNT(H15:L15)=5,H15&gt;0,I15=H15,J15=H15,K15=H15,L15=0,M15="已接受",N15=AR15,OR(AR15="needs_review",AR15="verified"),O15="full_present_file",P15=BL15,BJ15=FALSE(),BQ15=TRUE(),COUNT(Q15:U15)=5,COUNTIF(Q15:U15,0)=5,COUNT(V15,X15,BO15,BR15,BS15,BT15,BU15)=7,BR15=1,BS15=IF(AR15="verified",1,0),V15=BT15,BT15=IF(BK15=TRUE(),-1,0),X15=BU15,IF(BM15=TRUE(),1,0)=IF(BL15=TRUE(),1,0)+X15,OR(BW15=FALSE(),IF(BN15=TRUE(),1,0)=IF(BV15=TRUE(),1,0)+BO15),OR(BN15=FALSE(),BM15=FALSE()),G15&lt;&gt;"",AE15&lt;&gt;"",AW15&lt;&gt;"",BG15&lt;&gt;""),"范围已验收","范围冲突或重复")</f>
        <v>范围已验收</v>
      </c>
      <c r="AC15" s="156" t="n">
        <v>46321.9468287037</v>
      </c>
      <c r="AD15" s="154" t="str">
        <f aca="false">HYPERLINK("https://chatgpt.com/api/library/files/libfile_66b6637a9d148191be83fc71e96c314a/download","下载合并私有接受元数据包")</f>
        <v>下载合并私有接受元数据包</v>
      </c>
      <c r="AE15" s="154" t="s">
        <v>6791</v>
      </c>
      <c r="AF15" s="154" t="s">
        <v>3610</v>
      </c>
      <c r="AG15" s="154" t="s">
        <v>6792</v>
      </c>
      <c r="AH15" s="154" t="s">
        <v>6793</v>
      </c>
      <c r="AI15" s="154" t="s">
        <v>6794</v>
      </c>
      <c r="AJ15" s="154" t="s">
        <v>6545</v>
      </c>
      <c r="AK15" s="154" t="s">
        <v>6795</v>
      </c>
      <c r="AL15" s="154" t="s">
        <v>4009</v>
      </c>
      <c r="AM15" s="156" t="n">
        <v>46321.7618287037</v>
      </c>
      <c r="AN15" s="156" t="n">
        <v>46321.8042592593</v>
      </c>
      <c r="AO15" s="154" t="s">
        <v>6796</v>
      </c>
      <c r="AP15" s="154" t="s">
        <v>6548</v>
      </c>
      <c r="AQ15" s="154" t="s">
        <v>766</v>
      </c>
      <c r="AR15" s="154" t="s">
        <v>3838</v>
      </c>
      <c r="AS15" s="154" t="s">
        <v>6797</v>
      </c>
      <c r="AT15" s="154" t="s">
        <v>6798</v>
      </c>
      <c r="AU15" s="154" t="s">
        <v>6799</v>
      </c>
      <c r="AV15" s="154" t="s">
        <v>6800</v>
      </c>
      <c r="AW15" s="154" t="s">
        <v>6801</v>
      </c>
      <c r="AX15" s="154" t="s">
        <v>6802</v>
      </c>
      <c r="AY15" s="154" t="s">
        <v>6803</v>
      </c>
      <c r="AZ15" s="154" t="s">
        <v>6556</v>
      </c>
      <c r="BA15" s="154" t="s">
        <v>6557</v>
      </c>
      <c r="BB15" s="154" t="s">
        <v>6728</v>
      </c>
      <c r="BC15" s="154" t="s">
        <v>6804</v>
      </c>
      <c r="BD15" s="154" t="s">
        <v>6805</v>
      </c>
      <c r="BE15" s="154" t="s">
        <v>6806</v>
      </c>
      <c r="BF15" s="154" t="s">
        <v>6807</v>
      </c>
      <c r="BG15" s="154" t="s">
        <v>6808</v>
      </c>
      <c r="BH15" s="154" t="s">
        <v>6563</v>
      </c>
      <c r="BI15" s="154" t="s">
        <v>6564</v>
      </c>
      <c r="BJ15" s="154" t="b">
        <f aca="false">FALSE()</f>
        <v>0</v>
      </c>
      <c r="BK15" s="154" t="b">
        <f aca="false">FALSE()</f>
        <v>0</v>
      </c>
      <c r="BL15" s="154" t="b">
        <f aca="false">TRUE()</f>
        <v>1</v>
      </c>
      <c r="BM15" s="154" t="b">
        <f aca="false">TRUE()</f>
        <v>1</v>
      </c>
      <c r="BN15" s="154" t="b">
        <f aca="false">FALSE()</f>
        <v>0</v>
      </c>
      <c r="BO15" s="154" t="n">
        <v>0</v>
      </c>
      <c r="BP15" s="154" t="b">
        <f aca="false">TRUE()</f>
        <v>1</v>
      </c>
      <c r="BQ15" s="154" t="b">
        <f aca="false">TRUE()</f>
        <v>1</v>
      </c>
      <c r="BR15" s="154" t="n">
        <v>1</v>
      </c>
      <c r="BS15" s="154" t="n">
        <v>0</v>
      </c>
      <c r="BT15" s="154" t="n">
        <v>0</v>
      </c>
      <c r="BU15" s="154" t="n">
        <v>0</v>
      </c>
      <c r="BV15" s="154" t="b">
        <f aca="false">FALSE()</f>
        <v>0</v>
      </c>
      <c r="BW15" s="154" t="b">
        <f aca="false">FALSE()</f>
        <v>0</v>
      </c>
    </row>
    <row r="16" customFormat="false" ht="130" hidden="false" customHeight="true" outlineLevel="0" collapsed="false">
      <c r="A16" s="154" t="s">
        <v>6809</v>
      </c>
      <c r="B16" s="154" t="s">
        <v>1669</v>
      </c>
      <c r="C16" s="154" t="s">
        <v>883</v>
      </c>
      <c r="D16" s="154" t="s">
        <v>3613</v>
      </c>
      <c r="E16" s="154" t="s">
        <v>3616</v>
      </c>
      <c r="F16" s="154" t="s">
        <v>3617</v>
      </c>
      <c r="G16" s="154" t="s">
        <v>3612</v>
      </c>
      <c r="H16" s="155" t="n">
        <v>74</v>
      </c>
      <c r="I16" s="155" t="n">
        <v>74</v>
      </c>
      <c r="J16" s="155" t="n">
        <v>74</v>
      </c>
      <c r="K16" s="155" t="n">
        <v>74</v>
      </c>
      <c r="L16" s="155" t="n">
        <v>0</v>
      </c>
      <c r="M16" s="154" t="s">
        <v>4001</v>
      </c>
      <c r="N16" s="154" t="s">
        <v>3838</v>
      </c>
      <c r="O16" s="154" t="s">
        <v>4002</v>
      </c>
      <c r="P16" s="154" t="b">
        <f aca="false">TRUE()</f>
        <v>1</v>
      </c>
      <c r="Q16" s="155" t="n">
        <v>0</v>
      </c>
      <c r="R16" s="155" t="n">
        <v>0</v>
      </c>
      <c r="S16" s="155" t="n">
        <v>0</v>
      </c>
      <c r="T16" s="155" t="n">
        <v>0</v>
      </c>
      <c r="U16" s="155" t="n">
        <v>0</v>
      </c>
      <c r="V16" s="155" t="n">
        <v>0</v>
      </c>
      <c r="W16" s="155" t="n">
        <f aca="false">IF(AND(AB16="范围已验收",N16="verified"),1,0)</f>
        <v>0</v>
      </c>
      <c r="X16" s="155" t="n">
        <v>0</v>
      </c>
      <c r="Y16" s="155" t="n">
        <f aca="false">IF(AB16="范围已验收",1,0)</f>
        <v>1</v>
      </c>
      <c r="Z16" s="155" t="n">
        <f aca="false">H16*Y16</f>
        <v>74</v>
      </c>
      <c r="AA16" s="155" t="n">
        <f aca="false">IF(AND(A16&lt;&gt;"",COUNTIF($A$2:$A$31,A16)=1,F16&lt;&gt;"",COUNTIF($F$2:$F$31,F16)=1),1,0)</f>
        <v>1</v>
      </c>
      <c r="AB16" s="154" t="str">
        <f aca="false">IF(AND(AA16=1,COUNT(H16:L16)=5,H16&gt;0,I16=H16,J16=H16,K16=H16,L16=0,M16="已接受",N16=AR16,OR(AR16="needs_review",AR16="verified"),O16="full_present_file",P16=BL16,BJ16=FALSE(),BQ16=TRUE(),COUNT(Q16:U16)=5,COUNTIF(Q16:U16,0)=5,COUNT(V16,X16,BO16,BR16,BS16,BT16,BU16)=7,BR16=1,BS16=IF(AR16="verified",1,0),V16=BT16,BT16=IF(BK16=TRUE(),-1,0),X16=BU16,IF(BM16=TRUE(),1,0)=IF(BL16=TRUE(),1,0)+X16,OR(BW16=FALSE(),IF(BN16=TRUE(),1,0)=IF(BV16=TRUE(),1,0)+BO16),OR(BN16=FALSE(),BM16=FALSE()),G16&lt;&gt;"",AE16&lt;&gt;"",AW16&lt;&gt;"",BG16&lt;&gt;""),"范围已验收","范围冲突或重复")</f>
        <v>范围已验收</v>
      </c>
      <c r="AC16" s="156" t="n">
        <v>46321.9468287037</v>
      </c>
      <c r="AD16" s="154" t="str">
        <f aca="false">HYPERLINK("https://chatgpt.com/api/library/files/libfile_66b6637a9d148191be83fc71e96c314a/download","下载合并私有接受元数据包")</f>
        <v>下载合并私有接受元数据包</v>
      </c>
      <c r="AE16" s="154" t="s">
        <v>6810</v>
      </c>
      <c r="AF16" s="154" t="s">
        <v>3621</v>
      </c>
      <c r="AG16" s="154" t="s">
        <v>6811</v>
      </c>
      <c r="AH16" s="154" t="s">
        <v>6812</v>
      </c>
      <c r="AI16" s="154" t="s">
        <v>6813</v>
      </c>
      <c r="AJ16" s="154" t="s">
        <v>6545</v>
      </c>
      <c r="AK16" s="154" t="s">
        <v>6814</v>
      </c>
      <c r="AL16" s="154" t="s">
        <v>4009</v>
      </c>
      <c r="AM16" s="156" t="n">
        <v>46321.7618287037</v>
      </c>
      <c r="AN16" s="156" t="n">
        <v>46321.8287731482</v>
      </c>
      <c r="AO16" s="154" t="s">
        <v>6815</v>
      </c>
      <c r="AP16" s="154" t="s">
        <v>6548</v>
      </c>
      <c r="AQ16" s="154" t="s">
        <v>766</v>
      </c>
      <c r="AR16" s="154" t="s">
        <v>3838</v>
      </c>
      <c r="AS16" s="154" t="s">
        <v>6816</v>
      </c>
      <c r="AT16" s="154" t="s">
        <v>6817</v>
      </c>
      <c r="AU16" s="154" t="s">
        <v>6818</v>
      </c>
      <c r="AV16" s="154" t="s">
        <v>6819</v>
      </c>
      <c r="AW16" s="154" t="s">
        <v>6820</v>
      </c>
      <c r="AX16" s="154" t="s">
        <v>6821</v>
      </c>
      <c r="AY16" s="154" t="s">
        <v>6822</v>
      </c>
      <c r="AZ16" s="154" t="s">
        <v>6556</v>
      </c>
      <c r="BA16" s="154" t="s">
        <v>6557</v>
      </c>
      <c r="BB16" s="154" t="s">
        <v>6691</v>
      </c>
      <c r="BC16" s="154" t="s">
        <v>6823</v>
      </c>
      <c r="BD16" s="154" t="s">
        <v>6824</v>
      </c>
      <c r="BE16" s="154" t="s">
        <v>6825</v>
      </c>
      <c r="BF16" s="154" t="s">
        <v>6826</v>
      </c>
      <c r="BG16" s="154" t="s">
        <v>6827</v>
      </c>
      <c r="BH16" s="154" t="s">
        <v>6563</v>
      </c>
      <c r="BI16" s="154" t="s">
        <v>6564</v>
      </c>
      <c r="BJ16" s="154" t="b">
        <f aca="false">FALSE()</f>
        <v>0</v>
      </c>
      <c r="BK16" s="154" t="b">
        <f aca="false">FALSE()</f>
        <v>0</v>
      </c>
      <c r="BL16" s="154" t="b">
        <f aca="false">TRUE()</f>
        <v>1</v>
      </c>
      <c r="BM16" s="154" t="b">
        <f aca="false">TRUE()</f>
        <v>1</v>
      </c>
      <c r="BN16" s="154" t="b">
        <f aca="false">FALSE()</f>
        <v>0</v>
      </c>
      <c r="BO16" s="154" t="n">
        <v>0</v>
      </c>
      <c r="BP16" s="154" t="b">
        <f aca="false">TRUE()</f>
        <v>1</v>
      </c>
      <c r="BQ16" s="154" t="b">
        <f aca="false">TRUE()</f>
        <v>1</v>
      </c>
      <c r="BR16" s="154" t="n">
        <v>1</v>
      </c>
      <c r="BS16" s="154" t="n">
        <v>0</v>
      </c>
      <c r="BT16" s="154" t="n">
        <v>0</v>
      </c>
      <c r="BU16" s="154" t="n">
        <v>0</v>
      </c>
      <c r="BV16" s="154" t="b">
        <f aca="false">FALSE()</f>
        <v>0</v>
      </c>
      <c r="BW16" s="154" t="b">
        <f aca="false">FALSE()</f>
        <v>0</v>
      </c>
    </row>
    <row r="17" customFormat="false" ht="130" hidden="false" customHeight="true" outlineLevel="0" collapsed="false">
      <c r="A17" s="154" t="s">
        <v>6828</v>
      </c>
      <c r="B17" s="154" t="s">
        <v>1669</v>
      </c>
      <c r="C17" s="154" t="s">
        <v>883</v>
      </c>
      <c r="D17" s="154" t="s">
        <v>3624</v>
      </c>
      <c r="E17" s="154" t="s">
        <v>3627</v>
      </c>
      <c r="F17" s="154" t="s">
        <v>3628</v>
      </c>
      <c r="G17" s="154" t="s">
        <v>3623</v>
      </c>
      <c r="H17" s="155" t="n">
        <v>71</v>
      </c>
      <c r="I17" s="155" t="n">
        <v>71</v>
      </c>
      <c r="J17" s="155" t="n">
        <v>71</v>
      </c>
      <c r="K17" s="155" t="n">
        <v>71</v>
      </c>
      <c r="L17" s="155" t="n">
        <v>0</v>
      </c>
      <c r="M17" s="154" t="s">
        <v>4001</v>
      </c>
      <c r="N17" s="154" t="s">
        <v>3838</v>
      </c>
      <c r="O17" s="154" t="s">
        <v>4002</v>
      </c>
      <c r="P17" s="154" t="b">
        <f aca="false">TRUE()</f>
        <v>1</v>
      </c>
      <c r="Q17" s="155" t="n">
        <v>0</v>
      </c>
      <c r="R17" s="155" t="n">
        <v>0</v>
      </c>
      <c r="S17" s="155" t="n">
        <v>0</v>
      </c>
      <c r="T17" s="155" t="n">
        <v>0</v>
      </c>
      <c r="U17" s="155" t="n">
        <v>0</v>
      </c>
      <c r="V17" s="155" t="n">
        <v>0</v>
      </c>
      <c r="W17" s="155" t="n">
        <f aca="false">IF(AND(AB17="范围已验收",N17="verified"),1,0)</f>
        <v>0</v>
      </c>
      <c r="X17" s="155" t="n">
        <v>0</v>
      </c>
      <c r="Y17" s="155" t="n">
        <f aca="false">IF(AB17="范围已验收",1,0)</f>
        <v>1</v>
      </c>
      <c r="Z17" s="155" t="n">
        <f aca="false">H17*Y17</f>
        <v>71</v>
      </c>
      <c r="AA17" s="155" t="n">
        <f aca="false">IF(AND(A17&lt;&gt;"",COUNTIF($A$2:$A$31,A17)=1,F17&lt;&gt;"",COUNTIF($F$2:$F$31,F17)=1),1,0)</f>
        <v>1</v>
      </c>
      <c r="AB17" s="154" t="str">
        <f aca="false">IF(AND(AA17=1,COUNT(H17:L17)=5,H17&gt;0,I17=H17,J17=H17,K17=H17,L17=0,M17="已接受",N17=AR17,OR(AR17="needs_review",AR17="verified"),O17="full_present_file",P17=BL17,BJ17=FALSE(),BQ17=TRUE(),COUNT(Q17:U17)=5,COUNTIF(Q17:U17,0)=5,COUNT(V17,X17,BO17,BR17,BS17,BT17,BU17)=7,BR17=1,BS17=IF(AR17="verified",1,0),V17=BT17,BT17=IF(BK17=TRUE(),-1,0),X17=BU17,IF(BM17=TRUE(),1,0)=IF(BL17=TRUE(),1,0)+X17,OR(BW17=FALSE(),IF(BN17=TRUE(),1,0)=IF(BV17=TRUE(),1,0)+BO17),OR(BN17=FALSE(),BM17=FALSE()),G17&lt;&gt;"",AE17&lt;&gt;"",AW17&lt;&gt;"",BG17&lt;&gt;""),"范围已验收","范围冲突或重复")</f>
        <v>范围已验收</v>
      </c>
      <c r="AC17" s="156" t="n">
        <v>46321.9468287037</v>
      </c>
      <c r="AD17" s="154" t="str">
        <f aca="false">HYPERLINK("https://chatgpt.com/api/library/files/libfile_66b6637a9d148191be83fc71e96c314a/download","下载合并私有接受元数据包")</f>
        <v>下载合并私有接受元数据包</v>
      </c>
      <c r="AE17" s="154" t="s">
        <v>6829</v>
      </c>
      <c r="AF17" s="154" t="s">
        <v>3632</v>
      </c>
      <c r="AG17" s="154" t="s">
        <v>6830</v>
      </c>
      <c r="AH17" s="154" t="s">
        <v>6831</v>
      </c>
      <c r="AI17" s="154" t="s">
        <v>6832</v>
      </c>
      <c r="AJ17" s="154" t="s">
        <v>6545</v>
      </c>
      <c r="AK17" s="154" t="s">
        <v>6833</v>
      </c>
      <c r="AL17" s="154" t="s">
        <v>4009</v>
      </c>
      <c r="AM17" s="156" t="n">
        <v>46321.7618287037</v>
      </c>
      <c r="AN17" s="156" t="n">
        <v>46321.8169907407</v>
      </c>
      <c r="AO17" s="154" t="s">
        <v>6834</v>
      </c>
      <c r="AP17" s="154" t="s">
        <v>6548</v>
      </c>
      <c r="AQ17" s="154" t="s">
        <v>766</v>
      </c>
      <c r="AR17" s="154" t="s">
        <v>3838</v>
      </c>
      <c r="AS17" s="154" t="s">
        <v>6592</v>
      </c>
      <c r="AT17" s="154" t="s">
        <v>6835</v>
      </c>
      <c r="AU17" s="154" t="s">
        <v>6836</v>
      </c>
      <c r="AV17" s="154" t="s">
        <v>6837</v>
      </c>
      <c r="AW17" s="154" t="s">
        <v>6838</v>
      </c>
      <c r="AX17" s="154" t="s">
        <v>6839</v>
      </c>
      <c r="AY17" s="154" t="s">
        <v>6840</v>
      </c>
      <c r="AZ17" s="154" t="s">
        <v>6556</v>
      </c>
      <c r="BA17" s="154" t="s">
        <v>6557</v>
      </c>
      <c r="BB17" s="154" t="s">
        <v>6784</v>
      </c>
      <c r="BC17" s="154" t="s">
        <v>6841</v>
      </c>
      <c r="BD17" s="154" t="s">
        <v>6842</v>
      </c>
      <c r="BE17" s="154" t="s">
        <v>6843</v>
      </c>
      <c r="BF17" s="154" t="s">
        <v>6844</v>
      </c>
      <c r="BG17" s="154" t="s">
        <v>6845</v>
      </c>
      <c r="BH17" s="154" t="s">
        <v>6563</v>
      </c>
      <c r="BI17" s="154" t="s">
        <v>6564</v>
      </c>
      <c r="BJ17" s="154" t="b">
        <f aca="false">FALSE()</f>
        <v>0</v>
      </c>
      <c r="BK17" s="154" t="b">
        <f aca="false">FALSE()</f>
        <v>0</v>
      </c>
      <c r="BL17" s="154" t="b">
        <f aca="false">TRUE()</f>
        <v>1</v>
      </c>
      <c r="BM17" s="154" t="b">
        <f aca="false">TRUE()</f>
        <v>1</v>
      </c>
      <c r="BN17" s="154" t="b">
        <f aca="false">FALSE()</f>
        <v>0</v>
      </c>
      <c r="BO17" s="154" t="n">
        <v>0</v>
      </c>
      <c r="BP17" s="154" t="b">
        <f aca="false">TRUE()</f>
        <v>1</v>
      </c>
      <c r="BQ17" s="154" t="b">
        <f aca="false">TRUE()</f>
        <v>1</v>
      </c>
      <c r="BR17" s="154" t="n">
        <v>1</v>
      </c>
      <c r="BS17" s="154" t="n">
        <v>0</v>
      </c>
      <c r="BT17" s="154" t="n">
        <v>0</v>
      </c>
      <c r="BU17" s="154" t="n">
        <v>0</v>
      </c>
      <c r="BV17" s="154" t="b">
        <f aca="false">FALSE()</f>
        <v>0</v>
      </c>
      <c r="BW17" s="154" t="b">
        <f aca="false">FALSE()</f>
        <v>0</v>
      </c>
    </row>
    <row r="18" customFormat="false" ht="130" hidden="false" customHeight="true" outlineLevel="0" collapsed="false">
      <c r="A18" s="154" t="s">
        <v>6846</v>
      </c>
      <c r="B18" s="154" t="s">
        <v>1669</v>
      </c>
      <c r="C18" s="154" t="s">
        <v>883</v>
      </c>
      <c r="D18" s="154" t="s">
        <v>3635</v>
      </c>
      <c r="E18" s="154" t="s">
        <v>3638</v>
      </c>
      <c r="F18" s="154" t="s">
        <v>3639</v>
      </c>
      <c r="G18" s="154" t="s">
        <v>3634</v>
      </c>
      <c r="H18" s="155" t="n">
        <v>96</v>
      </c>
      <c r="I18" s="155" t="n">
        <v>96</v>
      </c>
      <c r="J18" s="155" t="n">
        <v>96</v>
      </c>
      <c r="K18" s="155" t="n">
        <v>96</v>
      </c>
      <c r="L18" s="155" t="n">
        <v>0</v>
      </c>
      <c r="M18" s="154" t="s">
        <v>4001</v>
      </c>
      <c r="N18" s="154" t="s">
        <v>3838</v>
      </c>
      <c r="O18" s="154" t="s">
        <v>4002</v>
      </c>
      <c r="P18" s="154" t="b">
        <f aca="false">TRUE()</f>
        <v>1</v>
      </c>
      <c r="Q18" s="155" t="n">
        <v>0</v>
      </c>
      <c r="R18" s="155" t="n">
        <v>0</v>
      </c>
      <c r="S18" s="155" t="n">
        <v>0</v>
      </c>
      <c r="T18" s="155" t="n">
        <v>0</v>
      </c>
      <c r="U18" s="155" t="n">
        <v>0</v>
      </c>
      <c r="V18" s="155" t="n">
        <v>0</v>
      </c>
      <c r="W18" s="155" t="n">
        <f aca="false">IF(AND(AB18="范围已验收",N18="verified"),1,0)</f>
        <v>0</v>
      </c>
      <c r="X18" s="155" t="n">
        <v>0</v>
      </c>
      <c r="Y18" s="155" t="n">
        <f aca="false">IF(AB18="范围已验收",1,0)</f>
        <v>1</v>
      </c>
      <c r="Z18" s="155" t="n">
        <f aca="false">H18*Y18</f>
        <v>96</v>
      </c>
      <c r="AA18" s="155" t="n">
        <f aca="false">IF(AND(A18&lt;&gt;"",COUNTIF($A$2:$A$31,A18)=1,F18&lt;&gt;"",COUNTIF($F$2:$F$31,F18)=1),1,0)</f>
        <v>1</v>
      </c>
      <c r="AB18" s="154" t="str">
        <f aca="false">IF(AND(AA18=1,COUNT(H18:L18)=5,H18&gt;0,I18=H18,J18=H18,K18=H18,L18=0,M18="已接受",N18=AR18,OR(AR18="needs_review",AR18="verified"),O18="full_present_file",P18=BL18,BJ18=FALSE(),BQ18=TRUE(),COUNT(Q18:U18)=5,COUNTIF(Q18:U18,0)=5,COUNT(V18,X18,BO18,BR18,BS18,BT18,BU18)=7,BR18=1,BS18=IF(AR18="verified",1,0),V18=BT18,BT18=IF(BK18=TRUE(),-1,0),X18=BU18,IF(BM18=TRUE(),1,0)=IF(BL18=TRUE(),1,0)+X18,OR(BW18=FALSE(),IF(BN18=TRUE(),1,0)=IF(BV18=TRUE(),1,0)+BO18),OR(BN18=FALSE(),BM18=FALSE()),G18&lt;&gt;"",AE18&lt;&gt;"",AW18&lt;&gt;"",BG18&lt;&gt;""),"范围已验收","范围冲突或重复")</f>
        <v>范围已验收</v>
      </c>
      <c r="AC18" s="156" t="n">
        <v>46321.9468287037</v>
      </c>
      <c r="AD18" s="154" t="str">
        <f aca="false">HYPERLINK("https://chatgpt.com/api/library/files/libfile_66b6637a9d148191be83fc71e96c314a/download","下载合并私有接受元数据包")</f>
        <v>下载合并私有接受元数据包</v>
      </c>
      <c r="AE18" s="154" t="s">
        <v>6847</v>
      </c>
      <c r="AF18" s="154" t="s">
        <v>3643</v>
      </c>
      <c r="AG18" s="154" t="s">
        <v>6848</v>
      </c>
      <c r="AH18" s="154" t="s">
        <v>6849</v>
      </c>
      <c r="AI18" s="154" t="s">
        <v>6850</v>
      </c>
      <c r="AJ18" s="154" t="s">
        <v>6545</v>
      </c>
      <c r="AK18" s="154" t="s">
        <v>6851</v>
      </c>
      <c r="AL18" s="154" t="s">
        <v>4009</v>
      </c>
      <c r="AM18" s="156" t="n">
        <v>46321.7618287037</v>
      </c>
      <c r="AN18" s="156" t="n">
        <v>46321.8439467593</v>
      </c>
      <c r="AO18" s="154" t="s">
        <v>6852</v>
      </c>
      <c r="AP18" s="154" t="s">
        <v>6548</v>
      </c>
      <c r="AQ18" s="154" t="s">
        <v>766</v>
      </c>
      <c r="AR18" s="154" t="s">
        <v>3838</v>
      </c>
      <c r="AS18" s="154" t="s">
        <v>6853</v>
      </c>
      <c r="AT18" s="154" t="s">
        <v>6854</v>
      </c>
      <c r="AU18" s="154" t="s">
        <v>6855</v>
      </c>
      <c r="AV18" s="154" t="s">
        <v>6856</v>
      </c>
      <c r="AW18" s="154" t="s">
        <v>6857</v>
      </c>
      <c r="AX18" s="154" t="s">
        <v>6858</v>
      </c>
      <c r="AY18" s="154" t="s">
        <v>6859</v>
      </c>
      <c r="AZ18" s="154" t="s">
        <v>6860</v>
      </c>
      <c r="BA18" s="154" t="s">
        <v>6557</v>
      </c>
      <c r="BB18" s="154" t="s">
        <v>6728</v>
      </c>
      <c r="BC18" s="154" t="s">
        <v>6861</v>
      </c>
      <c r="BD18" s="154" t="s">
        <v>6862</v>
      </c>
      <c r="BE18" s="154" t="s">
        <v>6863</v>
      </c>
      <c r="BF18" s="154" t="s">
        <v>6864</v>
      </c>
      <c r="BG18" s="154" t="s">
        <v>6865</v>
      </c>
      <c r="BH18" s="154" t="s">
        <v>6641</v>
      </c>
      <c r="BI18" s="154" t="s">
        <v>6564</v>
      </c>
      <c r="BJ18" s="154" t="b">
        <f aca="false">FALSE()</f>
        <v>0</v>
      </c>
      <c r="BK18" s="154" t="b">
        <f aca="false">FALSE()</f>
        <v>0</v>
      </c>
      <c r="BL18" s="154" t="b">
        <f aca="false">TRUE()</f>
        <v>1</v>
      </c>
      <c r="BM18" s="154" t="b">
        <f aca="false">TRUE()</f>
        <v>1</v>
      </c>
      <c r="BN18" s="154" t="b">
        <f aca="false">FALSE()</f>
        <v>0</v>
      </c>
      <c r="BO18" s="154" t="n">
        <v>0</v>
      </c>
      <c r="BP18" s="154" t="b">
        <f aca="false">TRUE()</f>
        <v>1</v>
      </c>
      <c r="BQ18" s="154" t="b">
        <f aca="false">TRUE()</f>
        <v>1</v>
      </c>
      <c r="BR18" s="154" t="n">
        <v>1</v>
      </c>
      <c r="BS18" s="154" t="n">
        <v>0</v>
      </c>
      <c r="BT18" s="154" t="n">
        <v>0</v>
      </c>
      <c r="BU18" s="154" t="n">
        <v>0</v>
      </c>
      <c r="BV18" s="154" t="b">
        <f aca="false">FALSE()</f>
        <v>0</v>
      </c>
      <c r="BW18" s="154" t="b">
        <f aca="false">FALSE()</f>
        <v>0</v>
      </c>
    </row>
    <row r="19" customFormat="false" ht="130" hidden="false" customHeight="true" outlineLevel="0" collapsed="false">
      <c r="A19" s="154" t="s">
        <v>6866</v>
      </c>
      <c r="B19" s="154" t="s">
        <v>1669</v>
      </c>
      <c r="C19" s="154" t="s">
        <v>883</v>
      </c>
      <c r="D19" s="154" t="s">
        <v>3646</v>
      </c>
      <c r="E19" s="154" t="s">
        <v>3649</v>
      </c>
      <c r="F19" s="154" t="s">
        <v>3650</v>
      </c>
      <c r="G19" s="154" t="s">
        <v>3645</v>
      </c>
      <c r="H19" s="155" t="n">
        <v>74</v>
      </c>
      <c r="I19" s="155" t="n">
        <v>74</v>
      </c>
      <c r="J19" s="155" t="n">
        <v>74</v>
      </c>
      <c r="K19" s="155" t="n">
        <v>74</v>
      </c>
      <c r="L19" s="155" t="n">
        <v>0</v>
      </c>
      <c r="M19" s="154" t="s">
        <v>4001</v>
      </c>
      <c r="N19" s="154" t="s">
        <v>3838</v>
      </c>
      <c r="O19" s="154" t="s">
        <v>4002</v>
      </c>
      <c r="P19" s="154" t="b">
        <f aca="false">TRUE()</f>
        <v>1</v>
      </c>
      <c r="Q19" s="155" t="n">
        <v>0</v>
      </c>
      <c r="R19" s="155" t="n">
        <v>0</v>
      </c>
      <c r="S19" s="155" t="n">
        <v>0</v>
      </c>
      <c r="T19" s="155" t="n">
        <v>0</v>
      </c>
      <c r="U19" s="155" t="n">
        <v>0</v>
      </c>
      <c r="V19" s="155" t="n">
        <v>0</v>
      </c>
      <c r="W19" s="155" t="n">
        <f aca="false">IF(AND(AB19="范围已验收",N19="verified"),1,0)</f>
        <v>0</v>
      </c>
      <c r="X19" s="155" t="n">
        <v>0</v>
      </c>
      <c r="Y19" s="155" t="n">
        <f aca="false">IF(AB19="范围已验收",1,0)</f>
        <v>1</v>
      </c>
      <c r="Z19" s="155" t="n">
        <f aca="false">H19*Y19</f>
        <v>74</v>
      </c>
      <c r="AA19" s="155" t="n">
        <f aca="false">IF(AND(A19&lt;&gt;"",COUNTIF($A$2:$A$31,A19)=1,F19&lt;&gt;"",COUNTIF($F$2:$F$31,F19)=1),1,0)</f>
        <v>1</v>
      </c>
      <c r="AB19" s="154" t="str">
        <f aca="false">IF(AND(AA19=1,COUNT(H19:L19)=5,H19&gt;0,I19=H19,J19=H19,K19=H19,L19=0,M19="已接受",N19=AR19,OR(AR19="needs_review",AR19="verified"),O19="full_present_file",P19=BL19,BJ19=FALSE(),BQ19=TRUE(),COUNT(Q19:U19)=5,COUNTIF(Q19:U19,0)=5,COUNT(V19,X19,BO19,BR19,BS19,BT19,BU19)=7,BR19=1,BS19=IF(AR19="verified",1,0),V19=BT19,BT19=IF(BK19=TRUE(),-1,0),X19=BU19,IF(BM19=TRUE(),1,0)=IF(BL19=TRUE(),1,0)+X19,OR(BW19=FALSE(),IF(BN19=TRUE(),1,0)=IF(BV19=TRUE(),1,0)+BO19),OR(BN19=FALSE(),BM19=FALSE()),G19&lt;&gt;"",AE19&lt;&gt;"",AW19&lt;&gt;"",BG19&lt;&gt;""),"范围已验收","范围冲突或重复")</f>
        <v>范围已验收</v>
      </c>
      <c r="AC19" s="156" t="n">
        <v>46321.9468287037</v>
      </c>
      <c r="AD19" s="154" t="str">
        <f aca="false">HYPERLINK("https://chatgpt.com/api/library/files/libfile_66b6637a9d148191be83fc71e96c314a/download","下载合并私有接受元数据包")</f>
        <v>下载合并私有接受元数据包</v>
      </c>
      <c r="AE19" s="154" t="s">
        <v>6867</v>
      </c>
      <c r="AF19" s="154" t="s">
        <v>3653</v>
      </c>
      <c r="AG19" s="154" t="s">
        <v>6868</v>
      </c>
      <c r="AH19" s="154" t="s">
        <v>6869</v>
      </c>
      <c r="AI19" s="154" t="s">
        <v>6870</v>
      </c>
      <c r="AJ19" s="154" t="s">
        <v>6545</v>
      </c>
      <c r="AK19" s="154" t="s">
        <v>6871</v>
      </c>
      <c r="AL19" s="154" t="s">
        <v>4009</v>
      </c>
      <c r="AM19" s="156" t="n">
        <v>46321.7618287037</v>
      </c>
      <c r="AN19" s="156" t="n">
        <v>46321.8150231482</v>
      </c>
      <c r="AO19" s="154" t="s">
        <v>6872</v>
      </c>
      <c r="AP19" s="154" t="s">
        <v>6548</v>
      </c>
      <c r="AQ19" s="154" t="s">
        <v>766</v>
      </c>
      <c r="AR19" s="154" t="s">
        <v>3838</v>
      </c>
      <c r="AS19" s="154" t="s">
        <v>6873</v>
      </c>
      <c r="AT19" s="154" t="s">
        <v>6874</v>
      </c>
      <c r="AU19" s="154" t="s">
        <v>6875</v>
      </c>
      <c r="AV19" s="154" t="s">
        <v>6876</v>
      </c>
      <c r="AW19" s="154" t="s">
        <v>6877</v>
      </c>
      <c r="AX19" s="154" t="s">
        <v>6878</v>
      </c>
      <c r="AY19" s="154" t="s">
        <v>6879</v>
      </c>
      <c r="AZ19" s="154" t="s">
        <v>6556</v>
      </c>
      <c r="BA19" s="154" t="s">
        <v>6557</v>
      </c>
      <c r="BB19" s="154" t="s">
        <v>6728</v>
      </c>
      <c r="BC19" s="154" t="s">
        <v>6880</v>
      </c>
      <c r="BD19" s="154" t="s">
        <v>6881</v>
      </c>
      <c r="BE19" s="154" t="s">
        <v>6882</v>
      </c>
      <c r="BF19" s="154" t="s">
        <v>6883</v>
      </c>
      <c r="BG19" s="154" t="s">
        <v>6884</v>
      </c>
      <c r="BH19" s="154" t="s">
        <v>6563</v>
      </c>
      <c r="BI19" s="154" t="s">
        <v>6564</v>
      </c>
      <c r="BJ19" s="154" t="b">
        <f aca="false">FALSE()</f>
        <v>0</v>
      </c>
      <c r="BK19" s="154" t="b">
        <f aca="false">FALSE()</f>
        <v>0</v>
      </c>
      <c r="BL19" s="154" t="b">
        <f aca="false">TRUE()</f>
        <v>1</v>
      </c>
      <c r="BM19" s="154" t="b">
        <f aca="false">TRUE()</f>
        <v>1</v>
      </c>
      <c r="BN19" s="154" t="b">
        <f aca="false">FALSE()</f>
        <v>0</v>
      </c>
      <c r="BO19" s="154" t="n">
        <v>0</v>
      </c>
      <c r="BP19" s="154" t="b">
        <f aca="false">TRUE()</f>
        <v>1</v>
      </c>
      <c r="BQ19" s="154" t="b">
        <f aca="false">TRUE()</f>
        <v>1</v>
      </c>
      <c r="BR19" s="154" t="n">
        <v>1</v>
      </c>
      <c r="BS19" s="154" t="n">
        <v>0</v>
      </c>
      <c r="BT19" s="154" t="n">
        <v>0</v>
      </c>
      <c r="BU19" s="154" t="n">
        <v>0</v>
      </c>
      <c r="BV19" s="154" t="b">
        <f aca="false">FALSE()</f>
        <v>0</v>
      </c>
      <c r="BW19" s="154" t="b">
        <f aca="false">FALSE()</f>
        <v>0</v>
      </c>
    </row>
    <row r="20" customFormat="false" ht="130" hidden="false" customHeight="true" outlineLevel="0" collapsed="false">
      <c r="A20" s="154" t="s">
        <v>6885</v>
      </c>
      <c r="B20" s="154" t="s">
        <v>1669</v>
      </c>
      <c r="C20" s="154" t="s">
        <v>883</v>
      </c>
      <c r="D20" s="154" t="s">
        <v>3656</v>
      </c>
      <c r="E20" s="154" t="s">
        <v>3659</v>
      </c>
      <c r="F20" s="154" t="s">
        <v>3660</v>
      </c>
      <c r="G20" s="154" t="s">
        <v>3655</v>
      </c>
      <c r="H20" s="155" t="n">
        <v>98</v>
      </c>
      <c r="I20" s="155" t="n">
        <v>98</v>
      </c>
      <c r="J20" s="155" t="n">
        <v>98</v>
      </c>
      <c r="K20" s="155" t="n">
        <v>98</v>
      </c>
      <c r="L20" s="155" t="n">
        <v>0</v>
      </c>
      <c r="M20" s="154" t="s">
        <v>4001</v>
      </c>
      <c r="N20" s="154" t="s">
        <v>3838</v>
      </c>
      <c r="O20" s="154" t="s">
        <v>4002</v>
      </c>
      <c r="P20" s="154" t="b">
        <f aca="false">TRUE()</f>
        <v>1</v>
      </c>
      <c r="Q20" s="155" t="n">
        <v>0</v>
      </c>
      <c r="R20" s="155" t="n">
        <v>0</v>
      </c>
      <c r="S20" s="155" t="n">
        <v>0</v>
      </c>
      <c r="T20" s="155" t="n">
        <v>0</v>
      </c>
      <c r="U20" s="155" t="n">
        <v>0</v>
      </c>
      <c r="V20" s="155" t="n">
        <v>0</v>
      </c>
      <c r="W20" s="155" t="n">
        <f aca="false">IF(AND(AB20="范围已验收",N20="verified"),1,0)</f>
        <v>0</v>
      </c>
      <c r="X20" s="155" t="n">
        <v>0</v>
      </c>
      <c r="Y20" s="155" t="n">
        <f aca="false">IF(AB20="范围已验收",1,0)</f>
        <v>1</v>
      </c>
      <c r="Z20" s="155" t="n">
        <f aca="false">H20*Y20</f>
        <v>98</v>
      </c>
      <c r="AA20" s="155" t="n">
        <f aca="false">IF(AND(A20&lt;&gt;"",COUNTIF($A$2:$A$31,A20)=1,F20&lt;&gt;"",COUNTIF($F$2:$F$31,F20)=1),1,0)</f>
        <v>1</v>
      </c>
      <c r="AB20" s="154" t="str">
        <f aca="false">IF(AND(AA20=1,COUNT(H20:L20)=5,H20&gt;0,I20=H20,J20=H20,K20=H20,L20=0,M20="已接受",N20=AR20,OR(AR20="needs_review",AR20="verified"),O20="full_present_file",P20=BL20,BJ20=FALSE(),BQ20=TRUE(),COUNT(Q20:U20)=5,COUNTIF(Q20:U20,0)=5,COUNT(V20,X20,BO20,BR20,BS20,BT20,BU20)=7,BR20=1,BS20=IF(AR20="verified",1,0),V20=BT20,BT20=IF(BK20=TRUE(),-1,0),X20=BU20,IF(BM20=TRUE(),1,0)=IF(BL20=TRUE(),1,0)+X20,OR(BW20=FALSE(),IF(BN20=TRUE(),1,0)=IF(BV20=TRUE(),1,0)+BO20),OR(BN20=FALSE(),BM20=FALSE()),G20&lt;&gt;"",AE20&lt;&gt;"",AW20&lt;&gt;"",BG20&lt;&gt;""),"范围已验收","范围冲突或重复")</f>
        <v>范围已验收</v>
      </c>
      <c r="AC20" s="156" t="n">
        <v>46321.9468287037</v>
      </c>
      <c r="AD20" s="154" t="str">
        <f aca="false">HYPERLINK("https://chatgpt.com/api/library/files/libfile_66b6637a9d148191be83fc71e96c314a/download","下载合并私有接受元数据包")</f>
        <v>下载合并私有接受元数据包</v>
      </c>
      <c r="AE20" s="154" t="s">
        <v>6886</v>
      </c>
      <c r="AF20" s="154" t="s">
        <v>3664</v>
      </c>
      <c r="AG20" s="154" t="s">
        <v>6887</v>
      </c>
      <c r="AH20" s="154" t="s">
        <v>6888</v>
      </c>
      <c r="AI20" s="154" t="s">
        <v>6889</v>
      </c>
      <c r="AJ20" s="154" t="s">
        <v>6545</v>
      </c>
      <c r="AK20" s="154" t="s">
        <v>6890</v>
      </c>
      <c r="AL20" s="154" t="s">
        <v>4009</v>
      </c>
      <c r="AM20" s="156" t="n">
        <v>46321.7618287037</v>
      </c>
      <c r="AN20" s="156" t="n">
        <v>46321.8287384259</v>
      </c>
      <c r="AO20" s="154" t="s">
        <v>6891</v>
      </c>
      <c r="AP20" s="154" t="s">
        <v>6548</v>
      </c>
      <c r="AQ20" s="154" t="s">
        <v>766</v>
      </c>
      <c r="AR20" s="154" t="s">
        <v>3838</v>
      </c>
      <c r="AS20" s="154" t="s">
        <v>6592</v>
      </c>
      <c r="AT20" s="154" t="s">
        <v>6892</v>
      </c>
      <c r="AU20" s="154" t="s">
        <v>6893</v>
      </c>
      <c r="AV20" s="154" t="s">
        <v>6894</v>
      </c>
      <c r="AW20" s="154" t="s">
        <v>6895</v>
      </c>
      <c r="AX20" s="154" t="s">
        <v>6896</v>
      </c>
      <c r="AY20" s="154" t="s">
        <v>6897</v>
      </c>
      <c r="AZ20" s="154" t="s">
        <v>6556</v>
      </c>
      <c r="BA20" s="154" t="s">
        <v>6557</v>
      </c>
      <c r="BB20" s="154" t="s">
        <v>6898</v>
      </c>
      <c r="BC20" s="154" t="s">
        <v>6899</v>
      </c>
      <c r="BD20" s="154" t="s">
        <v>6900</v>
      </c>
      <c r="BE20" s="154" t="s">
        <v>6901</v>
      </c>
      <c r="BF20" s="154" t="s">
        <v>6902</v>
      </c>
      <c r="BG20" s="154" t="s">
        <v>6903</v>
      </c>
      <c r="BH20" s="154" t="s">
        <v>6563</v>
      </c>
      <c r="BI20" s="154" t="s">
        <v>6564</v>
      </c>
      <c r="BJ20" s="154" t="b">
        <f aca="false">FALSE()</f>
        <v>0</v>
      </c>
      <c r="BK20" s="154" t="b">
        <f aca="false">FALSE()</f>
        <v>0</v>
      </c>
      <c r="BL20" s="154" t="b">
        <f aca="false">TRUE()</f>
        <v>1</v>
      </c>
      <c r="BM20" s="154" t="b">
        <f aca="false">TRUE()</f>
        <v>1</v>
      </c>
      <c r="BN20" s="154" t="b">
        <f aca="false">FALSE()</f>
        <v>0</v>
      </c>
      <c r="BO20" s="154" t="n">
        <v>0</v>
      </c>
      <c r="BP20" s="154" t="b">
        <f aca="false">TRUE()</f>
        <v>1</v>
      </c>
      <c r="BQ20" s="154" t="b">
        <f aca="false">TRUE()</f>
        <v>1</v>
      </c>
      <c r="BR20" s="154" t="n">
        <v>1</v>
      </c>
      <c r="BS20" s="154" t="n">
        <v>0</v>
      </c>
      <c r="BT20" s="154" t="n">
        <v>0</v>
      </c>
      <c r="BU20" s="154" t="n">
        <v>0</v>
      </c>
      <c r="BV20" s="154" t="b">
        <f aca="false">FALSE()</f>
        <v>0</v>
      </c>
      <c r="BW20" s="154" t="b">
        <f aca="false">FALSE()</f>
        <v>0</v>
      </c>
    </row>
    <row r="21" customFormat="false" ht="130" hidden="false" customHeight="true" outlineLevel="0" collapsed="false">
      <c r="A21" s="154" t="s">
        <v>6904</v>
      </c>
      <c r="B21" s="154" t="s">
        <v>1669</v>
      </c>
      <c r="C21" s="154" t="s">
        <v>883</v>
      </c>
      <c r="D21" s="154" t="s">
        <v>3667</v>
      </c>
      <c r="E21" s="154" t="s">
        <v>3670</v>
      </c>
      <c r="F21" s="154" t="s">
        <v>3671</v>
      </c>
      <c r="G21" s="154" t="s">
        <v>3666</v>
      </c>
      <c r="H21" s="155" t="n">
        <v>41</v>
      </c>
      <c r="I21" s="155" t="n">
        <v>41</v>
      </c>
      <c r="J21" s="155" t="n">
        <v>41</v>
      </c>
      <c r="K21" s="155" t="n">
        <v>41</v>
      </c>
      <c r="L21" s="155" t="n">
        <v>0</v>
      </c>
      <c r="M21" s="154" t="s">
        <v>4001</v>
      </c>
      <c r="N21" s="154" t="s">
        <v>3838</v>
      </c>
      <c r="O21" s="154" t="s">
        <v>4002</v>
      </c>
      <c r="P21" s="154" t="b">
        <f aca="false">TRUE()</f>
        <v>1</v>
      </c>
      <c r="Q21" s="155" t="n">
        <v>0</v>
      </c>
      <c r="R21" s="155" t="n">
        <v>0</v>
      </c>
      <c r="S21" s="155" t="n">
        <v>0</v>
      </c>
      <c r="T21" s="155" t="n">
        <v>0</v>
      </c>
      <c r="U21" s="155" t="n">
        <v>0</v>
      </c>
      <c r="V21" s="155" t="n">
        <v>0</v>
      </c>
      <c r="W21" s="155" t="n">
        <f aca="false">IF(AND(AB21="范围已验收",N21="verified"),1,0)</f>
        <v>0</v>
      </c>
      <c r="X21" s="155" t="n">
        <v>0</v>
      </c>
      <c r="Y21" s="155" t="n">
        <f aca="false">IF(AB21="范围已验收",1,0)</f>
        <v>1</v>
      </c>
      <c r="Z21" s="155" t="n">
        <f aca="false">H21*Y21</f>
        <v>41</v>
      </c>
      <c r="AA21" s="155" t="n">
        <f aca="false">IF(AND(A21&lt;&gt;"",COUNTIF($A$2:$A$31,A21)=1,F21&lt;&gt;"",COUNTIF($F$2:$F$31,F21)=1),1,0)</f>
        <v>1</v>
      </c>
      <c r="AB21" s="154" t="str">
        <f aca="false">IF(AND(AA21=1,COUNT(H21:L21)=5,H21&gt;0,I21=H21,J21=H21,K21=H21,L21=0,M21="已接受",N21=AR21,OR(AR21="needs_review",AR21="verified"),O21="full_present_file",P21=BL21,BJ21=FALSE(),BQ21=TRUE(),COUNT(Q21:U21)=5,COUNTIF(Q21:U21,0)=5,COUNT(V21,X21,BO21,BR21,BS21,BT21,BU21)=7,BR21=1,BS21=IF(AR21="verified",1,0),V21=BT21,BT21=IF(BK21=TRUE(),-1,0),X21=BU21,IF(BM21=TRUE(),1,0)=IF(BL21=TRUE(),1,0)+X21,OR(BW21=FALSE(),IF(BN21=TRUE(),1,0)=IF(BV21=TRUE(),1,0)+BO21),OR(BN21=FALSE(),BM21=FALSE()),G21&lt;&gt;"",AE21&lt;&gt;"",AW21&lt;&gt;"",BG21&lt;&gt;""),"范围已验收","范围冲突或重复")</f>
        <v>范围已验收</v>
      </c>
      <c r="AC21" s="156" t="n">
        <v>46321.9468287037</v>
      </c>
      <c r="AD21" s="154" t="str">
        <f aca="false">HYPERLINK("https://chatgpt.com/api/library/files/libfile_66b6637a9d148191be83fc71e96c314a/download","下载合并私有接受元数据包")</f>
        <v>下载合并私有接受元数据包</v>
      </c>
      <c r="AE21" s="154" t="s">
        <v>6905</v>
      </c>
      <c r="AF21" s="154" t="s">
        <v>3675</v>
      </c>
      <c r="AG21" s="154" t="s">
        <v>6906</v>
      </c>
      <c r="AH21" s="154" t="s">
        <v>6907</v>
      </c>
      <c r="AI21" s="154" t="s">
        <v>6908</v>
      </c>
      <c r="AJ21" s="154" t="s">
        <v>6545</v>
      </c>
      <c r="AK21" s="154" t="s">
        <v>6909</v>
      </c>
      <c r="AL21" s="154" t="s">
        <v>4009</v>
      </c>
      <c r="AM21" s="156" t="n">
        <v>46321.7618287037</v>
      </c>
      <c r="AN21" s="156" t="n">
        <v>46321.8507060185</v>
      </c>
      <c r="AO21" s="154" t="s">
        <v>6910</v>
      </c>
      <c r="AP21" s="154" t="s">
        <v>6548</v>
      </c>
      <c r="AQ21" s="154" t="s">
        <v>766</v>
      </c>
      <c r="AR21" s="154" t="s">
        <v>3838</v>
      </c>
      <c r="AS21" s="154" t="s">
        <v>6911</v>
      </c>
      <c r="AT21" s="154" t="s">
        <v>6912</v>
      </c>
      <c r="AU21" s="154" t="s">
        <v>6913</v>
      </c>
      <c r="AV21" s="154" t="s">
        <v>6914</v>
      </c>
      <c r="AW21" s="154" t="s">
        <v>6915</v>
      </c>
      <c r="AX21" s="154" t="s">
        <v>6916</v>
      </c>
      <c r="AY21" s="154" t="s">
        <v>6917</v>
      </c>
      <c r="AZ21" s="154" t="s">
        <v>6556</v>
      </c>
      <c r="BA21" s="154" t="s">
        <v>6557</v>
      </c>
      <c r="BB21" s="154" t="s">
        <v>6691</v>
      </c>
      <c r="BC21" s="154" t="s">
        <v>6918</v>
      </c>
      <c r="BD21" s="154" t="s">
        <v>6919</v>
      </c>
      <c r="BE21" s="154" t="s">
        <v>6920</v>
      </c>
      <c r="BF21" s="154" t="s">
        <v>6921</v>
      </c>
      <c r="BG21" s="154" t="s">
        <v>6922</v>
      </c>
      <c r="BH21" s="154" t="s">
        <v>6641</v>
      </c>
      <c r="BI21" s="154" t="s">
        <v>6564</v>
      </c>
      <c r="BJ21" s="154" t="b">
        <f aca="false">FALSE()</f>
        <v>0</v>
      </c>
      <c r="BK21" s="154" t="b">
        <f aca="false">FALSE()</f>
        <v>0</v>
      </c>
      <c r="BL21" s="154" t="b">
        <f aca="false">TRUE()</f>
        <v>1</v>
      </c>
      <c r="BM21" s="154" t="b">
        <f aca="false">TRUE()</f>
        <v>1</v>
      </c>
      <c r="BN21" s="154" t="b">
        <f aca="false">FALSE()</f>
        <v>0</v>
      </c>
      <c r="BO21" s="154" t="n">
        <v>0</v>
      </c>
      <c r="BP21" s="154" t="b">
        <f aca="false">TRUE()</f>
        <v>1</v>
      </c>
      <c r="BQ21" s="154" t="b">
        <f aca="false">TRUE()</f>
        <v>1</v>
      </c>
      <c r="BR21" s="154" t="n">
        <v>1</v>
      </c>
      <c r="BS21" s="154" t="n">
        <v>0</v>
      </c>
      <c r="BT21" s="154" t="n">
        <v>0</v>
      </c>
      <c r="BU21" s="154" t="n">
        <v>0</v>
      </c>
      <c r="BV21" s="154" t="b">
        <f aca="false">FALSE()</f>
        <v>0</v>
      </c>
      <c r="BW21" s="154" t="b">
        <f aca="false">FALSE()</f>
        <v>0</v>
      </c>
    </row>
    <row r="22" customFormat="false" ht="130" hidden="false" customHeight="true" outlineLevel="0" collapsed="false">
      <c r="A22" s="154" t="s">
        <v>6923</v>
      </c>
      <c r="B22" s="154" t="s">
        <v>1669</v>
      </c>
      <c r="C22" s="154" t="s">
        <v>883</v>
      </c>
      <c r="D22" s="154" t="s">
        <v>3691</v>
      </c>
      <c r="E22" s="154" t="s">
        <v>3694</v>
      </c>
      <c r="F22" s="154" t="s">
        <v>3695</v>
      </c>
      <c r="G22" s="154" t="s">
        <v>3690</v>
      </c>
      <c r="H22" s="155" t="n">
        <v>51</v>
      </c>
      <c r="I22" s="155" t="n">
        <v>51</v>
      </c>
      <c r="J22" s="155" t="n">
        <v>51</v>
      </c>
      <c r="K22" s="155" t="n">
        <v>51</v>
      </c>
      <c r="L22" s="155" t="n">
        <v>0</v>
      </c>
      <c r="M22" s="154" t="s">
        <v>4001</v>
      </c>
      <c r="N22" s="154" t="s">
        <v>3838</v>
      </c>
      <c r="O22" s="154" t="s">
        <v>4002</v>
      </c>
      <c r="P22" s="154" t="b">
        <f aca="false">TRUE()</f>
        <v>1</v>
      </c>
      <c r="Q22" s="155" t="n">
        <v>0</v>
      </c>
      <c r="R22" s="155" t="n">
        <v>0</v>
      </c>
      <c r="S22" s="155" t="n">
        <v>0</v>
      </c>
      <c r="T22" s="155" t="n">
        <v>0</v>
      </c>
      <c r="U22" s="155" t="n">
        <v>0</v>
      </c>
      <c r="V22" s="155" t="n">
        <v>0</v>
      </c>
      <c r="W22" s="155" t="n">
        <f aca="false">IF(AND(AB22="范围已验收",N22="verified"),1,0)</f>
        <v>0</v>
      </c>
      <c r="X22" s="155" t="n">
        <v>0</v>
      </c>
      <c r="Y22" s="155" t="n">
        <f aca="false">IF(AB22="范围已验收",1,0)</f>
        <v>1</v>
      </c>
      <c r="Z22" s="155" t="n">
        <f aca="false">H22*Y22</f>
        <v>51</v>
      </c>
      <c r="AA22" s="155" t="n">
        <f aca="false">IF(AND(A22&lt;&gt;"",COUNTIF($A$2:$A$31,A22)=1,F22&lt;&gt;"",COUNTIF($F$2:$F$31,F22)=1),1,0)</f>
        <v>1</v>
      </c>
      <c r="AB22" s="154" t="str">
        <f aca="false">IF(AND(AA22=1,COUNT(H22:L22)=5,H22&gt;0,I22=H22,J22=H22,K22=H22,L22=0,M22="已接受",N22=AR22,OR(AR22="needs_review",AR22="verified"),O22="full_present_file",P22=BL22,BJ22=FALSE(),BQ22=TRUE(),COUNT(Q22:U22)=5,COUNTIF(Q22:U22,0)=5,COUNT(V22,X22,BO22,BR22,BS22,BT22,BU22)=7,BR22=1,BS22=IF(AR22="verified",1,0),V22=BT22,BT22=IF(BK22=TRUE(),-1,0),X22=BU22,IF(BM22=TRUE(),1,0)=IF(BL22=TRUE(),1,0)+X22,OR(BW22=FALSE(),IF(BN22=TRUE(),1,0)=IF(BV22=TRUE(),1,0)+BO22),OR(BN22=FALSE(),BM22=FALSE()),G22&lt;&gt;"",AE22&lt;&gt;"",AW22&lt;&gt;"",BG22&lt;&gt;""),"范围已验收","范围冲突或重复")</f>
        <v>范围已验收</v>
      </c>
      <c r="AC22" s="156" t="n">
        <v>46321.9468287037</v>
      </c>
      <c r="AD22" s="154" t="str">
        <f aca="false">HYPERLINK("https://chatgpt.com/api/library/files/libfile_66b6637a9d148191be83fc71e96c314a/download","下载合并私有接受元数据包")</f>
        <v>下载合并私有接受元数据包</v>
      </c>
      <c r="AE22" s="154" t="s">
        <v>6924</v>
      </c>
      <c r="AF22" s="154" t="s">
        <v>3699</v>
      </c>
      <c r="AG22" s="154" t="s">
        <v>6925</v>
      </c>
      <c r="AH22" s="154" t="s">
        <v>6926</v>
      </c>
      <c r="AI22" s="154" t="s">
        <v>6927</v>
      </c>
      <c r="AJ22" s="154" t="s">
        <v>6545</v>
      </c>
      <c r="AK22" s="154" t="s">
        <v>6928</v>
      </c>
      <c r="AL22" s="154" t="s">
        <v>4009</v>
      </c>
      <c r="AM22" s="156" t="n">
        <v>46321.7618287037</v>
      </c>
      <c r="AN22" s="156" t="n">
        <v>46321.8374421296</v>
      </c>
      <c r="AO22" s="154" t="s">
        <v>6929</v>
      </c>
      <c r="AP22" s="154" t="s">
        <v>6548</v>
      </c>
      <c r="AQ22" s="154" t="s">
        <v>766</v>
      </c>
      <c r="AR22" s="154" t="s">
        <v>3838</v>
      </c>
      <c r="AS22" s="154" t="s">
        <v>6592</v>
      </c>
      <c r="AT22" s="154" t="s">
        <v>6930</v>
      </c>
      <c r="AU22" s="154" t="s">
        <v>6931</v>
      </c>
      <c r="AV22" s="154" t="s">
        <v>6932</v>
      </c>
      <c r="AW22" s="154" t="s">
        <v>6933</v>
      </c>
      <c r="AX22" s="154" t="s">
        <v>6934</v>
      </c>
      <c r="AY22" s="154" t="s">
        <v>6935</v>
      </c>
      <c r="AZ22" s="154" t="s">
        <v>6556</v>
      </c>
      <c r="BA22" s="154" t="s">
        <v>6557</v>
      </c>
      <c r="BB22" s="154" t="s">
        <v>6784</v>
      </c>
      <c r="BC22" s="154" t="s">
        <v>6936</v>
      </c>
      <c r="BD22" s="154" t="s">
        <v>6937</v>
      </c>
      <c r="BE22" s="154" t="s">
        <v>6938</v>
      </c>
      <c r="BF22" s="154" t="s">
        <v>6939</v>
      </c>
      <c r="BG22" s="154" t="s">
        <v>6940</v>
      </c>
      <c r="BH22" s="154" t="s">
        <v>6641</v>
      </c>
      <c r="BI22" s="154" t="s">
        <v>6564</v>
      </c>
      <c r="BJ22" s="154" t="b">
        <f aca="false">FALSE()</f>
        <v>0</v>
      </c>
      <c r="BK22" s="154" t="b">
        <f aca="false">FALSE()</f>
        <v>0</v>
      </c>
      <c r="BL22" s="154" t="b">
        <f aca="false">TRUE()</f>
        <v>1</v>
      </c>
      <c r="BM22" s="154" t="b">
        <f aca="false">TRUE()</f>
        <v>1</v>
      </c>
      <c r="BN22" s="154" t="b">
        <f aca="false">FALSE()</f>
        <v>0</v>
      </c>
      <c r="BO22" s="154" t="n">
        <v>0</v>
      </c>
      <c r="BP22" s="154" t="b">
        <f aca="false">TRUE()</f>
        <v>1</v>
      </c>
      <c r="BQ22" s="154" t="b">
        <f aca="false">TRUE()</f>
        <v>1</v>
      </c>
      <c r="BR22" s="154" t="n">
        <v>1</v>
      </c>
      <c r="BS22" s="154" t="n">
        <v>0</v>
      </c>
      <c r="BT22" s="154" t="n">
        <v>0</v>
      </c>
      <c r="BU22" s="154" t="n">
        <v>0</v>
      </c>
      <c r="BV22" s="154" t="b">
        <f aca="false">FALSE()</f>
        <v>0</v>
      </c>
      <c r="BW22" s="154" t="b">
        <f aca="false">FALSE()</f>
        <v>0</v>
      </c>
    </row>
    <row r="23" customFormat="false" ht="130" hidden="false" customHeight="true" outlineLevel="0" collapsed="false">
      <c r="A23" s="154" t="s">
        <v>6941</v>
      </c>
      <c r="B23" s="154" t="s">
        <v>1669</v>
      </c>
      <c r="C23" s="154" t="s">
        <v>883</v>
      </c>
      <c r="D23" s="154" t="s">
        <v>3702</v>
      </c>
      <c r="E23" s="154" t="s">
        <v>3705</v>
      </c>
      <c r="F23" s="154" t="s">
        <v>3706</v>
      </c>
      <c r="G23" s="154" t="s">
        <v>3701</v>
      </c>
      <c r="H23" s="155" t="n">
        <v>56</v>
      </c>
      <c r="I23" s="155" t="n">
        <v>56</v>
      </c>
      <c r="J23" s="155" t="n">
        <v>56</v>
      </c>
      <c r="K23" s="155" t="n">
        <v>56</v>
      </c>
      <c r="L23" s="155" t="n">
        <v>0</v>
      </c>
      <c r="M23" s="154" t="s">
        <v>4001</v>
      </c>
      <c r="N23" s="154" t="s">
        <v>3838</v>
      </c>
      <c r="O23" s="154" t="s">
        <v>4002</v>
      </c>
      <c r="P23" s="154" t="b">
        <f aca="false">TRUE()</f>
        <v>1</v>
      </c>
      <c r="Q23" s="155" t="n">
        <v>0</v>
      </c>
      <c r="R23" s="155" t="n">
        <v>0</v>
      </c>
      <c r="S23" s="155" t="n">
        <v>0</v>
      </c>
      <c r="T23" s="155" t="n">
        <v>0</v>
      </c>
      <c r="U23" s="155" t="n">
        <v>0</v>
      </c>
      <c r="V23" s="155" t="n">
        <v>0</v>
      </c>
      <c r="W23" s="155" t="n">
        <f aca="false">IF(AND(AB23="范围已验收",N23="verified"),1,0)</f>
        <v>0</v>
      </c>
      <c r="X23" s="155" t="n">
        <v>0</v>
      </c>
      <c r="Y23" s="155" t="n">
        <f aca="false">IF(AB23="范围已验收",1,0)</f>
        <v>1</v>
      </c>
      <c r="Z23" s="155" t="n">
        <f aca="false">H23*Y23</f>
        <v>56</v>
      </c>
      <c r="AA23" s="155" t="n">
        <f aca="false">IF(AND(A23&lt;&gt;"",COUNTIF($A$2:$A$31,A23)=1,F23&lt;&gt;"",COUNTIF($F$2:$F$31,F23)=1),1,0)</f>
        <v>1</v>
      </c>
      <c r="AB23" s="154" t="str">
        <f aca="false">IF(AND(AA23=1,COUNT(H23:L23)=5,H23&gt;0,I23=H23,J23=H23,K23=H23,L23=0,M23="已接受",N23=AR23,OR(AR23="needs_review",AR23="verified"),O23="full_present_file",P23=BL23,BJ23=FALSE(),BQ23=TRUE(),COUNT(Q23:U23)=5,COUNTIF(Q23:U23,0)=5,COUNT(V23,X23,BO23,BR23,BS23,BT23,BU23)=7,BR23=1,BS23=IF(AR23="verified",1,0),V23=BT23,BT23=IF(BK23=TRUE(),-1,0),X23=BU23,IF(BM23=TRUE(),1,0)=IF(BL23=TRUE(),1,0)+X23,OR(BW23=FALSE(),IF(BN23=TRUE(),1,0)=IF(BV23=TRUE(),1,0)+BO23),OR(BN23=FALSE(),BM23=FALSE()),G23&lt;&gt;"",AE23&lt;&gt;"",AW23&lt;&gt;"",BG23&lt;&gt;""),"范围已验收","范围冲突或重复")</f>
        <v>范围已验收</v>
      </c>
      <c r="AC23" s="156" t="n">
        <v>46321.9468287037</v>
      </c>
      <c r="AD23" s="154" t="str">
        <f aca="false">HYPERLINK("https://chatgpt.com/api/library/files/libfile_66b6637a9d148191be83fc71e96c314a/download","下载合并私有接受元数据包")</f>
        <v>下载合并私有接受元数据包</v>
      </c>
      <c r="AE23" s="154" t="s">
        <v>6942</v>
      </c>
      <c r="AF23" s="154" t="s">
        <v>3710</v>
      </c>
      <c r="AG23" s="154" t="s">
        <v>6943</v>
      </c>
      <c r="AH23" s="154" t="s">
        <v>6944</v>
      </c>
      <c r="AI23" s="154" t="s">
        <v>6945</v>
      </c>
      <c r="AJ23" s="154" t="s">
        <v>6545</v>
      </c>
      <c r="AK23" s="154" t="s">
        <v>6946</v>
      </c>
      <c r="AL23" s="154" t="s">
        <v>4009</v>
      </c>
      <c r="AM23" s="156" t="n">
        <v>46321.7618287037</v>
      </c>
      <c r="AN23" s="156" t="n">
        <v>46321.8240509259</v>
      </c>
      <c r="AO23" s="154" t="s">
        <v>6947</v>
      </c>
      <c r="AP23" s="154" t="s">
        <v>6548</v>
      </c>
      <c r="AQ23" s="154" t="s">
        <v>766</v>
      </c>
      <c r="AR23" s="154" t="s">
        <v>3838</v>
      </c>
      <c r="AS23" s="154" t="s">
        <v>6948</v>
      </c>
      <c r="AT23" s="154" t="s">
        <v>6949</v>
      </c>
      <c r="AU23" s="154" t="s">
        <v>6950</v>
      </c>
      <c r="AV23" s="154" t="s">
        <v>6951</v>
      </c>
      <c r="AW23" s="154" t="s">
        <v>6952</v>
      </c>
      <c r="AX23" s="154" t="s">
        <v>6953</v>
      </c>
      <c r="AY23" s="154" t="s">
        <v>6897</v>
      </c>
      <c r="AZ23" s="154" t="s">
        <v>6954</v>
      </c>
      <c r="BA23" s="154" t="s">
        <v>6557</v>
      </c>
      <c r="BB23" s="154" t="s">
        <v>6728</v>
      </c>
      <c r="BC23" s="154" t="s">
        <v>6955</v>
      </c>
      <c r="BD23" s="154" t="s">
        <v>6956</v>
      </c>
      <c r="BE23" s="154" t="s">
        <v>6957</v>
      </c>
      <c r="BF23" s="154" t="s">
        <v>6958</v>
      </c>
      <c r="BG23" s="154" t="s">
        <v>6959</v>
      </c>
      <c r="BH23" s="154" t="s">
        <v>6563</v>
      </c>
      <c r="BI23" s="154" t="s">
        <v>6564</v>
      </c>
      <c r="BJ23" s="154" t="b">
        <f aca="false">FALSE()</f>
        <v>0</v>
      </c>
      <c r="BK23" s="154" t="b">
        <f aca="false">FALSE()</f>
        <v>0</v>
      </c>
      <c r="BL23" s="154" t="b">
        <f aca="false">TRUE()</f>
        <v>1</v>
      </c>
      <c r="BM23" s="154" t="b">
        <f aca="false">TRUE()</f>
        <v>1</v>
      </c>
      <c r="BN23" s="154" t="b">
        <f aca="false">FALSE()</f>
        <v>0</v>
      </c>
      <c r="BO23" s="154" t="n">
        <v>0</v>
      </c>
      <c r="BP23" s="154" t="b">
        <f aca="false">TRUE()</f>
        <v>1</v>
      </c>
      <c r="BQ23" s="154" t="b">
        <f aca="false">TRUE()</f>
        <v>1</v>
      </c>
      <c r="BR23" s="154" t="n">
        <v>1</v>
      </c>
      <c r="BS23" s="154" t="n">
        <v>0</v>
      </c>
      <c r="BT23" s="154" t="n">
        <v>0</v>
      </c>
      <c r="BU23" s="154" t="n">
        <v>0</v>
      </c>
      <c r="BV23" s="154" t="b">
        <f aca="false">FALSE()</f>
        <v>0</v>
      </c>
      <c r="BW23" s="154" t="b">
        <f aca="false">FALSE()</f>
        <v>0</v>
      </c>
    </row>
    <row r="24" customFormat="false" ht="130" hidden="false" customHeight="true" outlineLevel="0" collapsed="false">
      <c r="A24" s="154" t="s">
        <v>6960</v>
      </c>
      <c r="B24" s="154" t="s">
        <v>1669</v>
      </c>
      <c r="C24" s="154" t="s">
        <v>883</v>
      </c>
      <c r="D24" s="154" t="s">
        <v>3713</v>
      </c>
      <c r="E24" s="154" t="s">
        <v>3716</v>
      </c>
      <c r="F24" s="154" t="s">
        <v>3717</v>
      </c>
      <c r="G24" s="154" t="s">
        <v>3712</v>
      </c>
      <c r="H24" s="155" t="n">
        <v>105</v>
      </c>
      <c r="I24" s="155" t="n">
        <v>105</v>
      </c>
      <c r="J24" s="155" t="n">
        <v>105</v>
      </c>
      <c r="K24" s="155" t="n">
        <v>105</v>
      </c>
      <c r="L24" s="155" t="n">
        <v>0</v>
      </c>
      <c r="M24" s="154" t="s">
        <v>4001</v>
      </c>
      <c r="N24" s="154" t="s">
        <v>3838</v>
      </c>
      <c r="O24" s="154" t="s">
        <v>4002</v>
      </c>
      <c r="P24" s="154" t="b">
        <f aca="false">TRUE()</f>
        <v>1</v>
      </c>
      <c r="Q24" s="155" t="n">
        <v>0</v>
      </c>
      <c r="R24" s="155" t="n">
        <v>0</v>
      </c>
      <c r="S24" s="155" t="n">
        <v>0</v>
      </c>
      <c r="T24" s="155" t="n">
        <v>0</v>
      </c>
      <c r="U24" s="155" t="n">
        <v>0</v>
      </c>
      <c r="V24" s="155" t="n">
        <v>0</v>
      </c>
      <c r="W24" s="155" t="n">
        <f aca="false">IF(AND(AB24="范围已验收",N24="verified"),1,0)</f>
        <v>0</v>
      </c>
      <c r="X24" s="155" t="n">
        <v>0</v>
      </c>
      <c r="Y24" s="155" t="n">
        <f aca="false">IF(AB24="范围已验收",1,0)</f>
        <v>1</v>
      </c>
      <c r="Z24" s="155" t="n">
        <f aca="false">H24*Y24</f>
        <v>105</v>
      </c>
      <c r="AA24" s="155" t="n">
        <f aca="false">IF(AND(A24&lt;&gt;"",COUNTIF($A$2:$A$31,A24)=1,F24&lt;&gt;"",COUNTIF($F$2:$F$31,F24)=1),1,0)</f>
        <v>1</v>
      </c>
      <c r="AB24" s="154" t="str">
        <f aca="false">IF(AND(AA24=1,COUNT(H24:L24)=5,H24&gt;0,I24=H24,J24=H24,K24=H24,L24=0,M24="已接受",N24=AR24,OR(AR24="needs_review",AR24="verified"),O24="full_present_file",P24=BL24,BJ24=FALSE(),BQ24=TRUE(),COUNT(Q24:U24)=5,COUNTIF(Q24:U24,0)=5,COUNT(V24,X24,BO24,BR24,BS24,BT24,BU24)=7,BR24=1,BS24=IF(AR24="verified",1,0),V24=BT24,BT24=IF(BK24=TRUE(),-1,0),X24=BU24,IF(BM24=TRUE(),1,0)=IF(BL24=TRUE(),1,0)+X24,OR(BW24=FALSE(),IF(BN24=TRUE(),1,0)=IF(BV24=TRUE(),1,0)+BO24),OR(BN24=FALSE(),BM24=FALSE()),G24&lt;&gt;"",AE24&lt;&gt;"",AW24&lt;&gt;"",BG24&lt;&gt;""),"范围已验收","范围冲突或重复")</f>
        <v>范围已验收</v>
      </c>
      <c r="AC24" s="156" t="n">
        <v>46321.9468287037</v>
      </c>
      <c r="AD24" s="154" t="str">
        <f aca="false">HYPERLINK("https://chatgpt.com/api/library/files/libfile_66b6637a9d148191be83fc71e96c314a/download","下载合并私有接受元数据包")</f>
        <v>下载合并私有接受元数据包</v>
      </c>
      <c r="AE24" s="154" t="s">
        <v>6961</v>
      </c>
      <c r="AF24" s="154" t="s">
        <v>3721</v>
      </c>
      <c r="AG24" s="154" t="s">
        <v>6962</v>
      </c>
      <c r="AH24" s="154" t="s">
        <v>6963</v>
      </c>
      <c r="AI24" s="154" t="s">
        <v>6964</v>
      </c>
      <c r="AJ24" s="154" t="s">
        <v>6545</v>
      </c>
      <c r="AK24" s="154" t="s">
        <v>6965</v>
      </c>
      <c r="AL24" s="154" t="s">
        <v>4009</v>
      </c>
      <c r="AM24" s="156" t="n">
        <v>46321.7618287037</v>
      </c>
      <c r="AN24" s="156" t="n">
        <v>46321.8434837963</v>
      </c>
      <c r="AO24" s="154" t="s">
        <v>6966</v>
      </c>
      <c r="AP24" s="154" t="s">
        <v>6548</v>
      </c>
      <c r="AQ24" s="154" t="s">
        <v>766</v>
      </c>
      <c r="AR24" s="154" t="s">
        <v>3838</v>
      </c>
      <c r="AS24" s="154" t="s">
        <v>6967</v>
      </c>
      <c r="AT24" s="154" t="s">
        <v>6968</v>
      </c>
      <c r="AU24" s="154" t="s">
        <v>6969</v>
      </c>
      <c r="AV24" s="154" t="s">
        <v>6970</v>
      </c>
      <c r="AW24" s="154" t="s">
        <v>6971</v>
      </c>
      <c r="AX24" s="154" t="s">
        <v>6972</v>
      </c>
      <c r="AY24" s="154" t="s">
        <v>6973</v>
      </c>
      <c r="AZ24" s="154" t="s">
        <v>6974</v>
      </c>
      <c r="BA24" s="154" t="s">
        <v>6975</v>
      </c>
      <c r="BB24" s="154" t="s">
        <v>6728</v>
      </c>
      <c r="BC24" s="154" t="s">
        <v>6976</v>
      </c>
      <c r="BD24" s="154" t="s">
        <v>6977</v>
      </c>
      <c r="BE24" s="154" t="s">
        <v>6978</v>
      </c>
      <c r="BF24" s="154" t="s">
        <v>6979</v>
      </c>
      <c r="BG24" s="154" t="s">
        <v>6980</v>
      </c>
      <c r="BH24" s="154" t="s">
        <v>6641</v>
      </c>
      <c r="BI24" s="154" t="s">
        <v>6564</v>
      </c>
      <c r="BJ24" s="154" t="b">
        <f aca="false">FALSE()</f>
        <v>0</v>
      </c>
      <c r="BK24" s="154" t="b">
        <f aca="false">FALSE()</f>
        <v>0</v>
      </c>
      <c r="BL24" s="154" t="b">
        <f aca="false">TRUE()</f>
        <v>1</v>
      </c>
      <c r="BM24" s="154" t="b">
        <f aca="false">TRUE()</f>
        <v>1</v>
      </c>
      <c r="BN24" s="154" t="b">
        <f aca="false">FALSE()</f>
        <v>0</v>
      </c>
      <c r="BO24" s="154" t="n">
        <v>0</v>
      </c>
      <c r="BP24" s="154" t="b">
        <f aca="false">TRUE()</f>
        <v>1</v>
      </c>
      <c r="BQ24" s="154" t="b">
        <f aca="false">TRUE()</f>
        <v>1</v>
      </c>
      <c r="BR24" s="154" t="n">
        <v>1</v>
      </c>
      <c r="BS24" s="154" t="n">
        <v>0</v>
      </c>
      <c r="BT24" s="154" t="n">
        <v>0</v>
      </c>
      <c r="BU24" s="154" t="n">
        <v>0</v>
      </c>
      <c r="BV24" s="154" t="b">
        <f aca="false">FALSE()</f>
        <v>0</v>
      </c>
      <c r="BW24" s="154" t="b">
        <f aca="false">FALSE()</f>
        <v>0</v>
      </c>
    </row>
    <row r="25" customFormat="false" ht="130" hidden="false" customHeight="true" outlineLevel="0" collapsed="false">
      <c r="A25" s="154" t="s">
        <v>6981</v>
      </c>
      <c r="B25" s="154" t="s">
        <v>1669</v>
      </c>
      <c r="C25" s="154" t="s">
        <v>883</v>
      </c>
      <c r="D25" s="154" t="s">
        <v>3724</v>
      </c>
      <c r="E25" s="154" t="s">
        <v>3727</v>
      </c>
      <c r="F25" s="154" t="s">
        <v>3728</v>
      </c>
      <c r="G25" s="154" t="s">
        <v>3723</v>
      </c>
      <c r="H25" s="155" t="n">
        <v>89</v>
      </c>
      <c r="I25" s="155" t="n">
        <v>89</v>
      </c>
      <c r="J25" s="155" t="n">
        <v>89</v>
      </c>
      <c r="K25" s="155" t="n">
        <v>89</v>
      </c>
      <c r="L25" s="155" t="n">
        <v>0</v>
      </c>
      <c r="M25" s="154" t="s">
        <v>4001</v>
      </c>
      <c r="N25" s="154" t="s">
        <v>3838</v>
      </c>
      <c r="O25" s="154" t="s">
        <v>4002</v>
      </c>
      <c r="P25" s="154" t="b">
        <f aca="false">TRUE()</f>
        <v>1</v>
      </c>
      <c r="Q25" s="155" t="n">
        <v>0</v>
      </c>
      <c r="R25" s="155" t="n">
        <v>0</v>
      </c>
      <c r="S25" s="155" t="n">
        <v>0</v>
      </c>
      <c r="T25" s="155" t="n">
        <v>0</v>
      </c>
      <c r="U25" s="155" t="n">
        <v>0</v>
      </c>
      <c r="V25" s="155" t="n">
        <v>0</v>
      </c>
      <c r="W25" s="155" t="n">
        <f aca="false">IF(AND(AB25="范围已验收",N25="verified"),1,0)</f>
        <v>0</v>
      </c>
      <c r="X25" s="155" t="n">
        <v>0</v>
      </c>
      <c r="Y25" s="155" t="n">
        <f aca="false">IF(AB25="范围已验收",1,0)</f>
        <v>1</v>
      </c>
      <c r="Z25" s="155" t="n">
        <f aca="false">H25*Y25</f>
        <v>89</v>
      </c>
      <c r="AA25" s="155" t="n">
        <f aca="false">IF(AND(A25&lt;&gt;"",COUNTIF($A$2:$A$31,A25)=1,F25&lt;&gt;"",COUNTIF($F$2:$F$31,F25)=1),1,0)</f>
        <v>1</v>
      </c>
      <c r="AB25" s="154" t="str">
        <f aca="false">IF(AND(AA25=1,COUNT(H25:L25)=5,H25&gt;0,I25=H25,J25=H25,K25=H25,L25=0,M25="已接受",N25=AR25,OR(AR25="needs_review",AR25="verified"),O25="full_present_file",P25=BL25,BJ25=FALSE(),BQ25=TRUE(),COUNT(Q25:U25)=5,COUNTIF(Q25:U25,0)=5,COUNT(V25,X25,BO25,BR25,BS25,BT25,BU25)=7,BR25=1,BS25=IF(AR25="verified",1,0),V25=BT25,BT25=IF(BK25=TRUE(),-1,0),X25=BU25,IF(BM25=TRUE(),1,0)=IF(BL25=TRUE(),1,0)+X25,OR(BW25=FALSE(),IF(BN25=TRUE(),1,0)=IF(BV25=TRUE(),1,0)+BO25),OR(BN25=FALSE(),BM25=FALSE()),G25&lt;&gt;"",AE25&lt;&gt;"",AW25&lt;&gt;"",BG25&lt;&gt;""),"范围已验收","范围冲突或重复")</f>
        <v>范围已验收</v>
      </c>
      <c r="AC25" s="156" t="n">
        <v>46321.9468287037</v>
      </c>
      <c r="AD25" s="154" t="str">
        <f aca="false">HYPERLINK("https://chatgpt.com/api/library/files/libfile_66b6637a9d148191be83fc71e96c314a/download","下载合并私有接受元数据包")</f>
        <v>下载合并私有接受元数据包</v>
      </c>
      <c r="AE25" s="154" t="s">
        <v>6982</v>
      </c>
      <c r="AF25" s="154" t="s">
        <v>3732</v>
      </c>
      <c r="AG25" s="154" t="s">
        <v>6983</v>
      </c>
      <c r="AH25" s="154" t="s">
        <v>6984</v>
      </c>
      <c r="AI25" s="154" t="s">
        <v>6985</v>
      </c>
      <c r="AJ25" s="154" t="s">
        <v>6545</v>
      </c>
      <c r="AK25" s="154" t="s">
        <v>6986</v>
      </c>
      <c r="AL25" s="154" t="s">
        <v>4009</v>
      </c>
      <c r="AM25" s="156" t="n">
        <v>46321.7618287037</v>
      </c>
      <c r="AN25" s="156" t="n">
        <v>46321.8662847222</v>
      </c>
      <c r="AO25" s="154" t="s">
        <v>6987</v>
      </c>
      <c r="AP25" s="154" t="s">
        <v>6548</v>
      </c>
      <c r="AQ25" s="154" t="s">
        <v>766</v>
      </c>
      <c r="AR25" s="154" t="s">
        <v>3838</v>
      </c>
      <c r="AS25" s="154" t="s">
        <v>6988</v>
      </c>
      <c r="AT25" s="154" t="s">
        <v>6989</v>
      </c>
      <c r="AU25" s="154" t="s">
        <v>6990</v>
      </c>
      <c r="AV25" s="154" t="s">
        <v>6991</v>
      </c>
      <c r="AW25" s="154" t="s">
        <v>6992</v>
      </c>
      <c r="AX25" s="154" t="s">
        <v>6993</v>
      </c>
      <c r="AY25" s="154" t="s">
        <v>6897</v>
      </c>
      <c r="AZ25" s="154" t="s">
        <v>6556</v>
      </c>
      <c r="BA25" s="154" t="s">
        <v>6557</v>
      </c>
      <c r="BB25" s="154" t="s">
        <v>6691</v>
      </c>
      <c r="BC25" s="154" t="s">
        <v>6976</v>
      </c>
      <c r="BD25" s="154" t="s">
        <v>6994</v>
      </c>
      <c r="BE25" s="154" t="s">
        <v>6995</v>
      </c>
      <c r="BF25" s="154" t="s">
        <v>6996</v>
      </c>
      <c r="BG25" s="154" t="s">
        <v>6997</v>
      </c>
      <c r="BH25" s="154" t="s">
        <v>6563</v>
      </c>
      <c r="BI25" s="154" t="s">
        <v>6564</v>
      </c>
      <c r="BJ25" s="154" t="b">
        <f aca="false">FALSE()</f>
        <v>0</v>
      </c>
      <c r="BK25" s="154" t="b">
        <f aca="false">FALSE()</f>
        <v>0</v>
      </c>
      <c r="BL25" s="154" t="b">
        <f aca="false">TRUE()</f>
        <v>1</v>
      </c>
      <c r="BM25" s="154" t="b">
        <f aca="false">TRUE()</f>
        <v>1</v>
      </c>
      <c r="BN25" s="154" t="b">
        <f aca="false">FALSE()</f>
        <v>0</v>
      </c>
      <c r="BO25" s="154" t="n">
        <v>0</v>
      </c>
      <c r="BP25" s="154" t="b">
        <f aca="false">TRUE()</f>
        <v>1</v>
      </c>
      <c r="BQ25" s="154" t="b">
        <f aca="false">TRUE()</f>
        <v>1</v>
      </c>
      <c r="BR25" s="154" t="n">
        <v>1</v>
      </c>
      <c r="BS25" s="154" t="n">
        <v>0</v>
      </c>
      <c r="BT25" s="154" t="n">
        <v>0</v>
      </c>
      <c r="BU25" s="154" t="n">
        <v>0</v>
      </c>
      <c r="BV25" s="154" t="b">
        <f aca="false">FALSE()</f>
        <v>0</v>
      </c>
      <c r="BW25" s="154" t="b">
        <f aca="false">FALSE()</f>
        <v>0</v>
      </c>
    </row>
    <row r="26" customFormat="false" ht="130" hidden="false" customHeight="true" outlineLevel="0" collapsed="false">
      <c r="A26" s="154" t="s">
        <v>6998</v>
      </c>
      <c r="B26" s="154" t="s">
        <v>1669</v>
      </c>
      <c r="C26" s="154" t="s">
        <v>876</v>
      </c>
      <c r="D26" s="154" t="s">
        <v>2957</v>
      </c>
      <c r="E26" s="154" t="s">
        <v>2962</v>
      </c>
      <c r="F26" s="154" t="s">
        <v>2963</v>
      </c>
      <c r="G26" s="154" t="s">
        <v>2956</v>
      </c>
      <c r="H26" s="155" t="n">
        <v>46</v>
      </c>
      <c r="I26" s="155" t="n">
        <v>46</v>
      </c>
      <c r="J26" s="155" t="n">
        <v>46</v>
      </c>
      <c r="K26" s="155" t="n">
        <v>46</v>
      </c>
      <c r="L26" s="155" t="n">
        <v>0</v>
      </c>
      <c r="M26" s="154" t="s">
        <v>4001</v>
      </c>
      <c r="N26" s="154" t="s">
        <v>3838</v>
      </c>
      <c r="O26" s="154" t="s">
        <v>4002</v>
      </c>
      <c r="P26" s="154" t="b">
        <f aca="false">FALSE()</f>
        <v>0</v>
      </c>
      <c r="Q26" s="155" t="n">
        <v>0</v>
      </c>
      <c r="R26" s="155" t="n">
        <v>0</v>
      </c>
      <c r="S26" s="155" t="n">
        <v>0</v>
      </c>
      <c r="T26" s="155" t="n">
        <v>0</v>
      </c>
      <c r="U26" s="155" t="n">
        <v>0</v>
      </c>
      <c r="V26" s="155" t="n">
        <v>0</v>
      </c>
      <c r="W26" s="155" t="n">
        <f aca="false">IF(AND(AB26="范围已验收",N26="verified"),1,0)</f>
        <v>0</v>
      </c>
      <c r="X26" s="155" t="n">
        <v>0</v>
      </c>
      <c r="Y26" s="155" t="n">
        <f aca="false">IF(AB26="范围已验收",1,0)</f>
        <v>1</v>
      </c>
      <c r="Z26" s="155" t="n">
        <f aca="false">H26*Y26</f>
        <v>46</v>
      </c>
      <c r="AA26" s="155" t="n">
        <f aca="false">IF(AND(A26&lt;&gt;"",COUNTIF($A$2:$A$31,A26)=1,F26&lt;&gt;"",COUNTIF($F$2:$F$31,F26)=1),1,0)</f>
        <v>1</v>
      </c>
      <c r="AB26" s="154" t="str">
        <f aca="false">IF(AND(AA26=1,COUNT(H26:L26)=5,H26&gt;0,I26=H26,J26=H26,K26=H26,L26=0,M26="已接受",N26=AR26,OR(AR26="needs_review",AR26="verified"),O26="full_present_file",P26=BL26,BJ26=FALSE(),BQ26=TRUE(),COUNT(Q26:U26)=5,COUNTIF(Q26:U26,0)=5,COUNT(V26,X26,BO26,BR26,BS26,BT26,BU26)=7,BR26=1,BS26=IF(AR26="verified",1,0),V26=BT26,BT26=IF(BK26=TRUE(),-1,0),X26=BU26,IF(BM26=TRUE(),1,0)=IF(BL26=TRUE(),1,0)+X26,OR(BW26=FALSE(),IF(BN26=TRUE(),1,0)=IF(BV26=TRUE(),1,0)+BO26),OR(BN26=FALSE(),BM26=FALSE()),G26&lt;&gt;"",AE26&lt;&gt;"",AW26&lt;&gt;"",BG26&lt;&gt;""),"范围已验收","范围冲突或重复")</f>
        <v>范围已验收</v>
      </c>
      <c r="AC26" s="156" t="n">
        <v>46321.9342361111</v>
      </c>
      <c r="AD26" s="154" t="str">
        <f aca="false">HYPERLINK("https://chatgpt.com/api/library/files/libfile_66b6637a9d148191be83fc71e96c314a/download","下载合并私有接受元数据包")</f>
        <v>下载合并私有接受元数据包</v>
      </c>
      <c r="AE26" s="154" t="s">
        <v>6999</v>
      </c>
      <c r="AF26" s="154" t="s">
        <v>2967</v>
      </c>
      <c r="AG26" s="154" t="s">
        <v>7000</v>
      </c>
      <c r="AH26" s="154" t="s">
        <v>7001</v>
      </c>
      <c r="AI26" s="154" t="s">
        <v>7002</v>
      </c>
      <c r="AJ26" s="154" t="s">
        <v>6545</v>
      </c>
      <c r="AK26" s="154" t="s">
        <v>7003</v>
      </c>
      <c r="AL26" s="154" t="s">
        <v>4009</v>
      </c>
      <c r="AM26" s="156" t="n">
        <v>46321.8777199074</v>
      </c>
      <c r="AN26" s="156" t="n">
        <v>46321.8828587963</v>
      </c>
      <c r="AO26" s="154" t="s">
        <v>7004</v>
      </c>
      <c r="AP26" s="154" t="s">
        <v>7005</v>
      </c>
      <c r="AQ26" s="154" t="s">
        <v>766</v>
      </c>
      <c r="AR26" s="154" t="s">
        <v>3838</v>
      </c>
      <c r="AS26" s="154" t="s">
        <v>7006</v>
      </c>
      <c r="AT26" s="154" t="s">
        <v>7007</v>
      </c>
      <c r="AU26" s="154" t="s">
        <v>7008</v>
      </c>
      <c r="AV26" s="154" t="s">
        <v>7009</v>
      </c>
      <c r="AW26" s="154" t="s">
        <v>7010</v>
      </c>
      <c r="AX26" s="154" t="s">
        <v>7011</v>
      </c>
      <c r="AY26" s="154" t="s">
        <v>4139</v>
      </c>
      <c r="AZ26" s="154" t="s">
        <v>6556</v>
      </c>
      <c r="BA26" s="154" t="s">
        <v>6557</v>
      </c>
      <c r="BB26" s="154" t="s">
        <v>7012</v>
      </c>
      <c r="BC26" s="154" t="s">
        <v>7013</v>
      </c>
      <c r="BD26" s="154" t="s">
        <v>7014</v>
      </c>
      <c r="BE26" s="154" t="s">
        <v>7015</v>
      </c>
      <c r="BF26" s="154" t="s">
        <v>7016</v>
      </c>
      <c r="BG26" s="154" t="s">
        <v>7017</v>
      </c>
      <c r="BH26" s="154" t="s">
        <v>7018</v>
      </c>
      <c r="BI26" s="154" t="s">
        <v>7019</v>
      </c>
      <c r="BJ26" s="154" t="b">
        <f aca="false">FALSE()</f>
        <v>0</v>
      </c>
      <c r="BK26" s="154" t="b">
        <f aca="false">FALSE()</f>
        <v>0</v>
      </c>
      <c r="BL26" s="154" t="b">
        <f aca="false">FALSE()</f>
        <v>0</v>
      </c>
      <c r="BM26" s="154" t="b">
        <f aca="false">FALSE()</f>
        <v>0</v>
      </c>
      <c r="BN26" s="154" t="b">
        <f aca="false">TRUE()</f>
        <v>1</v>
      </c>
      <c r="BO26" s="154" t="n">
        <v>0</v>
      </c>
      <c r="BP26" s="154" t="b">
        <f aca="false">TRUE()</f>
        <v>1</v>
      </c>
      <c r="BQ26" s="154" t="b">
        <f aca="false">TRUE()</f>
        <v>1</v>
      </c>
      <c r="BR26" s="154" t="n">
        <v>1</v>
      </c>
      <c r="BS26" s="154" t="n">
        <v>0</v>
      </c>
      <c r="BT26" s="154" t="n">
        <v>0</v>
      </c>
      <c r="BU26" s="154" t="n">
        <v>0</v>
      </c>
      <c r="BV26" s="154" t="b">
        <f aca="false">TRUE()</f>
        <v>1</v>
      </c>
      <c r="BW26" s="154" t="b">
        <f aca="false">TRUE()</f>
        <v>1</v>
      </c>
    </row>
    <row r="27" customFormat="false" ht="130" hidden="false" customHeight="true" outlineLevel="0" collapsed="false">
      <c r="A27" s="154" t="s">
        <v>7020</v>
      </c>
      <c r="B27" s="154" t="s">
        <v>1669</v>
      </c>
      <c r="C27" s="154" t="s">
        <v>883</v>
      </c>
      <c r="D27" s="154" t="s">
        <v>3200</v>
      </c>
      <c r="E27" s="154" t="s">
        <v>3204</v>
      </c>
      <c r="F27" s="154" t="s">
        <v>3205</v>
      </c>
      <c r="G27" s="154" t="s">
        <v>3199</v>
      </c>
      <c r="H27" s="155" t="n">
        <v>50</v>
      </c>
      <c r="I27" s="155" t="n">
        <v>50</v>
      </c>
      <c r="J27" s="155" t="n">
        <v>50</v>
      </c>
      <c r="K27" s="155" t="n">
        <v>50</v>
      </c>
      <c r="L27" s="155" t="n">
        <v>0</v>
      </c>
      <c r="M27" s="154" t="s">
        <v>4001</v>
      </c>
      <c r="N27" s="154" t="s">
        <v>3838</v>
      </c>
      <c r="O27" s="154" t="s">
        <v>4002</v>
      </c>
      <c r="P27" s="154" t="b">
        <f aca="false">FALSE()</f>
        <v>0</v>
      </c>
      <c r="Q27" s="155" t="n">
        <v>0</v>
      </c>
      <c r="R27" s="155" t="n">
        <v>0</v>
      </c>
      <c r="S27" s="155" t="n">
        <v>0</v>
      </c>
      <c r="T27" s="155" t="n">
        <v>0</v>
      </c>
      <c r="U27" s="155" t="n">
        <v>0</v>
      </c>
      <c r="V27" s="155" t="n">
        <v>0</v>
      </c>
      <c r="W27" s="155" t="n">
        <f aca="false">IF(AND(AB27="范围已验收",N27="verified"),1,0)</f>
        <v>0</v>
      </c>
      <c r="X27" s="155" t="n">
        <v>0</v>
      </c>
      <c r="Y27" s="155" t="n">
        <f aca="false">IF(AB27="范围已验收",1,0)</f>
        <v>1</v>
      </c>
      <c r="Z27" s="155" t="n">
        <f aca="false">H27*Y27</f>
        <v>50</v>
      </c>
      <c r="AA27" s="155" t="n">
        <f aca="false">IF(AND(A27&lt;&gt;"",COUNTIF($A$2:$A$31,A27)=1,F27&lt;&gt;"",COUNTIF($F$2:$F$31,F27)=1),1,0)</f>
        <v>1</v>
      </c>
      <c r="AB27" s="154" t="str">
        <f aca="false">IF(AND(AA27=1,COUNT(H27:L27)=5,H27&gt;0,I27=H27,J27=H27,K27=H27,L27=0,M27="已接受",N27=AR27,OR(AR27="needs_review",AR27="verified"),O27="full_present_file",P27=BL27,BJ27=FALSE(),BQ27=TRUE(),COUNT(Q27:U27)=5,COUNTIF(Q27:U27,0)=5,COUNT(V27,X27,BO27,BR27,BS27,BT27,BU27)=7,BR27=1,BS27=IF(AR27="verified",1,0),V27=BT27,BT27=IF(BK27=TRUE(),-1,0),X27=BU27,IF(BM27=TRUE(),1,0)=IF(BL27=TRUE(),1,0)+X27,OR(BW27=FALSE(),IF(BN27=TRUE(),1,0)=IF(BV27=TRUE(),1,0)+BO27),OR(BN27=FALSE(),BM27=FALSE()),G27&lt;&gt;"",AE27&lt;&gt;"",AW27&lt;&gt;"",BG27&lt;&gt;""),"范围已验收","范围冲突或重复")</f>
        <v>范围已验收</v>
      </c>
      <c r="AC27" s="156" t="n">
        <v>46321.9342361111</v>
      </c>
      <c r="AD27" s="154" t="str">
        <f aca="false">HYPERLINK("https://chatgpt.com/api/library/files/libfile_66b6637a9d148191be83fc71e96c314a/download","下载合并私有接受元数据包")</f>
        <v>下载合并私有接受元数据包</v>
      </c>
      <c r="AE27" s="154" t="s">
        <v>7021</v>
      </c>
      <c r="AF27" s="154" t="s">
        <v>3208</v>
      </c>
      <c r="AG27" s="154" t="s">
        <v>7022</v>
      </c>
      <c r="AH27" s="154" t="s">
        <v>7023</v>
      </c>
      <c r="AI27" s="154" t="s">
        <v>7024</v>
      </c>
      <c r="AJ27" s="154" t="s">
        <v>6545</v>
      </c>
      <c r="AK27" s="154" t="s">
        <v>7025</v>
      </c>
      <c r="AL27" s="154" t="s">
        <v>4009</v>
      </c>
      <c r="AM27" s="156" t="n">
        <v>46321.8777199074</v>
      </c>
      <c r="AN27" s="156" t="n">
        <v>46321.8923032408</v>
      </c>
      <c r="AO27" s="154" t="s">
        <v>7026</v>
      </c>
      <c r="AP27" s="154" t="s">
        <v>7005</v>
      </c>
      <c r="AQ27" s="154" t="s">
        <v>766</v>
      </c>
      <c r="AR27" s="154" t="s">
        <v>3838</v>
      </c>
      <c r="AS27" s="154" t="s">
        <v>7027</v>
      </c>
      <c r="AT27" s="154" t="s">
        <v>7028</v>
      </c>
      <c r="AU27" s="154" t="s">
        <v>7029</v>
      </c>
      <c r="AV27" s="154" t="s">
        <v>7030</v>
      </c>
      <c r="AW27" s="154" t="s">
        <v>7010</v>
      </c>
      <c r="AX27" s="154" t="s">
        <v>7031</v>
      </c>
      <c r="AY27" s="154" t="s">
        <v>4546</v>
      </c>
      <c r="AZ27" s="154" t="s">
        <v>4547</v>
      </c>
      <c r="BA27" s="154" t="s">
        <v>6557</v>
      </c>
      <c r="BB27" s="154" t="s">
        <v>6728</v>
      </c>
      <c r="BC27" s="154" t="s">
        <v>4548</v>
      </c>
      <c r="BD27" s="154" t="s">
        <v>7014</v>
      </c>
      <c r="BE27" s="154" t="s">
        <v>7032</v>
      </c>
      <c r="BF27" s="154" t="s">
        <v>7033</v>
      </c>
      <c r="BG27" s="154" t="s">
        <v>7034</v>
      </c>
      <c r="BH27" s="154" t="s">
        <v>7018</v>
      </c>
      <c r="BI27" s="154" t="s">
        <v>7019</v>
      </c>
      <c r="BJ27" s="154" t="b">
        <f aca="false">FALSE()</f>
        <v>0</v>
      </c>
      <c r="BK27" s="154" t="b">
        <f aca="false">FALSE()</f>
        <v>0</v>
      </c>
      <c r="BL27" s="154" t="b">
        <f aca="false">FALSE()</f>
        <v>0</v>
      </c>
      <c r="BM27" s="154" t="b">
        <f aca="false">FALSE()</f>
        <v>0</v>
      </c>
      <c r="BN27" s="154" t="b">
        <f aca="false">TRUE()</f>
        <v>1</v>
      </c>
      <c r="BO27" s="154" t="n">
        <v>0</v>
      </c>
      <c r="BP27" s="154" t="b">
        <f aca="false">TRUE()</f>
        <v>1</v>
      </c>
      <c r="BQ27" s="154" t="b">
        <f aca="false">TRUE()</f>
        <v>1</v>
      </c>
      <c r="BR27" s="154" t="n">
        <v>1</v>
      </c>
      <c r="BS27" s="154" t="n">
        <v>0</v>
      </c>
      <c r="BT27" s="154" t="n">
        <v>0</v>
      </c>
      <c r="BU27" s="154" t="n">
        <v>0</v>
      </c>
      <c r="BV27" s="154" t="b">
        <f aca="false">TRUE()</f>
        <v>1</v>
      </c>
      <c r="BW27" s="154" t="b">
        <f aca="false">TRUE()</f>
        <v>1</v>
      </c>
    </row>
    <row r="28" customFormat="false" ht="130" hidden="false" customHeight="true" outlineLevel="0" collapsed="false">
      <c r="A28" s="154" t="s">
        <v>7035</v>
      </c>
      <c r="B28" s="154" t="s">
        <v>1669</v>
      </c>
      <c r="C28" s="154" t="s">
        <v>883</v>
      </c>
      <c r="D28" s="154" t="s">
        <v>3149</v>
      </c>
      <c r="E28" s="154" t="s">
        <v>3153</v>
      </c>
      <c r="F28" s="154" t="s">
        <v>3154</v>
      </c>
      <c r="G28" s="154" t="s">
        <v>3148</v>
      </c>
      <c r="H28" s="155" t="n">
        <v>100</v>
      </c>
      <c r="I28" s="155" t="n">
        <v>100</v>
      </c>
      <c r="J28" s="155" t="n">
        <v>100</v>
      </c>
      <c r="K28" s="155" t="n">
        <v>100</v>
      </c>
      <c r="L28" s="155" t="n">
        <v>0</v>
      </c>
      <c r="M28" s="154" t="s">
        <v>4001</v>
      </c>
      <c r="N28" s="154" t="s">
        <v>3838</v>
      </c>
      <c r="O28" s="154" t="s">
        <v>4002</v>
      </c>
      <c r="P28" s="154" t="b">
        <f aca="false">FALSE()</f>
        <v>0</v>
      </c>
      <c r="Q28" s="155" t="n">
        <v>0</v>
      </c>
      <c r="R28" s="155" t="n">
        <v>0</v>
      </c>
      <c r="S28" s="155" t="n">
        <v>0</v>
      </c>
      <c r="T28" s="155" t="n">
        <v>0</v>
      </c>
      <c r="U28" s="155" t="n">
        <v>0</v>
      </c>
      <c r="V28" s="155" t="n">
        <v>0</v>
      </c>
      <c r="W28" s="155" t="n">
        <f aca="false">IF(AND(AB28="范围已验收",N28="verified"),1,0)</f>
        <v>0</v>
      </c>
      <c r="X28" s="155" t="n">
        <v>0</v>
      </c>
      <c r="Y28" s="155" t="n">
        <f aca="false">IF(AB28="范围已验收",1,0)</f>
        <v>1</v>
      </c>
      <c r="Z28" s="155" t="n">
        <f aca="false">H28*Y28</f>
        <v>100</v>
      </c>
      <c r="AA28" s="155" t="n">
        <f aca="false">IF(AND(A28&lt;&gt;"",COUNTIF($A$2:$A$31,A28)=1,F28&lt;&gt;"",COUNTIF($F$2:$F$31,F28)=1),1,0)</f>
        <v>1</v>
      </c>
      <c r="AB28" s="154" t="str">
        <f aca="false">IF(AND(AA28=1,COUNT(H28:L28)=5,H28&gt;0,I28=H28,J28=H28,K28=H28,L28=0,M28="已接受",N28=AR28,OR(AR28="needs_review",AR28="verified"),O28="full_present_file",P28=BL28,BJ28=FALSE(),BQ28=TRUE(),COUNT(Q28:U28)=5,COUNTIF(Q28:U28,0)=5,COUNT(V28,X28,BO28,BR28,BS28,BT28,BU28)=7,BR28=1,BS28=IF(AR28="verified",1,0),V28=BT28,BT28=IF(BK28=TRUE(),-1,0),X28=BU28,IF(BM28=TRUE(),1,0)=IF(BL28=TRUE(),1,0)+X28,OR(BW28=FALSE(),IF(BN28=TRUE(),1,0)=IF(BV28=TRUE(),1,0)+BO28),OR(BN28=FALSE(),BM28=FALSE()),G28&lt;&gt;"",AE28&lt;&gt;"",AW28&lt;&gt;"",BG28&lt;&gt;""),"范围已验收","范围冲突或重复")</f>
        <v>范围已验收</v>
      </c>
      <c r="AC28" s="156" t="n">
        <v>46321.9342361111</v>
      </c>
      <c r="AD28" s="154" t="str">
        <f aca="false">HYPERLINK("https://chatgpt.com/api/library/files/libfile_66b6637a9d148191be83fc71e96c314a/download","下载合并私有接受元数据包")</f>
        <v>下载合并私有接受元数据包</v>
      </c>
      <c r="AE28" s="154" t="s">
        <v>7036</v>
      </c>
      <c r="AF28" s="154" t="s">
        <v>3157</v>
      </c>
      <c r="AG28" s="154" t="s">
        <v>7037</v>
      </c>
      <c r="AH28" s="154" t="s">
        <v>7038</v>
      </c>
      <c r="AI28" s="154" t="s">
        <v>7039</v>
      </c>
      <c r="AJ28" s="154" t="s">
        <v>6545</v>
      </c>
      <c r="AK28" s="154" t="s">
        <v>7040</v>
      </c>
      <c r="AL28" s="154" t="s">
        <v>4009</v>
      </c>
      <c r="AM28" s="156" t="n">
        <v>46321.8777199074</v>
      </c>
      <c r="AN28" s="156" t="n">
        <v>46321.8883680556</v>
      </c>
      <c r="AO28" s="154" t="s">
        <v>7041</v>
      </c>
      <c r="AP28" s="154" t="s">
        <v>7005</v>
      </c>
      <c r="AQ28" s="154" t="s">
        <v>766</v>
      </c>
      <c r="AR28" s="154" t="s">
        <v>3838</v>
      </c>
      <c r="AS28" s="154" t="s">
        <v>7042</v>
      </c>
      <c r="AT28" s="154" t="s">
        <v>7043</v>
      </c>
      <c r="AU28" s="154" t="s">
        <v>7044</v>
      </c>
      <c r="AV28" s="154" t="s">
        <v>7045</v>
      </c>
      <c r="AW28" s="154" t="s">
        <v>7010</v>
      </c>
      <c r="AX28" s="154" t="s">
        <v>7046</v>
      </c>
      <c r="AY28" s="154" t="s">
        <v>7047</v>
      </c>
      <c r="AZ28" s="154" t="s">
        <v>7048</v>
      </c>
      <c r="BA28" s="154" t="s">
        <v>7049</v>
      </c>
      <c r="BB28" s="154" t="s">
        <v>7050</v>
      </c>
      <c r="BC28" s="154" t="s">
        <v>7051</v>
      </c>
      <c r="BD28" s="154" t="s">
        <v>7014</v>
      </c>
      <c r="BE28" s="154" t="s">
        <v>7052</v>
      </c>
      <c r="BF28" s="154" t="s">
        <v>7053</v>
      </c>
      <c r="BG28" s="154" t="s">
        <v>7054</v>
      </c>
      <c r="BH28" s="154" t="s">
        <v>7018</v>
      </c>
      <c r="BI28" s="154" t="s">
        <v>7019</v>
      </c>
      <c r="BJ28" s="154" t="b">
        <f aca="false">FALSE()</f>
        <v>0</v>
      </c>
      <c r="BK28" s="154" t="b">
        <f aca="false">FALSE()</f>
        <v>0</v>
      </c>
      <c r="BL28" s="154" t="b">
        <f aca="false">FALSE()</f>
        <v>0</v>
      </c>
      <c r="BM28" s="154" t="b">
        <f aca="false">FALSE()</f>
        <v>0</v>
      </c>
      <c r="BN28" s="154" t="b">
        <f aca="false">TRUE()</f>
        <v>1</v>
      </c>
      <c r="BO28" s="154" t="n">
        <v>0</v>
      </c>
      <c r="BP28" s="154" t="b">
        <f aca="false">TRUE()</f>
        <v>1</v>
      </c>
      <c r="BQ28" s="154" t="b">
        <f aca="false">TRUE()</f>
        <v>1</v>
      </c>
      <c r="BR28" s="154" t="n">
        <v>1</v>
      </c>
      <c r="BS28" s="154" t="n">
        <v>0</v>
      </c>
      <c r="BT28" s="154" t="n">
        <v>0</v>
      </c>
      <c r="BU28" s="154" t="n">
        <v>0</v>
      </c>
      <c r="BV28" s="154" t="b">
        <f aca="false">TRUE()</f>
        <v>1</v>
      </c>
      <c r="BW28" s="154" t="b">
        <f aca="false">TRUE()</f>
        <v>1</v>
      </c>
    </row>
    <row r="29" customFormat="false" ht="130" hidden="false" customHeight="true" outlineLevel="0" collapsed="false">
      <c r="A29" s="154" t="s">
        <v>7055</v>
      </c>
      <c r="B29" s="154" t="s">
        <v>1669</v>
      </c>
      <c r="C29" s="154" t="s">
        <v>883</v>
      </c>
      <c r="D29" s="154" t="s">
        <v>3678</v>
      </c>
      <c r="E29" s="154" t="s">
        <v>3682</v>
      </c>
      <c r="F29" s="154" t="s">
        <v>3683</v>
      </c>
      <c r="G29" s="154" t="s">
        <v>3677</v>
      </c>
      <c r="H29" s="155" t="n">
        <v>63</v>
      </c>
      <c r="I29" s="155" t="n">
        <v>63</v>
      </c>
      <c r="J29" s="155" t="n">
        <v>63</v>
      </c>
      <c r="K29" s="155" t="n">
        <v>63</v>
      </c>
      <c r="L29" s="155" t="n">
        <v>0</v>
      </c>
      <c r="M29" s="154" t="s">
        <v>4001</v>
      </c>
      <c r="N29" s="154" t="s">
        <v>3838</v>
      </c>
      <c r="O29" s="154" t="s">
        <v>4002</v>
      </c>
      <c r="P29" s="154" t="b">
        <f aca="false">FALSE()</f>
        <v>0</v>
      </c>
      <c r="Q29" s="155" t="n">
        <v>0</v>
      </c>
      <c r="R29" s="155" t="n">
        <v>0</v>
      </c>
      <c r="S29" s="155" t="n">
        <v>0</v>
      </c>
      <c r="T29" s="155" t="n">
        <v>0</v>
      </c>
      <c r="U29" s="155" t="n">
        <v>0</v>
      </c>
      <c r="V29" s="155" t="n">
        <v>0</v>
      </c>
      <c r="W29" s="155" t="n">
        <f aca="false">IF(AND(AB29="范围已验收",N29="verified"),1,0)</f>
        <v>0</v>
      </c>
      <c r="X29" s="155" t="n">
        <v>0</v>
      </c>
      <c r="Y29" s="155" t="n">
        <f aca="false">IF(AB29="范围已验收",1,0)</f>
        <v>1</v>
      </c>
      <c r="Z29" s="155" t="n">
        <f aca="false">H29*Y29</f>
        <v>63</v>
      </c>
      <c r="AA29" s="155" t="n">
        <f aca="false">IF(AND(A29&lt;&gt;"",COUNTIF($A$2:$A$31,A29)=1,F29&lt;&gt;"",COUNTIF($F$2:$F$31,F29)=1),1,0)</f>
        <v>1</v>
      </c>
      <c r="AB29" s="154" t="str">
        <f aca="false">IF(AND(AA29=1,COUNT(H29:L29)=5,H29&gt;0,I29=H29,J29=H29,K29=H29,L29=0,M29="已接受",N29=AR29,OR(AR29="needs_review",AR29="verified"),O29="full_present_file",P29=BL29,BJ29=FALSE(),BQ29=TRUE(),COUNT(Q29:U29)=5,COUNTIF(Q29:U29,0)=5,COUNT(V29,X29,BO29,BR29,BS29,BT29,BU29)=7,BR29=1,BS29=IF(AR29="verified",1,0),V29=BT29,BT29=IF(BK29=TRUE(),-1,0),X29=BU29,IF(BM29=TRUE(),1,0)=IF(BL29=TRUE(),1,0)+X29,OR(BW29=FALSE(),IF(BN29=TRUE(),1,0)=IF(BV29=TRUE(),1,0)+BO29),OR(BN29=FALSE(),BM29=FALSE()),G29&lt;&gt;"",AE29&lt;&gt;"",AW29&lt;&gt;"",BG29&lt;&gt;""),"范围已验收","范围冲突或重复")</f>
        <v>范围已验收</v>
      </c>
      <c r="AC29" s="156" t="n">
        <v>46321.9342361111</v>
      </c>
      <c r="AD29" s="154" t="str">
        <f aca="false">HYPERLINK("https://chatgpt.com/api/library/files/libfile_66b6637a9d148191be83fc71e96c314a/download","下载合并私有接受元数据包")</f>
        <v>下载合并私有接受元数据包</v>
      </c>
      <c r="AE29" s="154" t="s">
        <v>7056</v>
      </c>
      <c r="AF29" s="154" t="s">
        <v>3688</v>
      </c>
      <c r="AG29" s="154" t="s">
        <v>7057</v>
      </c>
      <c r="AH29" s="154" t="s">
        <v>7058</v>
      </c>
      <c r="AI29" s="154" t="s">
        <v>7059</v>
      </c>
      <c r="AJ29" s="154" t="s">
        <v>6545</v>
      </c>
      <c r="AK29" s="154" t="s">
        <v>7060</v>
      </c>
      <c r="AL29" s="154" t="s">
        <v>4009</v>
      </c>
      <c r="AM29" s="156" t="n">
        <v>46321.8777199074</v>
      </c>
      <c r="AN29" s="156" t="n">
        <v>46321.8941550926</v>
      </c>
      <c r="AO29" s="154" t="s">
        <v>7061</v>
      </c>
      <c r="AP29" s="154" t="s">
        <v>7005</v>
      </c>
      <c r="AQ29" s="154" t="s">
        <v>766</v>
      </c>
      <c r="AR29" s="154" t="s">
        <v>3838</v>
      </c>
      <c r="AS29" s="154" t="s">
        <v>7062</v>
      </c>
      <c r="AT29" s="154" t="s">
        <v>7063</v>
      </c>
      <c r="AU29" s="154" t="s">
        <v>7064</v>
      </c>
      <c r="AV29" s="154" t="s">
        <v>7065</v>
      </c>
      <c r="AW29" s="154" t="s">
        <v>7010</v>
      </c>
      <c r="AX29" s="154" t="s">
        <v>7066</v>
      </c>
      <c r="AY29" s="154" t="s">
        <v>7067</v>
      </c>
      <c r="AZ29" s="154" t="s">
        <v>7068</v>
      </c>
      <c r="BA29" s="154" t="s">
        <v>7069</v>
      </c>
      <c r="BB29" s="154" t="s">
        <v>7070</v>
      </c>
      <c r="BC29" s="154" t="s">
        <v>7071</v>
      </c>
      <c r="BD29" s="154" t="s">
        <v>7014</v>
      </c>
      <c r="BE29" s="154" t="s">
        <v>7072</v>
      </c>
      <c r="BF29" s="154" t="s">
        <v>7073</v>
      </c>
      <c r="BG29" s="154" t="s">
        <v>7074</v>
      </c>
      <c r="BH29" s="154" t="s">
        <v>7075</v>
      </c>
      <c r="BI29" s="154" t="s">
        <v>7019</v>
      </c>
      <c r="BJ29" s="154" t="b">
        <f aca="false">FALSE()</f>
        <v>0</v>
      </c>
      <c r="BK29" s="154" t="b">
        <f aca="false">FALSE()</f>
        <v>0</v>
      </c>
      <c r="BL29" s="154" t="b">
        <f aca="false">FALSE()</f>
        <v>0</v>
      </c>
      <c r="BM29" s="154" t="b">
        <f aca="false">FALSE()</f>
        <v>0</v>
      </c>
      <c r="BN29" s="154" t="b">
        <f aca="false">TRUE()</f>
        <v>1</v>
      </c>
      <c r="BO29" s="154" t="n">
        <v>0</v>
      </c>
      <c r="BP29" s="154" t="b">
        <f aca="false">TRUE()</f>
        <v>1</v>
      </c>
      <c r="BQ29" s="154" t="b">
        <f aca="false">TRUE()</f>
        <v>1</v>
      </c>
      <c r="BR29" s="154" t="n">
        <v>1</v>
      </c>
      <c r="BS29" s="154" t="n">
        <v>0</v>
      </c>
      <c r="BT29" s="154" t="n">
        <v>0</v>
      </c>
      <c r="BU29" s="154" t="n">
        <v>0</v>
      </c>
      <c r="BV29" s="154" t="b">
        <f aca="false">TRUE()</f>
        <v>1</v>
      </c>
      <c r="BW29" s="154" t="b">
        <f aca="false">TRUE()</f>
        <v>1</v>
      </c>
    </row>
    <row r="30" customFormat="false" ht="140" hidden="false" customHeight="true" outlineLevel="0" collapsed="false">
      <c r="A30" s="154" t="s">
        <v>7076</v>
      </c>
      <c r="B30" s="154" t="s">
        <v>1669</v>
      </c>
      <c r="C30" s="154" t="s">
        <v>883</v>
      </c>
      <c r="D30" s="154" t="s">
        <v>3735</v>
      </c>
      <c r="E30" s="154" t="s">
        <v>3739</v>
      </c>
      <c r="F30" s="154" t="s">
        <v>3740</v>
      </c>
      <c r="G30" s="154" t="s">
        <v>3734</v>
      </c>
      <c r="H30" s="155" t="n">
        <v>47</v>
      </c>
      <c r="I30" s="155" t="n">
        <v>47</v>
      </c>
      <c r="J30" s="155" t="n">
        <v>47</v>
      </c>
      <c r="K30" s="155" t="n">
        <v>47</v>
      </c>
      <c r="L30" s="155" t="n">
        <v>0</v>
      </c>
      <c r="M30" s="154" t="s">
        <v>4001</v>
      </c>
      <c r="N30" s="154" t="s">
        <v>3838</v>
      </c>
      <c r="O30" s="154" t="s">
        <v>4002</v>
      </c>
      <c r="P30" s="154" t="b">
        <f aca="false">FALSE()</f>
        <v>0</v>
      </c>
      <c r="Q30" s="155" t="n">
        <v>0</v>
      </c>
      <c r="R30" s="155" t="n">
        <v>0</v>
      </c>
      <c r="S30" s="155" t="n">
        <v>0</v>
      </c>
      <c r="T30" s="155" t="n">
        <v>0</v>
      </c>
      <c r="U30" s="155" t="n">
        <v>0</v>
      </c>
      <c r="V30" s="155" t="n">
        <v>0</v>
      </c>
      <c r="W30" s="155" t="n">
        <f aca="false">IF(AND(AB30="范围已验收",N30="verified"),1,0)</f>
        <v>0</v>
      </c>
      <c r="X30" s="155" t="n">
        <v>1</v>
      </c>
      <c r="Y30" s="155" t="n">
        <f aca="false">IF(AB30="范围已验收",1,0)</f>
        <v>1</v>
      </c>
      <c r="Z30" s="155" t="n">
        <f aca="false">H30*Y30</f>
        <v>47</v>
      </c>
      <c r="AA30" s="155" t="n">
        <f aca="false">IF(AND(A30&lt;&gt;"",COUNTIF($A$2:$A$31,A30)=1,F30&lt;&gt;"",COUNTIF($F$2:$F$31,F30)=1),1,0)</f>
        <v>1</v>
      </c>
      <c r="AB30" s="154" t="str">
        <f aca="false">IF(AND(AA30=1,COUNT(H30:L30)=5,H30&gt;0,I30=H30,J30=H30,K30=H30,L30=0,M30="已接受",N30=AR30,OR(AR30="needs_review",AR30="verified"),O30="full_present_file",P30=BL30,BJ30=FALSE(),BQ30=TRUE(),COUNT(Q30:U30)=5,COUNTIF(Q30:U30,0)=5,COUNT(V30,X30,BO30,BR30,BS30,BT30,BU30)=7,BR30=1,BS30=IF(AR30="verified",1,0),V30=BT30,BT30=IF(BK30=TRUE(),-1,0),X30=BU30,IF(BM30=TRUE(),1,0)=IF(BL30=TRUE(),1,0)+X30,OR(BW30=FALSE(),IF(BN30=TRUE(),1,0)=IF(BV30=TRUE(),1,0)+BO30),OR(BN30=FALSE(),BM30=FALSE()),G30&lt;&gt;"",AE30&lt;&gt;"",AW30&lt;&gt;"",BG30&lt;&gt;""),"范围已验收","范围冲突或重复")</f>
        <v>范围已验收</v>
      </c>
      <c r="AC30" s="156" t="n">
        <v>46321.9342361111</v>
      </c>
      <c r="AD30" s="154" t="str">
        <f aca="false">HYPERLINK("https://chatgpt.com/api/library/files/libfile_66b6637a9d148191be83fc71e96c314a/download","下载合并私有接受元数据包")</f>
        <v>下载合并私有接受元数据包</v>
      </c>
      <c r="AE30" s="154" t="s">
        <v>7077</v>
      </c>
      <c r="AF30" s="154" t="s">
        <v>3745</v>
      </c>
      <c r="AG30" s="154" t="s">
        <v>7078</v>
      </c>
      <c r="AH30" s="154" t="s">
        <v>7079</v>
      </c>
      <c r="AI30" s="154" t="s">
        <v>7080</v>
      </c>
      <c r="AJ30" s="154" t="s">
        <v>6545</v>
      </c>
      <c r="AK30" s="154" t="s">
        <v>7081</v>
      </c>
      <c r="AL30" s="154" t="s">
        <v>4009</v>
      </c>
      <c r="AM30" s="156" t="n">
        <v>46321.8777199074</v>
      </c>
      <c r="AN30" s="156" t="n">
        <v>46321.9035300926</v>
      </c>
      <c r="AO30" s="154" t="s">
        <v>7082</v>
      </c>
      <c r="AP30" s="154" t="s">
        <v>7005</v>
      </c>
      <c r="AQ30" s="154" t="s">
        <v>766</v>
      </c>
      <c r="AR30" s="154" t="s">
        <v>3838</v>
      </c>
      <c r="AS30" s="154" t="s">
        <v>7083</v>
      </c>
      <c r="AT30" s="154" t="s">
        <v>7084</v>
      </c>
      <c r="AU30" s="154" t="s">
        <v>7085</v>
      </c>
      <c r="AV30" s="154" t="s">
        <v>7086</v>
      </c>
      <c r="AW30" s="154" t="s">
        <v>7010</v>
      </c>
      <c r="AX30" s="154" t="s">
        <v>7087</v>
      </c>
      <c r="AY30" s="154" t="s">
        <v>7088</v>
      </c>
      <c r="AZ30" s="154" t="s">
        <v>7089</v>
      </c>
      <c r="BA30" s="154" t="s">
        <v>6557</v>
      </c>
      <c r="BB30" s="154" t="s">
        <v>6728</v>
      </c>
      <c r="BC30" s="154" t="s">
        <v>7090</v>
      </c>
      <c r="BD30" s="154" t="s">
        <v>7014</v>
      </c>
      <c r="BE30" s="154" t="s">
        <v>7091</v>
      </c>
      <c r="BF30" s="154" t="s">
        <v>7092</v>
      </c>
      <c r="BG30" s="154" t="s">
        <v>7093</v>
      </c>
      <c r="BH30" s="154" t="s">
        <v>7018</v>
      </c>
      <c r="BI30" s="154" t="s">
        <v>7019</v>
      </c>
      <c r="BJ30" s="154" t="b">
        <f aca="false">FALSE()</f>
        <v>0</v>
      </c>
      <c r="BK30" s="154" t="b">
        <f aca="false">FALSE()</f>
        <v>0</v>
      </c>
      <c r="BL30" s="154" t="b">
        <f aca="false">FALSE()</f>
        <v>0</v>
      </c>
      <c r="BM30" s="154" t="b">
        <f aca="false">TRUE()</f>
        <v>1</v>
      </c>
      <c r="BN30" s="154" t="b">
        <f aca="false">FALSE()</f>
        <v>0</v>
      </c>
      <c r="BO30" s="154" t="n">
        <v>-1</v>
      </c>
      <c r="BP30" s="154" t="b">
        <f aca="false">TRUE()</f>
        <v>1</v>
      </c>
      <c r="BQ30" s="154" t="b">
        <f aca="false">TRUE()</f>
        <v>1</v>
      </c>
      <c r="BR30" s="154" t="n">
        <v>1</v>
      </c>
      <c r="BS30" s="154" t="n">
        <v>0</v>
      </c>
      <c r="BT30" s="154" t="n">
        <v>0</v>
      </c>
      <c r="BU30" s="154" t="n">
        <v>1</v>
      </c>
      <c r="BV30" s="154" t="b">
        <f aca="false">TRUE()</f>
        <v>1</v>
      </c>
      <c r="BW30" s="154" t="b">
        <f aca="false">TRUE()</f>
        <v>1</v>
      </c>
    </row>
    <row r="31" customFormat="false" ht="130" hidden="false" customHeight="true" outlineLevel="0" collapsed="false">
      <c r="A31" s="154" t="s">
        <v>7094</v>
      </c>
      <c r="B31" s="154" t="s">
        <v>1677</v>
      </c>
      <c r="C31" s="154" t="s">
        <v>1061</v>
      </c>
      <c r="D31" s="154" t="s">
        <v>1490</v>
      </c>
      <c r="E31" s="154" t="s">
        <v>7095</v>
      </c>
      <c r="F31" s="154" t="s">
        <v>7096</v>
      </c>
      <c r="G31" s="154" t="s">
        <v>1056</v>
      </c>
      <c r="H31" s="155" t="n">
        <v>18</v>
      </c>
      <c r="I31" s="155" t="n">
        <v>18</v>
      </c>
      <c r="J31" s="155" t="n">
        <v>18</v>
      </c>
      <c r="K31" s="155" t="n">
        <v>18</v>
      </c>
      <c r="L31" s="155" t="n">
        <v>0</v>
      </c>
      <c r="M31" s="154" t="s">
        <v>4001</v>
      </c>
      <c r="N31" s="154" t="s">
        <v>3838</v>
      </c>
      <c r="O31" s="154" t="s">
        <v>4002</v>
      </c>
      <c r="P31" s="154" t="b">
        <f aca="false">FALSE()</f>
        <v>0</v>
      </c>
      <c r="Q31" s="155" t="n">
        <v>0</v>
      </c>
      <c r="R31" s="155" t="n">
        <v>0</v>
      </c>
      <c r="S31" s="155" t="n">
        <v>0</v>
      </c>
      <c r="T31" s="155" t="n">
        <v>0</v>
      </c>
      <c r="U31" s="155" t="n">
        <v>0</v>
      </c>
      <c r="V31" s="155" t="n">
        <v>-1</v>
      </c>
      <c r="W31" s="155" t="n">
        <f aca="false">IF(AND(AB31="范围已验收",N31="verified"),1,0)</f>
        <v>0</v>
      </c>
      <c r="X31" s="155" t="n">
        <v>0</v>
      </c>
      <c r="Y31" s="155" t="n">
        <f aca="false">IF(AB31="范围已验收",1,0)</f>
        <v>1</v>
      </c>
      <c r="Z31" s="155" t="n">
        <f aca="false">H31*Y31</f>
        <v>18</v>
      </c>
      <c r="AA31" s="155" t="n">
        <f aca="false">IF(AND(A31&lt;&gt;"",COUNTIF($A$2:$A$31,A31)=1,F31&lt;&gt;"",COUNTIF($F$2:$F$31,F31)=1),1,0)</f>
        <v>1</v>
      </c>
      <c r="AB31" s="154" t="str">
        <f aca="false">IF(AND(AA31=1,COUNT(H31:L31)=5,H31&gt;0,I31=H31,J31=H31,K31=H31,L31=0,M31="已接受",N31=AR31,OR(AR31="needs_review",AR31="verified"),O31="full_present_file",P31=BL31,BJ31=FALSE(),BQ31=TRUE(),COUNT(Q31:U31)=5,COUNTIF(Q31:U31,0)=5,COUNT(V31,X31,BO31,BR31,BS31,BT31,BU31)=7,BR31=1,BS31=IF(AR31="verified",1,0),V31=BT31,BT31=IF(BK31=TRUE(),-1,0),X31=BU31,IF(BM31=TRUE(),1,0)=IF(BL31=TRUE(),1,0)+X31,OR(BW31=FALSE(),IF(BN31=TRUE(),1,0)=IF(BV31=TRUE(),1,0)+BO31),OR(BN31=FALSE(),BM31=FALSE()),G31&lt;&gt;"",AE31&lt;&gt;"",AW31&lt;&gt;"",BG31&lt;&gt;""),"范围已验收","范围冲突或重复")</f>
        <v>范围已验收</v>
      </c>
      <c r="AC31" s="156" t="n">
        <v>46321.9342361111</v>
      </c>
      <c r="AD31" s="154" t="str">
        <f aca="false">HYPERLINK("https://chatgpt.com/api/library/files/libfile_66b6637a9d148191be83fc71e96c314a/download","下载合并私有接受元数据包")</f>
        <v>下载合并私有接受元数据包</v>
      </c>
      <c r="AE31" s="154" t="s">
        <v>7097</v>
      </c>
      <c r="AF31" s="154" t="s">
        <v>7098</v>
      </c>
      <c r="AG31" s="154" t="s">
        <v>7099</v>
      </c>
      <c r="AH31" s="154" t="s">
        <v>7100</v>
      </c>
      <c r="AI31" s="154" t="s">
        <v>7101</v>
      </c>
      <c r="AJ31" s="154" t="s">
        <v>6545</v>
      </c>
      <c r="AK31" s="154" t="s">
        <v>7102</v>
      </c>
      <c r="AL31" s="154" t="s">
        <v>4009</v>
      </c>
      <c r="AM31" s="156" t="n">
        <v>46321.8793981482</v>
      </c>
      <c r="AN31" s="156" t="n">
        <v>46321.8862268519</v>
      </c>
      <c r="AO31" s="154" t="s">
        <v>7103</v>
      </c>
      <c r="AP31" s="154" t="s">
        <v>7104</v>
      </c>
      <c r="AQ31" s="154" t="s">
        <v>766</v>
      </c>
      <c r="AR31" s="154" t="s">
        <v>3838</v>
      </c>
      <c r="AS31" s="154" t="s">
        <v>7105</v>
      </c>
      <c r="AT31" s="154" t="s">
        <v>7106</v>
      </c>
      <c r="AU31" s="154" t="s">
        <v>7107</v>
      </c>
      <c r="AV31" s="154" t="s">
        <v>7108</v>
      </c>
      <c r="AW31" s="154" t="s">
        <v>7109</v>
      </c>
      <c r="AX31" s="154" t="s">
        <v>7110</v>
      </c>
      <c r="AY31" s="154" t="s">
        <v>2148</v>
      </c>
      <c r="AZ31" s="154" t="s">
        <v>6556</v>
      </c>
      <c r="BA31" s="154" t="s">
        <v>6557</v>
      </c>
      <c r="BB31" s="154" t="s">
        <v>7111</v>
      </c>
      <c r="BC31" s="154" t="s">
        <v>7112</v>
      </c>
      <c r="BD31" s="154" t="s">
        <v>7113</v>
      </c>
      <c r="BE31" s="154" t="s">
        <v>7114</v>
      </c>
      <c r="BF31" s="154" t="s">
        <v>7115</v>
      </c>
      <c r="BG31" s="154" t="s">
        <v>7116</v>
      </c>
      <c r="BH31" s="154" t="s">
        <v>7117</v>
      </c>
      <c r="BI31" s="154" t="s">
        <v>7118</v>
      </c>
      <c r="BJ31" s="154" t="b">
        <f aca="false">FALSE()</f>
        <v>0</v>
      </c>
      <c r="BK31" s="154" t="b">
        <f aca="false">TRUE()</f>
        <v>1</v>
      </c>
      <c r="BL31" s="154" t="b">
        <f aca="false">FALSE()</f>
        <v>0</v>
      </c>
      <c r="BM31" s="154" t="b">
        <f aca="false">FALSE()</f>
        <v>0</v>
      </c>
      <c r="BN31" s="154" t="b">
        <f aca="false">FALSE()</f>
        <v>0</v>
      </c>
      <c r="BO31" s="154" t="n">
        <v>0</v>
      </c>
      <c r="BP31" s="154" t="b">
        <f aca="false">FALSE()</f>
        <v>0</v>
      </c>
      <c r="BQ31" s="154" t="b">
        <f aca="false">TRUE()</f>
        <v>1</v>
      </c>
      <c r="BR31" s="154" t="n">
        <v>1</v>
      </c>
      <c r="BS31" s="154" t="n">
        <v>0</v>
      </c>
      <c r="BT31" s="154" t="n">
        <v>-1</v>
      </c>
      <c r="BU31" s="154" t="n">
        <v>0</v>
      </c>
      <c r="BV31" s="154" t="b">
        <f aca="false">FALSE()</f>
        <v>0</v>
      </c>
      <c r="BW31" s="154" t="b">
        <f aca="false">FALSE()</f>
        <v>0</v>
      </c>
    </row>
  </sheetData>
  <conditionalFormatting sqref="AB2:AB31">
    <cfRule type="containsText" priority="2" operator="containsText" aboveAverage="0" equalAverage="0" bottom="0" percent="0" rank="0" text="冲突" dxfId="37">
      <formula>NOT(ISERROR(SEARCH("冲突",AB2)))</formula>
    </cfRule>
  </conditionalFormatting>
  <dataValidations count="2">
    <dataValidation allowBlank="false" errorStyle="stop" operator="between" showDropDown="false" showErrorMessage="false" showInputMessage="false" sqref="M2:M31" type="list">
      <formula1>"已接受,待QA"</formula1>
      <formula2>0</formula2>
    </dataValidation>
    <dataValidation allowBlank="false" errorStyle="stop" operator="between" showDropDown="false" showErrorMessage="false" showInputMessage="false" sqref="N2:N31" type="list">
      <formula1>"needs_review,verified"</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34"/>
    <col collapsed="false" customWidth="true" hidden="false" outlineLevel="0" max="3" min="3" style="0" width="55"/>
    <col collapsed="false" customWidth="true" hidden="false" outlineLevel="0" max="4" min="4" style="0" width="40"/>
    <col collapsed="false" customWidth="true" hidden="false" outlineLevel="0" max="5" min="5" style="0" width="155"/>
    <col collapsed="false" customWidth="true" hidden="false" outlineLevel="0" max="6" min="6" style="0" width="110"/>
    <col collapsed="false" customWidth="true" hidden="false" outlineLevel="0" max="7" min="7" style="0" width="120"/>
    <col collapsed="false" customWidth="true" hidden="false" outlineLevel="0" max="8" min="8" style="0" width="68"/>
    <col collapsed="false" customWidth="true" hidden="false" outlineLevel="0" max="9" min="9" style="0" width="48"/>
  </cols>
  <sheetData>
    <row r="1" customFormat="false" ht="54" hidden="false" customHeight="true" outlineLevel="0" collapsed="false">
      <c r="A1" s="153" t="s">
        <v>2799</v>
      </c>
      <c r="B1" s="153" t="s">
        <v>4735</v>
      </c>
      <c r="C1" s="153" t="s">
        <v>4071</v>
      </c>
      <c r="D1" s="153" t="s">
        <v>4736</v>
      </c>
      <c r="E1" s="153" t="s">
        <v>7119</v>
      </c>
      <c r="F1" s="153" t="s">
        <v>4738</v>
      </c>
      <c r="G1" s="153" t="s">
        <v>4739</v>
      </c>
      <c r="H1" s="153" t="s">
        <v>4740</v>
      </c>
      <c r="I1" s="153" t="s">
        <v>4741</v>
      </c>
    </row>
    <row r="2" customFormat="false" ht="196" hidden="false" customHeight="true" outlineLevel="0" collapsed="false">
      <c r="A2" s="154" t="s">
        <v>6540</v>
      </c>
      <c r="B2" s="154" t="s">
        <v>7120</v>
      </c>
      <c r="C2" s="154" t="s">
        <v>4743</v>
      </c>
      <c r="D2" s="154" t="s">
        <v>7121</v>
      </c>
      <c r="E2" s="154" t="s">
        <v>7122</v>
      </c>
      <c r="F2" s="154" t="s">
        <v>6546</v>
      </c>
      <c r="G2" s="154" t="s">
        <v>6541</v>
      </c>
      <c r="H2" s="154" t="s">
        <v>6560</v>
      </c>
      <c r="I2" s="154" t="s">
        <v>7123</v>
      </c>
    </row>
    <row r="3" customFormat="false" ht="76" hidden="false" customHeight="true" outlineLevel="0" collapsed="false">
      <c r="A3" s="154" t="s">
        <v>6540</v>
      </c>
      <c r="B3" s="154" t="s">
        <v>7124</v>
      </c>
      <c r="C3" s="154" t="s">
        <v>4743</v>
      </c>
      <c r="D3" s="154" t="s">
        <v>7121</v>
      </c>
      <c r="E3" s="154" t="s">
        <v>7125</v>
      </c>
      <c r="F3" s="154" t="s">
        <v>7126</v>
      </c>
      <c r="G3" s="154" t="s">
        <v>7127</v>
      </c>
      <c r="H3" s="154" t="s">
        <v>7128</v>
      </c>
      <c r="I3" s="154" t="s">
        <v>7123</v>
      </c>
    </row>
    <row r="4" customFormat="false" ht="76" hidden="false" customHeight="true" outlineLevel="0" collapsed="false">
      <c r="A4" s="154" t="s">
        <v>6540</v>
      </c>
      <c r="B4" s="154" t="s">
        <v>7124</v>
      </c>
      <c r="C4" s="154" t="s">
        <v>4743</v>
      </c>
      <c r="D4" s="154" t="s">
        <v>7121</v>
      </c>
      <c r="E4" s="154" t="s">
        <v>7129</v>
      </c>
      <c r="F4" s="154" t="s">
        <v>7130</v>
      </c>
      <c r="G4" s="154" t="s">
        <v>7131</v>
      </c>
      <c r="H4" s="154" t="s">
        <v>7132</v>
      </c>
      <c r="I4" s="154" t="s">
        <v>7123</v>
      </c>
    </row>
    <row r="5" customFormat="false" ht="350" hidden="false" customHeight="true" outlineLevel="0" collapsed="false">
      <c r="A5" s="154" t="s">
        <v>6540</v>
      </c>
      <c r="B5" s="154" t="s">
        <v>7124</v>
      </c>
      <c r="C5" s="154" t="s">
        <v>4743</v>
      </c>
      <c r="D5" s="154" t="s">
        <v>7121</v>
      </c>
      <c r="E5" s="154" t="s">
        <v>7133</v>
      </c>
      <c r="F5" s="154" t="s">
        <v>7134</v>
      </c>
      <c r="G5" s="154" t="s">
        <v>7135</v>
      </c>
      <c r="H5" s="154" t="s">
        <v>7136</v>
      </c>
      <c r="I5" s="154" t="s">
        <v>7123</v>
      </c>
    </row>
    <row r="6" customFormat="false" ht="266" hidden="false" customHeight="true" outlineLevel="0" collapsed="false">
      <c r="A6" s="154" t="s">
        <v>6540</v>
      </c>
      <c r="B6" s="154" t="s">
        <v>7124</v>
      </c>
      <c r="C6" s="154" t="s">
        <v>4743</v>
      </c>
      <c r="D6" s="154" t="s">
        <v>7121</v>
      </c>
      <c r="E6" s="154" t="s">
        <v>7137</v>
      </c>
      <c r="F6" s="154" t="s">
        <v>7138</v>
      </c>
      <c r="G6" s="154" t="s">
        <v>7139</v>
      </c>
      <c r="H6" s="154" t="s">
        <v>7140</v>
      </c>
      <c r="I6" s="154" t="s">
        <v>7123</v>
      </c>
    </row>
    <row r="7" customFormat="false" ht="76" hidden="false" customHeight="true" outlineLevel="0" collapsed="false">
      <c r="A7" s="154" t="s">
        <v>6540</v>
      </c>
      <c r="B7" s="154" t="s">
        <v>7124</v>
      </c>
      <c r="C7" s="154" t="s">
        <v>4743</v>
      </c>
      <c r="D7" s="154" t="s">
        <v>7121</v>
      </c>
      <c r="E7" s="154" t="s">
        <v>4744</v>
      </c>
      <c r="F7" s="154" t="s">
        <v>7141</v>
      </c>
      <c r="G7" s="154" t="s">
        <v>7142</v>
      </c>
      <c r="H7" s="154" t="s">
        <v>7143</v>
      </c>
      <c r="I7" s="154" t="s">
        <v>7123</v>
      </c>
    </row>
    <row r="8" customFormat="false" ht="76" hidden="false" customHeight="true" outlineLevel="0" collapsed="false">
      <c r="A8" s="154" t="s">
        <v>6540</v>
      </c>
      <c r="B8" s="154" t="s">
        <v>7124</v>
      </c>
      <c r="C8" s="154" t="s">
        <v>4743</v>
      </c>
      <c r="D8" s="154" t="s">
        <v>7121</v>
      </c>
      <c r="E8" s="154" t="s">
        <v>7144</v>
      </c>
      <c r="F8" s="154" t="s">
        <v>7145</v>
      </c>
      <c r="G8" s="154" t="s">
        <v>7146</v>
      </c>
      <c r="H8" s="154" t="s">
        <v>7147</v>
      </c>
      <c r="I8" s="154" t="s">
        <v>7123</v>
      </c>
    </row>
    <row r="9" customFormat="false" ht="76" hidden="false" customHeight="true" outlineLevel="0" collapsed="false">
      <c r="A9" s="154" t="s">
        <v>6540</v>
      </c>
      <c r="B9" s="154" t="s">
        <v>7124</v>
      </c>
      <c r="C9" s="154" t="s">
        <v>4743</v>
      </c>
      <c r="D9" s="154" t="s">
        <v>7121</v>
      </c>
      <c r="E9" s="154" t="s">
        <v>7148</v>
      </c>
      <c r="F9" s="154" t="s">
        <v>7149</v>
      </c>
      <c r="G9" s="154" t="s">
        <v>7150</v>
      </c>
      <c r="H9" s="154" t="s">
        <v>7151</v>
      </c>
      <c r="I9" s="154" t="s">
        <v>7123</v>
      </c>
    </row>
    <row r="10" customFormat="false" ht="76" hidden="false" customHeight="true" outlineLevel="0" collapsed="false">
      <c r="A10" s="154" t="s">
        <v>6540</v>
      </c>
      <c r="B10" s="154" t="s">
        <v>7152</v>
      </c>
      <c r="C10" s="154" t="s">
        <v>4743</v>
      </c>
      <c r="D10" s="154" t="s">
        <v>7121</v>
      </c>
      <c r="E10" s="154" t="s">
        <v>7153</v>
      </c>
      <c r="F10" s="154" t="s">
        <v>7154</v>
      </c>
      <c r="G10" s="154" t="s">
        <v>7155</v>
      </c>
      <c r="H10" s="154" t="s">
        <v>7156</v>
      </c>
      <c r="I10" s="154" t="s">
        <v>7123</v>
      </c>
    </row>
    <row r="11" customFormat="false" ht="84" hidden="false" customHeight="true" outlineLevel="0" collapsed="false">
      <c r="A11" s="154" t="s">
        <v>6540</v>
      </c>
      <c r="B11" s="154" t="s">
        <v>7152</v>
      </c>
      <c r="C11" s="154" t="s">
        <v>4743</v>
      </c>
      <c r="D11" s="154" t="s">
        <v>7121</v>
      </c>
      <c r="E11" s="154" t="s">
        <v>7157</v>
      </c>
      <c r="F11" s="154" t="s">
        <v>7158</v>
      </c>
      <c r="G11" s="154" t="s">
        <v>7159</v>
      </c>
      <c r="H11" s="154" t="s">
        <v>7160</v>
      </c>
      <c r="I11" s="154" t="s">
        <v>7123</v>
      </c>
    </row>
    <row r="12" customFormat="false" ht="168" hidden="false" customHeight="true" outlineLevel="0" collapsed="false">
      <c r="A12" s="154" t="s">
        <v>6540</v>
      </c>
      <c r="B12" s="154" t="s">
        <v>7152</v>
      </c>
      <c r="C12" s="154" t="s">
        <v>4743</v>
      </c>
      <c r="D12" s="154" t="s">
        <v>7121</v>
      </c>
      <c r="E12" s="154" t="s">
        <v>7161</v>
      </c>
      <c r="F12" s="154" t="s">
        <v>7162</v>
      </c>
      <c r="G12" s="154" t="s">
        <v>7163</v>
      </c>
      <c r="H12" s="154" t="s">
        <v>7164</v>
      </c>
      <c r="I12" s="154" t="s">
        <v>7123</v>
      </c>
    </row>
    <row r="13" customFormat="false" ht="112" hidden="false" customHeight="true" outlineLevel="0" collapsed="false">
      <c r="A13" s="154" t="s">
        <v>6540</v>
      </c>
      <c r="B13" s="154" t="s">
        <v>7152</v>
      </c>
      <c r="C13" s="154" t="s">
        <v>4743</v>
      </c>
      <c r="D13" s="154" t="s">
        <v>7121</v>
      </c>
      <c r="E13" s="154" t="s">
        <v>7165</v>
      </c>
      <c r="F13" s="154" t="s">
        <v>7166</v>
      </c>
      <c r="G13" s="154" t="s">
        <v>7167</v>
      </c>
      <c r="H13" s="154" t="s">
        <v>7168</v>
      </c>
      <c r="I13" s="154" t="s">
        <v>7123</v>
      </c>
    </row>
    <row r="14" customFormat="false" ht="154" hidden="false" customHeight="true" outlineLevel="0" collapsed="false">
      <c r="A14" s="154" t="s">
        <v>6540</v>
      </c>
      <c r="B14" s="154" t="s">
        <v>7152</v>
      </c>
      <c r="C14" s="154" t="s">
        <v>4743</v>
      </c>
      <c r="D14" s="154" t="s">
        <v>7121</v>
      </c>
      <c r="E14" s="154" t="s">
        <v>7169</v>
      </c>
      <c r="F14" s="154" t="s">
        <v>7170</v>
      </c>
      <c r="G14" s="154" t="s">
        <v>7171</v>
      </c>
      <c r="H14" s="154" t="s">
        <v>7172</v>
      </c>
      <c r="I14" s="154" t="s">
        <v>7123</v>
      </c>
    </row>
    <row r="15" customFormat="false" ht="76" hidden="false" customHeight="true" outlineLevel="0" collapsed="false">
      <c r="A15" s="154" t="s">
        <v>6540</v>
      </c>
      <c r="B15" s="154" t="s">
        <v>7152</v>
      </c>
      <c r="C15" s="154" t="s">
        <v>4743</v>
      </c>
      <c r="D15" s="154" t="s">
        <v>7121</v>
      </c>
      <c r="E15" s="154" t="s">
        <v>7173</v>
      </c>
      <c r="F15" s="154" t="s">
        <v>7174</v>
      </c>
      <c r="G15" s="154" t="s">
        <v>7175</v>
      </c>
      <c r="H15" s="154" t="s">
        <v>7176</v>
      </c>
      <c r="I15" s="154" t="s">
        <v>7123</v>
      </c>
    </row>
    <row r="16" customFormat="false" ht="76" hidden="false" customHeight="true" outlineLevel="0" collapsed="false">
      <c r="A16" s="154" t="s">
        <v>6540</v>
      </c>
      <c r="B16" s="154" t="s">
        <v>7152</v>
      </c>
      <c r="C16" s="154" t="s">
        <v>4743</v>
      </c>
      <c r="D16" s="154" t="s">
        <v>7121</v>
      </c>
      <c r="E16" s="154" t="s">
        <v>7177</v>
      </c>
      <c r="F16" s="154" t="s">
        <v>7178</v>
      </c>
      <c r="G16" s="154" t="s">
        <v>7179</v>
      </c>
      <c r="H16" s="154" t="s">
        <v>7180</v>
      </c>
      <c r="I16" s="154" t="s">
        <v>7123</v>
      </c>
    </row>
    <row r="17" customFormat="false" ht="76" hidden="false" customHeight="true" outlineLevel="0" collapsed="false">
      <c r="A17" s="154" t="s">
        <v>6540</v>
      </c>
      <c r="B17" s="154" t="s">
        <v>7152</v>
      </c>
      <c r="C17" s="154" t="s">
        <v>4743</v>
      </c>
      <c r="D17" s="154" t="s">
        <v>7121</v>
      </c>
      <c r="E17" s="154" t="s">
        <v>7181</v>
      </c>
      <c r="F17" s="154" t="s">
        <v>7182</v>
      </c>
      <c r="G17" s="154" t="s">
        <v>7183</v>
      </c>
      <c r="H17" s="154" t="s">
        <v>7184</v>
      </c>
      <c r="I17" s="154" t="s">
        <v>7123</v>
      </c>
    </row>
    <row r="18" customFormat="false" ht="154" hidden="false" customHeight="true" outlineLevel="0" collapsed="false">
      <c r="A18" s="154" t="s">
        <v>6540</v>
      </c>
      <c r="B18" s="154" t="s">
        <v>7185</v>
      </c>
      <c r="C18" s="154" t="s">
        <v>4743</v>
      </c>
      <c r="D18" s="154" t="s">
        <v>7121</v>
      </c>
      <c r="E18" s="154" t="s">
        <v>7186</v>
      </c>
      <c r="F18" s="154" t="s">
        <v>7187</v>
      </c>
      <c r="G18" s="154" t="s">
        <v>7188</v>
      </c>
      <c r="H18" s="154" t="s">
        <v>7189</v>
      </c>
      <c r="I18" s="154" t="s">
        <v>7123</v>
      </c>
    </row>
    <row r="19" customFormat="false" ht="196" hidden="false" customHeight="true" outlineLevel="0" collapsed="false">
      <c r="A19" s="154" t="s">
        <v>6565</v>
      </c>
      <c r="B19" s="154" t="s">
        <v>7120</v>
      </c>
      <c r="C19" s="154" t="s">
        <v>4743</v>
      </c>
      <c r="D19" s="154" t="s">
        <v>7121</v>
      </c>
      <c r="E19" s="154" t="s">
        <v>7190</v>
      </c>
      <c r="F19" s="154" t="s">
        <v>6570</v>
      </c>
      <c r="G19" s="154" t="s">
        <v>6566</v>
      </c>
      <c r="H19" s="154" t="s">
        <v>6582</v>
      </c>
      <c r="I19" s="154" t="s">
        <v>7123</v>
      </c>
    </row>
    <row r="20" customFormat="false" ht="238" hidden="false" customHeight="true" outlineLevel="0" collapsed="false">
      <c r="A20" s="154" t="s">
        <v>6565</v>
      </c>
      <c r="B20" s="154" t="s">
        <v>7124</v>
      </c>
      <c r="C20" s="154" t="s">
        <v>4743</v>
      </c>
      <c r="D20" s="154" t="s">
        <v>7121</v>
      </c>
      <c r="E20" s="154" t="s">
        <v>7191</v>
      </c>
      <c r="F20" s="154" t="s">
        <v>6581</v>
      </c>
      <c r="G20" s="154" t="s">
        <v>6576</v>
      </c>
      <c r="H20" s="154" t="s">
        <v>7192</v>
      </c>
      <c r="I20" s="154" t="s">
        <v>7123</v>
      </c>
    </row>
    <row r="21" customFormat="false" ht="76" hidden="false" customHeight="true" outlineLevel="0" collapsed="false">
      <c r="A21" s="154" t="s">
        <v>6565</v>
      </c>
      <c r="B21" s="154" t="s">
        <v>7152</v>
      </c>
      <c r="C21" s="154" t="s">
        <v>4743</v>
      </c>
      <c r="D21" s="154" t="s">
        <v>7121</v>
      </c>
      <c r="E21" s="154" t="s">
        <v>7193</v>
      </c>
      <c r="F21" s="154" t="s">
        <v>7194</v>
      </c>
      <c r="G21" s="154" t="s">
        <v>7195</v>
      </c>
      <c r="H21" s="154" t="s">
        <v>7196</v>
      </c>
      <c r="I21" s="154" t="s">
        <v>7123</v>
      </c>
    </row>
    <row r="22" customFormat="false" ht="98" hidden="false" customHeight="true" outlineLevel="0" collapsed="false">
      <c r="A22" s="154" t="s">
        <v>6565</v>
      </c>
      <c r="B22" s="154" t="s">
        <v>7152</v>
      </c>
      <c r="C22" s="154" t="s">
        <v>4743</v>
      </c>
      <c r="D22" s="154" t="s">
        <v>7121</v>
      </c>
      <c r="E22" s="154" t="s">
        <v>7197</v>
      </c>
      <c r="F22" s="154" t="s">
        <v>7198</v>
      </c>
      <c r="G22" s="154" t="s">
        <v>7199</v>
      </c>
      <c r="H22" s="154" t="s">
        <v>7200</v>
      </c>
      <c r="I22" s="154" t="s">
        <v>7123</v>
      </c>
    </row>
    <row r="23" customFormat="false" ht="98" hidden="false" customHeight="true" outlineLevel="0" collapsed="false">
      <c r="A23" s="154" t="s">
        <v>6565</v>
      </c>
      <c r="B23" s="154" t="s">
        <v>7152</v>
      </c>
      <c r="C23" s="154" t="s">
        <v>4743</v>
      </c>
      <c r="D23" s="154" t="s">
        <v>7121</v>
      </c>
      <c r="E23" s="154" t="s">
        <v>7201</v>
      </c>
      <c r="F23" s="154" t="s">
        <v>7202</v>
      </c>
      <c r="G23" s="154" t="s">
        <v>7203</v>
      </c>
      <c r="H23" s="154" t="s">
        <v>7204</v>
      </c>
      <c r="I23" s="154" t="s">
        <v>7123</v>
      </c>
    </row>
    <row r="24" customFormat="false" ht="154" hidden="false" customHeight="true" outlineLevel="0" collapsed="false">
      <c r="A24" s="154" t="s">
        <v>6565</v>
      </c>
      <c r="B24" s="154" t="s">
        <v>7152</v>
      </c>
      <c r="C24" s="154" t="s">
        <v>4743</v>
      </c>
      <c r="D24" s="154" t="s">
        <v>7121</v>
      </c>
      <c r="E24" s="154" t="s">
        <v>7205</v>
      </c>
      <c r="F24" s="154" t="s">
        <v>7206</v>
      </c>
      <c r="G24" s="154" t="s">
        <v>7207</v>
      </c>
      <c r="H24" s="154" t="s">
        <v>7208</v>
      </c>
      <c r="I24" s="154" t="s">
        <v>7123</v>
      </c>
    </row>
    <row r="25" customFormat="false" ht="112" hidden="false" customHeight="true" outlineLevel="0" collapsed="false">
      <c r="A25" s="154" t="s">
        <v>6565</v>
      </c>
      <c r="B25" s="154" t="s">
        <v>7152</v>
      </c>
      <c r="C25" s="154" t="s">
        <v>4743</v>
      </c>
      <c r="D25" s="154" t="s">
        <v>7121</v>
      </c>
      <c r="E25" s="154" t="s">
        <v>7209</v>
      </c>
      <c r="F25" s="154" t="s">
        <v>7210</v>
      </c>
      <c r="G25" s="154" t="s">
        <v>7211</v>
      </c>
      <c r="H25" s="154" t="s">
        <v>7212</v>
      </c>
      <c r="I25" s="154" t="s">
        <v>7123</v>
      </c>
    </row>
    <row r="26" customFormat="false" ht="76" hidden="false" customHeight="true" outlineLevel="0" collapsed="false">
      <c r="A26" s="154" t="s">
        <v>6565</v>
      </c>
      <c r="B26" s="154" t="s">
        <v>7152</v>
      </c>
      <c r="C26" s="154" t="s">
        <v>4743</v>
      </c>
      <c r="D26" s="154" t="s">
        <v>7121</v>
      </c>
      <c r="E26" s="154" t="s">
        <v>7213</v>
      </c>
      <c r="F26" s="154" t="s">
        <v>7214</v>
      </c>
      <c r="G26" s="154" t="s">
        <v>7215</v>
      </c>
      <c r="H26" s="154" t="s">
        <v>7216</v>
      </c>
      <c r="I26" s="154" t="s">
        <v>7123</v>
      </c>
    </row>
    <row r="27" customFormat="false" ht="76" hidden="false" customHeight="true" outlineLevel="0" collapsed="false">
      <c r="A27" s="154" t="s">
        <v>6565</v>
      </c>
      <c r="B27" s="154" t="s">
        <v>7152</v>
      </c>
      <c r="C27" s="154" t="s">
        <v>4743</v>
      </c>
      <c r="D27" s="154" t="s">
        <v>7121</v>
      </c>
      <c r="E27" s="154" t="s">
        <v>7217</v>
      </c>
      <c r="F27" s="154" t="s">
        <v>7218</v>
      </c>
      <c r="G27" s="154" t="s">
        <v>7219</v>
      </c>
      <c r="H27" s="154" t="s">
        <v>7220</v>
      </c>
      <c r="I27" s="154" t="s">
        <v>7123</v>
      </c>
    </row>
    <row r="28" customFormat="false" ht="154" hidden="false" customHeight="true" outlineLevel="0" collapsed="false">
      <c r="A28" s="154" t="s">
        <v>6565</v>
      </c>
      <c r="B28" s="154" t="s">
        <v>7185</v>
      </c>
      <c r="C28" s="154" t="s">
        <v>4743</v>
      </c>
      <c r="D28" s="154" t="s">
        <v>7121</v>
      </c>
      <c r="E28" s="154" t="s">
        <v>7221</v>
      </c>
      <c r="F28" s="154" t="s">
        <v>7222</v>
      </c>
      <c r="G28" s="154" t="s">
        <v>7223</v>
      </c>
      <c r="H28" s="154" t="s">
        <v>7224</v>
      </c>
      <c r="I28" s="154" t="s">
        <v>7123</v>
      </c>
    </row>
    <row r="29" customFormat="false" ht="196" hidden="false" customHeight="true" outlineLevel="0" collapsed="false">
      <c r="A29" s="154" t="s">
        <v>6585</v>
      </c>
      <c r="B29" s="154" t="s">
        <v>7120</v>
      </c>
      <c r="C29" s="154" t="s">
        <v>4743</v>
      </c>
      <c r="D29" s="154" t="s">
        <v>7121</v>
      </c>
      <c r="E29" s="154" t="s">
        <v>7225</v>
      </c>
      <c r="F29" s="154" t="s">
        <v>6590</v>
      </c>
      <c r="G29" s="154" t="s">
        <v>6586</v>
      </c>
      <c r="H29" s="154" t="s">
        <v>6602</v>
      </c>
      <c r="I29" s="154" t="s">
        <v>7123</v>
      </c>
    </row>
    <row r="30" customFormat="false" ht="210" hidden="false" customHeight="true" outlineLevel="0" collapsed="false">
      <c r="A30" s="154" t="s">
        <v>6585</v>
      </c>
      <c r="B30" s="154" t="s">
        <v>7124</v>
      </c>
      <c r="C30" s="154" t="s">
        <v>4743</v>
      </c>
      <c r="D30" s="154" t="s">
        <v>7121</v>
      </c>
      <c r="E30" s="154" t="s">
        <v>7226</v>
      </c>
      <c r="F30" s="154" t="s">
        <v>6601</v>
      </c>
      <c r="G30" s="154" t="s">
        <v>6596</v>
      </c>
      <c r="H30" s="154" t="s">
        <v>7227</v>
      </c>
      <c r="I30" s="154" t="s">
        <v>7123</v>
      </c>
    </row>
    <row r="31" customFormat="false" ht="76" hidden="false" customHeight="true" outlineLevel="0" collapsed="false">
      <c r="A31" s="154" t="s">
        <v>6585</v>
      </c>
      <c r="B31" s="154" t="s">
        <v>7152</v>
      </c>
      <c r="C31" s="154" t="s">
        <v>4743</v>
      </c>
      <c r="D31" s="154" t="s">
        <v>7121</v>
      </c>
      <c r="E31" s="154" t="s">
        <v>7228</v>
      </c>
      <c r="F31" s="154" t="s">
        <v>7229</v>
      </c>
      <c r="G31" s="154" t="s">
        <v>7230</v>
      </c>
      <c r="H31" s="154" t="s">
        <v>7231</v>
      </c>
      <c r="I31" s="154" t="s">
        <v>7123</v>
      </c>
    </row>
    <row r="32" customFormat="false" ht="98" hidden="false" customHeight="true" outlineLevel="0" collapsed="false">
      <c r="A32" s="154" t="s">
        <v>6585</v>
      </c>
      <c r="B32" s="154" t="s">
        <v>7152</v>
      </c>
      <c r="C32" s="154" t="s">
        <v>4743</v>
      </c>
      <c r="D32" s="154" t="s">
        <v>7121</v>
      </c>
      <c r="E32" s="154" t="s">
        <v>7232</v>
      </c>
      <c r="F32" s="154" t="s">
        <v>7233</v>
      </c>
      <c r="G32" s="154" t="s">
        <v>7234</v>
      </c>
      <c r="H32" s="154" t="s">
        <v>7235</v>
      </c>
      <c r="I32" s="154" t="s">
        <v>7123</v>
      </c>
    </row>
    <row r="33" customFormat="false" ht="98" hidden="false" customHeight="true" outlineLevel="0" collapsed="false">
      <c r="A33" s="154" t="s">
        <v>6585</v>
      </c>
      <c r="B33" s="154" t="s">
        <v>7152</v>
      </c>
      <c r="C33" s="154" t="s">
        <v>4743</v>
      </c>
      <c r="D33" s="154" t="s">
        <v>7121</v>
      </c>
      <c r="E33" s="154" t="s">
        <v>7236</v>
      </c>
      <c r="F33" s="154" t="s">
        <v>7237</v>
      </c>
      <c r="G33" s="154" t="s">
        <v>7238</v>
      </c>
      <c r="H33" s="154" t="s">
        <v>7239</v>
      </c>
      <c r="I33" s="154" t="s">
        <v>7123</v>
      </c>
    </row>
    <row r="34" customFormat="false" ht="252" hidden="false" customHeight="true" outlineLevel="0" collapsed="false">
      <c r="A34" s="154" t="s">
        <v>6585</v>
      </c>
      <c r="B34" s="154" t="s">
        <v>7152</v>
      </c>
      <c r="C34" s="154" t="s">
        <v>4743</v>
      </c>
      <c r="D34" s="154" t="s">
        <v>7121</v>
      </c>
      <c r="E34" s="154" t="s">
        <v>7240</v>
      </c>
      <c r="F34" s="154" t="s">
        <v>7241</v>
      </c>
      <c r="G34" s="154" t="s">
        <v>7242</v>
      </c>
      <c r="H34" s="154" t="s">
        <v>7243</v>
      </c>
      <c r="I34" s="154" t="s">
        <v>7123</v>
      </c>
    </row>
    <row r="35" customFormat="false" ht="154" hidden="false" customHeight="true" outlineLevel="0" collapsed="false">
      <c r="A35" s="154" t="s">
        <v>6585</v>
      </c>
      <c r="B35" s="154" t="s">
        <v>7152</v>
      </c>
      <c r="C35" s="154" t="s">
        <v>4743</v>
      </c>
      <c r="D35" s="154" t="s">
        <v>7121</v>
      </c>
      <c r="E35" s="154" t="s">
        <v>7244</v>
      </c>
      <c r="F35" s="154" t="s">
        <v>7245</v>
      </c>
      <c r="G35" s="154" t="s">
        <v>7246</v>
      </c>
      <c r="H35" s="154" t="s">
        <v>7247</v>
      </c>
      <c r="I35" s="154" t="s">
        <v>7123</v>
      </c>
    </row>
    <row r="36" customFormat="false" ht="84" hidden="false" customHeight="true" outlineLevel="0" collapsed="false">
      <c r="A36" s="154" t="s">
        <v>6585</v>
      </c>
      <c r="B36" s="154" t="s">
        <v>7152</v>
      </c>
      <c r="C36" s="154" t="s">
        <v>4743</v>
      </c>
      <c r="D36" s="154" t="s">
        <v>7121</v>
      </c>
      <c r="E36" s="154" t="s">
        <v>7248</v>
      </c>
      <c r="F36" s="154" t="s">
        <v>7249</v>
      </c>
      <c r="G36" s="154" t="s">
        <v>7250</v>
      </c>
      <c r="H36" s="154" t="s">
        <v>7251</v>
      </c>
      <c r="I36" s="154" t="s">
        <v>7123</v>
      </c>
    </row>
    <row r="37" customFormat="false" ht="76" hidden="false" customHeight="true" outlineLevel="0" collapsed="false">
      <c r="A37" s="154" t="s">
        <v>6585</v>
      </c>
      <c r="B37" s="154" t="s">
        <v>7152</v>
      </c>
      <c r="C37" s="154" t="s">
        <v>4743</v>
      </c>
      <c r="D37" s="154" t="s">
        <v>7121</v>
      </c>
      <c r="E37" s="154" t="s">
        <v>7252</v>
      </c>
      <c r="F37" s="154" t="s">
        <v>7253</v>
      </c>
      <c r="G37" s="154" t="s">
        <v>7254</v>
      </c>
      <c r="H37" s="154" t="s">
        <v>7255</v>
      </c>
      <c r="I37" s="154" t="s">
        <v>7123</v>
      </c>
    </row>
    <row r="38" customFormat="false" ht="154" hidden="false" customHeight="true" outlineLevel="0" collapsed="false">
      <c r="A38" s="154" t="s">
        <v>6585</v>
      </c>
      <c r="B38" s="154" t="s">
        <v>7185</v>
      </c>
      <c r="C38" s="154" t="s">
        <v>4743</v>
      </c>
      <c r="D38" s="154" t="s">
        <v>7121</v>
      </c>
      <c r="E38" s="154" t="s">
        <v>7256</v>
      </c>
      <c r="F38" s="154" t="s">
        <v>7257</v>
      </c>
      <c r="G38" s="154" t="s">
        <v>7258</v>
      </c>
      <c r="H38" s="154" t="s">
        <v>7259</v>
      </c>
      <c r="I38" s="154" t="s">
        <v>7123</v>
      </c>
    </row>
    <row r="39" customFormat="false" ht="196" hidden="false" customHeight="true" outlineLevel="0" collapsed="false">
      <c r="A39" s="154" t="s">
        <v>6605</v>
      </c>
      <c r="B39" s="154" t="s">
        <v>7120</v>
      </c>
      <c r="C39" s="154" t="s">
        <v>4743</v>
      </c>
      <c r="D39" s="154" t="s">
        <v>7121</v>
      </c>
      <c r="E39" s="154" t="s">
        <v>7260</v>
      </c>
      <c r="F39" s="154" t="s">
        <v>6610</v>
      </c>
      <c r="G39" s="154" t="s">
        <v>6606</v>
      </c>
      <c r="H39" s="154" t="s">
        <v>6620</v>
      </c>
      <c r="I39" s="154" t="s">
        <v>7123</v>
      </c>
    </row>
    <row r="40" customFormat="false" ht="210" hidden="false" customHeight="true" outlineLevel="0" collapsed="false">
      <c r="A40" s="154" t="s">
        <v>6605</v>
      </c>
      <c r="B40" s="154" t="s">
        <v>7124</v>
      </c>
      <c r="C40" s="154" t="s">
        <v>4743</v>
      </c>
      <c r="D40" s="154" t="s">
        <v>7121</v>
      </c>
      <c r="E40" s="154" t="s">
        <v>7261</v>
      </c>
      <c r="F40" s="154" t="s">
        <v>6619</v>
      </c>
      <c r="G40" s="154" t="s">
        <v>6615</v>
      </c>
      <c r="H40" s="154" t="s">
        <v>7262</v>
      </c>
      <c r="I40" s="154" t="s">
        <v>7123</v>
      </c>
    </row>
    <row r="41" customFormat="false" ht="76" hidden="false" customHeight="true" outlineLevel="0" collapsed="false">
      <c r="A41" s="154" t="s">
        <v>6605</v>
      </c>
      <c r="B41" s="154" t="s">
        <v>7152</v>
      </c>
      <c r="C41" s="154" t="s">
        <v>4743</v>
      </c>
      <c r="D41" s="154" t="s">
        <v>7121</v>
      </c>
      <c r="E41" s="154" t="s">
        <v>7263</v>
      </c>
      <c r="F41" s="154" t="s">
        <v>7264</v>
      </c>
      <c r="G41" s="154" t="s">
        <v>7265</v>
      </c>
      <c r="H41" s="154" t="s">
        <v>7266</v>
      </c>
      <c r="I41" s="154" t="s">
        <v>7123</v>
      </c>
    </row>
    <row r="42" customFormat="false" ht="76" hidden="false" customHeight="true" outlineLevel="0" collapsed="false">
      <c r="A42" s="154" t="s">
        <v>6605</v>
      </c>
      <c r="B42" s="154" t="s">
        <v>7152</v>
      </c>
      <c r="C42" s="154" t="s">
        <v>4743</v>
      </c>
      <c r="D42" s="154" t="s">
        <v>7121</v>
      </c>
      <c r="E42" s="154" t="s">
        <v>7267</v>
      </c>
      <c r="F42" s="154" t="s">
        <v>7268</v>
      </c>
      <c r="G42" s="154" t="s">
        <v>7269</v>
      </c>
      <c r="H42" s="154" t="s">
        <v>7270</v>
      </c>
      <c r="I42" s="154" t="s">
        <v>7123</v>
      </c>
    </row>
    <row r="43" customFormat="false" ht="112" hidden="false" customHeight="true" outlineLevel="0" collapsed="false">
      <c r="A43" s="154" t="s">
        <v>6605</v>
      </c>
      <c r="B43" s="154" t="s">
        <v>7152</v>
      </c>
      <c r="C43" s="154" t="s">
        <v>4743</v>
      </c>
      <c r="D43" s="154" t="s">
        <v>7121</v>
      </c>
      <c r="E43" s="154" t="s">
        <v>7271</v>
      </c>
      <c r="F43" s="154" t="s">
        <v>7272</v>
      </c>
      <c r="G43" s="154" t="s">
        <v>7273</v>
      </c>
      <c r="H43" s="154" t="s">
        <v>7274</v>
      </c>
      <c r="I43" s="154" t="s">
        <v>7123</v>
      </c>
    </row>
    <row r="44" customFormat="false" ht="76" hidden="false" customHeight="true" outlineLevel="0" collapsed="false">
      <c r="A44" s="154" t="s">
        <v>6605</v>
      </c>
      <c r="B44" s="154" t="s">
        <v>7152</v>
      </c>
      <c r="C44" s="154" t="s">
        <v>4743</v>
      </c>
      <c r="D44" s="154" t="s">
        <v>7121</v>
      </c>
      <c r="E44" s="154" t="s">
        <v>4744</v>
      </c>
      <c r="F44" s="154" t="s">
        <v>7275</v>
      </c>
      <c r="G44" s="154" t="s">
        <v>7276</v>
      </c>
      <c r="H44" s="154" t="s">
        <v>7143</v>
      </c>
      <c r="I44" s="154" t="s">
        <v>7123</v>
      </c>
    </row>
    <row r="45" customFormat="false" ht="266" hidden="false" customHeight="true" outlineLevel="0" collapsed="false">
      <c r="A45" s="154" t="s">
        <v>6605</v>
      </c>
      <c r="B45" s="154" t="s">
        <v>7152</v>
      </c>
      <c r="C45" s="154" t="s">
        <v>4743</v>
      </c>
      <c r="D45" s="154" t="s">
        <v>7121</v>
      </c>
      <c r="E45" s="154" t="s">
        <v>7277</v>
      </c>
      <c r="F45" s="154" t="s">
        <v>7278</v>
      </c>
      <c r="G45" s="154" t="s">
        <v>7279</v>
      </c>
      <c r="H45" s="154" t="s">
        <v>7280</v>
      </c>
      <c r="I45" s="154" t="s">
        <v>7123</v>
      </c>
    </row>
    <row r="46" customFormat="false" ht="98" hidden="false" customHeight="true" outlineLevel="0" collapsed="false">
      <c r="A46" s="154" t="s">
        <v>6605</v>
      </c>
      <c r="B46" s="154" t="s">
        <v>7152</v>
      </c>
      <c r="C46" s="154" t="s">
        <v>4743</v>
      </c>
      <c r="D46" s="154" t="s">
        <v>7121</v>
      </c>
      <c r="E46" s="154" t="s">
        <v>7281</v>
      </c>
      <c r="F46" s="154" t="s">
        <v>7282</v>
      </c>
      <c r="G46" s="154" t="s">
        <v>7283</v>
      </c>
      <c r="H46" s="154" t="s">
        <v>7284</v>
      </c>
      <c r="I46" s="154" t="s">
        <v>7123</v>
      </c>
    </row>
    <row r="47" customFormat="false" ht="76" hidden="false" customHeight="true" outlineLevel="0" collapsed="false">
      <c r="A47" s="154" t="s">
        <v>6605</v>
      </c>
      <c r="B47" s="154" t="s">
        <v>7152</v>
      </c>
      <c r="C47" s="154" t="s">
        <v>4743</v>
      </c>
      <c r="D47" s="154" t="s">
        <v>7121</v>
      </c>
      <c r="E47" s="154" t="s">
        <v>7285</v>
      </c>
      <c r="F47" s="154" t="s">
        <v>7286</v>
      </c>
      <c r="G47" s="154" t="s">
        <v>7287</v>
      </c>
      <c r="H47" s="154" t="s">
        <v>7288</v>
      </c>
      <c r="I47" s="154" t="s">
        <v>7123</v>
      </c>
    </row>
    <row r="48" customFormat="false" ht="76" hidden="false" customHeight="true" outlineLevel="0" collapsed="false">
      <c r="A48" s="154" t="s">
        <v>6605</v>
      </c>
      <c r="B48" s="154" t="s">
        <v>7152</v>
      </c>
      <c r="C48" s="154" t="s">
        <v>4743</v>
      </c>
      <c r="D48" s="154" t="s">
        <v>7121</v>
      </c>
      <c r="E48" s="154" t="s">
        <v>7289</v>
      </c>
      <c r="F48" s="154" t="s">
        <v>7290</v>
      </c>
      <c r="G48" s="154" t="s">
        <v>7291</v>
      </c>
      <c r="H48" s="154" t="s">
        <v>7292</v>
      </c>
      <c r="I48" s="154" t="s">
        <v>7123</v>
      </c>
    </row>
    <row r="49" customFormat="false" ht="168" hidden="false" customHeight="true" outlineLevel="0" collapsed="false">
      <c r="A49" s="154" t="s">
        <v>6605</v>
      </c>
      <c r="B49" s="154" t="s">
        <v>7185</v>
      </c>
      <c r="C49" s="154" t="s">
        <v>4743</v>
      </c>
      <c r="D49" s="154" t="s">
        <v>7121</v>
      </c>
      <c r="E49" s="154" t="s">
        <v>7293</v>
      </c>
      <c r="F49" s="154" t="s">
        <v>7294</v>
      </c>
      <c r="G49" s="154" t="s">
        <v>7295</v>
      </c>
      <c r="H49" s="154" t="s">
        <v>7296</v>
      </c>
      <c r="I49" s="154" t="s">
        <v>7123</v>
      </c>
    </row>
    <row r="50" customFormat="false" ht="210" hidden="false" customHeight="true" outlineLevel="0" collapsed="false">
      <c r="A50" s="154" t="s">
        <v>6623</v>
      </c>
      <c r="B50" s="154" t="s">
        <v>7120</v>
      </c>
      <c r="C50" s="154" t="s">
        <v>4743</v>
      </c>
      <c r="D50" s="154" t="s">
        <v>7121</v>
      </c>
      <c r="E50" s="154" t="s">
        <v>7297</v>
      </c>
      <c r="F50" s="154" t="s">
        <v>6628</v>
      </c>
      <c r="G50" s="154" t="s">
        <v>6624</v>
      </c>
      <c r="H50" s="154" t="s">
        <v>6638</v>
      </c>
      <c r="I50" s="154" t="s">
        <v>7123</v>
      </c>
    </row>
    <row r="51" customFormat="false" ht="294" hidden="false" customHeight="true" outlineLevel="0" collapsed="false">
      <c r="A51" s="154" t="s">
        <v>6623</v>
      </c>
      <c r="B51" s="154" t="s">
        <v>7124</v>
      </c>
      <c r="C51" s="154" t="s">
        <v>4743</v>
      </c>
      <c r="D51" s="154" t="s">
        <v>7121</v>
      </c>
      <c r="E51" s="154" t="s">
        <v>7298</v>
      </c>
      <c r="F51" s="154" t="s">
        <v>6637</v>
      </c>
      <c r="G51" s="154" t="s">
        <v>6633</v>
      </c>
      <c r="H51" s="154" t="s">
        <v>7299</v>
      </c>
      <c r="I51" s="154" t="s">
        <v>7123</v>
      </c>
    </row>
    <row r="52" customFormat="false" ht="76" hidden="false" customHeight="true" outlineLevel="0" collapsed="false">
      <c r="A52" s="154" t="s">
        <v>6623</v>
      </c>
      <c r="B52" s="154" t="s">
        <v>7152</v>
      </c>
      <c r="C52" s="154" t="s">
        <v>4743</v>
      </c>
      <c r="D52" s="154" t="s">
        <v>7121</v>
      </c>
      <c r="E52" s="154" t="s">
        <v>7300</v>
      </c>
      <c r="F52" s="154" t="s">
        <v>7301</v>
      </c>
      <c r="G52" s="154" t="s">
        <v>7302</v>
      </c>
      <c r="H52" s="154" t="s">
        <v>7303</v>
      </c>
      <c r="I52" s="154" t="s">
        <v>7123</v>
      </c>
    </row>
    <row r="53" customFormat="false" ht="98" hidden="false" customHeight="true" outlineLevel="0" collapsed="false">
      <c r="A53" s="154" t="s">
        <v>6623</v>
      </c>
      <c r="B53" s="154" t="s">
        <v>7152</v>
      </c>
      <c r="C53" s="154" t="s">
        <v>4743</v>
      </c>
      <c r="D53" s="154" t="s">
        <v>7121</v>
      </c>
      <c r="E53" s="154" t="s">
        <v>7304</v>
      </c>
      <c r="F53" s="154" t="s">
        <v>7305</v>
      </c>
      <c r="G53" s="154" t="s">
        <v>7306</v>
      </c>
      <c r="H53" s="154" t="s">
        <v>7307</v>
      </c>
      <c r="I53" s="154" t="s">
        <v>7123</v>
      </c>
    </row>
    <row r="54" customFormat="false" ht="126" hidden="false" customHeight="true" outlineLevel="0" collapsed="false">
      <c r="A54" s="154" t="s">
        <v>6623</v>
      </c>
      <c r="B54" s="154" t="s">
        <v>7152</v>
      </c>
      <c r="C54" s="154" t="s">
        <v>4743</v>
      </c>
      <c r="D54" s="154" t="s">
        <v>7121</v>
      </c>
      <c r="E54" s="154" t="s">
        <v>7308</v>
      </c>
      <c r="F54" s="154" t="s">
        <v>7309</v>
      </c>
      <c r="G54" s="154" t="s">
        <v>7310</v>
      </c>
      <c r="H54" s="154" t="s">
        <v>7311</v>
      </c>
      <c r="I54" s="154" t="s">
        <v>7123</v>
      </c>
    </row>
    <row r="55" customFormat="false" ht="126" hidden="false" customHeight="true" outlineLevel="0" collapsed="false">
      <c r="A55" s="154" t="s">
        <v>6623</v>
      </c>
      <c r="B55" s="154" t="s">
        <v>7152</v>
      </c>
      <c r="C55" s="154" t="s">
        <v>4743</v>
      </c>
      <c r="D55" s="154" t="s">
        <v>7121</v>
      </c>
      <c r="E55" s="154" t="s">
        <v>7312</v>
      </c>
      <c r="F55" s="154" t="s">
        <v>7313</v>
      </c>
      <c r="G55" s="154" t="s">
        <v>7314</v>
      </c>
      <c r="H55" s="154" t="s">
        <v>7315</v>
      </c>
      <c r="I55" s="154" t="s">
        <v>7123</v>
      </c>
    </row>
    <row r="56" customFormat="false" ht="252" hidden="false" customHeight="true" outlineLevel="0" collapsed="false">
      <c r="A56" s="154" t="s">
        <v>6623</v>
      </c>
      <c r="B56" s="154" t="s">
        <v>7152</v>
      </c>
      <c r="C56" s="154" t="s">
        <v>4743</v>
      </c>
      <c r="D56" s="154" t="s">
        <v>7121</v>
      </c>
      <c r="E56" s="154" t="s">
        <v>7316</v>
      </c>
      <c r="F56" s="154" t="s">
        <v>7317</v>
      </c>
      <c r="G56" s="154" t="s">
        <v>7318</v>
      </c>
      <c r="H56" s="154" t="s">
        <v>7319</v>
      </c>
      <c r="I56" s="154" t="s">
        <v>7123</v>
      </c>
    </row>
    <row r="57" customFormat="false" ht="84" hidden="false" customHeight="true" outlineLevel="0" collapsed="false">
      <c r="A57" s="154" t="s">
        <v>6623</v>
      </c>
      <c r="B57" s="154" t="s">
        <v>7152</v>
      </c>
      <c r="C57" s="154" t="s">
        <v>4743</v>
      </c>
      <c r="D57" s="154" t="s">
        <v>7121</v>
      </c>
      <c r="E57" s="154" t="s">
        <v>7320</v>
      </c>
      <c r="F57" s="154" t="s">
        <v>7321</v>
      </c>
      <c r="G57" s="154" t="s">
        <v>7322</v>
      </c>
      <c r="H57" s="154" t="s">
        <v>7323</v>
      </c>
      <c r="I57" s="154" t="s">
        <v>7123</v>
      </c>
    </row>
    <row r="58" customFormat="false" ht="76" hidden="false" customHeight="true" outlineLevel="0" collapsed="false">
      <c r="A58" s="154" t="s">
        <v>6623</v>
      </c>
      <c r="B58" s="154" t="s">
        <v>7152</v>
      </c>
      <c r="C58" s="154" t="s">
        <v>4743</v>
      </c>
      <c r="D58" s="154" t="s">
        <v>7121</v>
      </c>
      <c r="E58" s="154" t="s">
        <v>7324</v>
      </c>
      <c r="F58" s="154" t="s">
        <v>7325</v>
      </c>
      <c r="G58" s="154" t="s">
        <v>7326</v>
      </c>
      <c r="H58" s="154" t="s">
        <v>7327</v>
      </c>
      <c r="I58" s="154" t="s">
        <v>7123</v>
      </c>
    </row>
    <row r="59" customFormat="false" ht="154" hidden="false" customHeight="true" outlineLevel="0" collapsed="false">
      <c r="A59" s="154" t="s">
        <v>6623</v>
      </c>
      <c r="B59" s="154" t="s">
        <v>7185</v>
      </c>
      <c r="C59" s="154" t="s">
        <v>4743</v>
      </c>
      <c r="D59" s="154" t="s">
        <v>7121</v>
      </c>
      <c r="E59" s="154" t="s">
        <v>7328</v>
      </c>
      <c r="F59" s="154" t="s">
        <v>7329</v>
      </c>
      <c r="G59" s="154" t="s">
        <v>7330</v>
      </c>
      <c r="H59" s="154" t="s">
        <v>7331</v>
      </c>
      <c r="I59" s="154" t="s">
        <v>7123</v>
      </c>
    </row>
    <row r="60" customFormat="false" ht="196" hidden="false" customHeight="true" outlineLevel="0" collapsed="false">
      <c r="A60" s="154" t="s">
        <v>6435</v>
      </c>
      <c r="B60" s="154" t="s">
        <v>7120</v>
      </c>
      <c r="C60" s="154" t="s">
        <v>4743</v>
      </c>
      <c r="D60" s="154" t="s">
        <v>7121</v>
      </c>
      <c r="E60" s="154" t="s">
        <v>7332</v>
      </c>
      <c r="F60" s="154" t="s">
        <v>6646</v>
      </c>
      <c r="G60" s="154" t="s">
        <v>6642</v>
      </c>
      <c r="H60" s="154" t="s">
        <v>6656</v>
      </c>
      <c r="I60" s="154" t="s">
        <v>7123</v>
      </c>
    </row>
    <row r="61" customFormat="false" ht="76" hidden="false" customHeight="true" outlineLevel="0" collapsed="false">
      <c r="A61" s="154" t="s">
        <v>6435</v>
      </c>
      <c r="B61" s="154" t="s">
        <v>7124</v>
      </c>
      <c r="C61" s="154" t="s">
        <v>4743</v>
      </c>
      <c r="D61" s="154" t="s">
        <v>7121</v>
      </c>
      <c r="E61" s="154" t="s">
        <v>7333</v>
      </c>
      <c r="F61" s="154" t="s">
        <v>7334</v>
      </c>
      <c r="G61" s="154" t="s">
        <v>7335</v>
      </c>
      <c r="H61" s="154" t="s">
        <v>7336</v>
      </c>
      <c r="I61" s="154" t="s">
        <v>7123</v>
      </c>
    </row>
    <row r="62" customFormat="false" ht="76" hidden="false" customHeight="true" outlineLevel="0" collapsed="false">
      <c r="A62" s="154" t="s">
        <v>6435</v>
      </c>
      <c r="B62" s="154" t="s">
        <v>7124</v>
      </c>
      <c r="C62" s="154" t="s">
        <v>4743</v>
      </c>
      <c r="D62" s="154" t="s">
        <v>7121</v>
      </c>
      <c r="E62" s="154" t="s">
        <v>7337</v>
      </c>
      <c r="F62" s="154" t="s">
        <v>7338</v>
      </c>
      <c r="G62" s="154" t="s">
        <v>7339</v>
      </c>
      <c r="H62" s="154" t="s">
        <v>7340</v>
      </c>
      <c r="I62" s="154" t="s">
        <v>7123</v>
      </c>
    </row>
    <row r="63" customFormat="false" ht="84" hidden="false" customHeight="true" outlineLevel="0" collapsed="false">
      <c r="A63" s="154" t="s">
        <v>6435</v>
      </c>
      <c r="B63" s="154" t="s">
        <v>7124</v>
      </c>
      <c r="C63" s="154" t="s">
        <v>7341</v>
      </c>
      <c r="D63" s="154" t="s">
        <v>7342</v>
      </c>
      <c r="E63" s="154" t="s">
        <v>7343</v>
      </c>
      <c r="F63" s="154" t="s">
        <v>7344</v>
      </c>
      <c r="G63" s="154" t="s">
        <v>7345</v>
      </c>
      <c r="H63" s="154" t="s">
        <v>7346</v>
      </c>
      <c r="I63" s="154" t="s">
        <v>7123</v>
      </c>
    </row>
    <row r="64" customFormat="false" ht="84" hidden="false" customHeight="true" outlineLevel="0" collapsed="false">
      <c r="A64" s="154" t="s">
        <v>6435</v>
      </c>
      <c r="B64" s="154" t="s">
        <v>7124</v>
      </c>
      <c r="C64" s="154" t="s">
        <v>7347</v>
      </c>
      <c r="D64" s="154" t="s">
        <v>7348</v>
      </c>
      <c r="E64" s="154" t="s">
        <v>7349</v>
      </c>
      <c r="F64" s="154" t="s">
        <v>7350</v>
      </c>
      <c r="G64" s="154" t="s">
        <v>7351</v>
      </c>
      <c r="H64" s="154" t="s">
        <v>7352</v>
      </c>
      <c r="I64" s="154" t="s">
        <v>7123</v>
      </c>
    </row>
    <row r="65" customFormat="false" ht="76" hidden="false" customHeight="true" outlineLevel="0" collapsed="false">
      <c r="A65" s="154" t="s">
        <v>6435</v>
      </c>
      <c r="B65" s="154" t="s">
        <v>7124</v>
      </c>
      <c r="C65" s="154" t="s">
        <v>7353</v>
      </c>
      <c r="D65" s="154" t="s">
        <v>7354</v>
      </c>
      <c r="E65" s="154" t="s">
        <v>7355</v>
      </c>
      <c r="F65" s="154" t="s">
        <v>7356</v>
      </c>
      <c r="G65" s="154" t="s">
        <v>7357</v>
      </c>
      <c r="H65" s="154" t="s">
        <v>7358</v>
      </c>
      <c r="I65" s="154" t="s">
        <v>7123</v>
      </c>
    </row>
    <row r="66" customFormat="false" ht="76" hidden="false" customHeight="true" outlineLevel="0" collapsed="false">
      <c r="A66" s="154" t="s">
        <v>6435</v>
      </c>
      <c r="B66" s="154" t="s">
        <v>7124</v>
      </c>
      <c r="C66" s="154" t="s">
        <v>7359</v>
      </c>
      <c r="D66" s="154" t="s">
        <v>7360</v>
      </c>
      <c r="E66" s="154" t="s">
        <v>7361</v>
      </c>
      <c r="F66" s="154" t="s">
        <v>7362</v>
      </c>
      <c r="G66" s="154" t="s">
        <v>7363</v>
      </c>
      <c r="H66" s="154" t="s">
        <v>7364</v>
      </c>
      <c r="I66" s="154" t="s">
        <v>7123</v>
      </c>
    </row>
    <row r="67" customFormat="false" ht="76" hidden="false" customHeight="true" outlineLevel="0" collapsed="false">
      <c r="A67" s="154" t="s">
        <v>6435</v>
      </c>
      <c r="B67" s="154" t="s">
        <v>7124</v>
      </c>
      <c r="C67" s="154" t="s">
        <v>7365</v>
      </c>
      <c r="D67" s="154" t="s">
        <v>7366</v>
      </c>
      <c r="E67" s="154" t="s">
        <v>7367</v>
      </c>
      <c r="F67" s="154" t="s">
        <v>7368</v>
      </c>
      <c r="G67" s="154" t="s">
        <v>7369</v>
      </c>
      <c r="H67" s="154" t="s">
        <v>7370</v>
      </c>
      <c r="I67" s="154" t="s">
        <v>7123</v>
      </c>
    </row>
    <row r="68" customFormat="false" ht="112" hidden="false" customHeight="true" outlineLevel="0" collapsed="false">
      <c r="A68" s="154" t="s">
        <v>6435</v>
      </c>
      <c r="B68" s="154" t="s">
        <v>7124</v>
      </c>
      <c r="C68" s="154" t="s">
        <v>7371</v>
      </c>
      <c r="D68" s="154" t="s">
        <v>7372</v>
      </c>
      <c r="E68" s="154" t="s">
        <v>7373</v>
      </c>
      <c r="F68" s="154" t="s">
        <v>7374</v>
      </c>
      <c r="G68" s="154" t="s">
        <v>7375</v>
      </c>
      <c r="H68" s="154" t="s">
        <v>7376</v>
      </c>
      <c r="I68" s="154" t="s">
        <v>7123</v>
      </c>
    </row>
    <row r="69" customFormat="false" ht="76" hidden="false" customHeight="true" outlineLevel="0" collapsed="false">
      <c r="A69" s="154" t="s">
        <v>6435</v>
      </c>
      <c r="B69" s="154" t="s">
        <v>7124</v>
      </c>
      <c r="C69" s="154" t="s">
        <v>7377</v>
      </c>
      <c r="D69" s="154" t="s">
        <v>7378</v>
      </c>
      <c r="E69" s="154" t="s">
        <v>7379</v>
      </c>
      <c r="F69" s="154" t="s">
        <v>7380</v>
      </c>
      <c r="G69" s="154" t="s">
        <v>7381</v>
      </c>
      <c r="H69" s="154" t="s">
        <v>7382</v>
      </c>
      <c r="I69" s="154" t="s">
        <v>7123</v>
      </c>
    </row>
    <row r="70" customFormat="false" ht="322" hidden="false" customHeight="true" outlineLevel="0" collapsed="false">
      <c r="A70" s="154" t="s">
        <v>6435</v>
      </c>
      <c r="B70" s="154" t="s">
        <v>7124</v>
      </c>
      <c r="C70" s="154" t="s">
        <v>7383</v>
      </c>
      <c r="D70" s="154" t="s">
        <v>7384</v>
      </c>
      <c r="E70" s="154" t="s">
        <v>7385</v>
      </c>
      <c r="F70" s="154" t="s">
        <v>7386</v>
      </c>
      <c r="G70" s="154" t="s">
        <v>7387</v>
      </c>
      <c r="H70" s="154" t="s">
        <v>7388</v>
      </c>
      <c r="I70" s="154" t="s">
        <v>7123</v>
      </c>
    </row>
    <row r="71" customFormat="false" ht="294" hidden="false" customHeight="true" outlineLevel="0" collapsed="false">
      <c r="A71" s="154" t="s">
        <v>6435</v>
      </c>
      <c r="B71" s="154" t="s">
        <v>7124</v>
      </c>
      <c r="C71" s="154" t="s">
        <v>7389</v>
      </c>
      <c r="D71" s="154" t="s">
        <v>7390</v>
      </c>
      <c r="E71" s="154" t="s">
        <v>7391</v>
      </c>
      <c r="F71" s="154" t="s">
        <v>7392</v>
      </c>
      <c r="G71" s="154" t="s">
        <v>7393</v>
      </c>
      <c r="H71" s="154" t="s">
        <v>7394</v>
      </c>
      <c r="I71" s="154" t="s">
        <v>7123</v>
      </c>
    </row>
    <row r="72" customFormat="false" ht="294" hidden="false" customHeight="true" outlineLevel="0" collapsed="false">
      <c r="A72" s="154" t="s">
        <v>6435</v>
      </c>
      <c r="B72" s="154" t="s">
        <v>7124</v>
      </c>
      <c r="C72" s="154" t="s">
        <v>7395</v>
      </c>
      <c r="D72" s="154" t="s">
        <v>7121</v>
      </c>
      <c r="E72" s="154" t="s">
        <v>7396</v>
      </c>
      <c r="F72" s="154" t="s">
        <v>7397</v>
      </c>
      <c r="G72" s="154" t="s">
        <v>7398</v>
      </c>
      <c r="H72" s="154" t="s">
        <v>7399</v>
      </c>
      <c r="I72" s="154" t="s">
        <v>7123</v>
      </c>
    </row>
    <row r="73" customFormat="false" ht="76" hidden="false" customHeight="true" outlineLevel="0" collapsed="false">
      <c r="A73" s="154" t="s">
        <v>6435</v>
      </c>
      <c r="B73" s="154" t="s">
        <v>7124</v>
      </c>
      <c r="C73" s="154" t="s">
        <v>4743</v>
      </c>
      <c r="D73" s="154" t="s">
        <v>7121</v>
      </c>
      <c r="E73" s="154" t="s">
        <v>4744</v>
      </c>
      <c r="F73" s="154" t="s">
        <v>7400</v>
      </c>
      <c r="G73" s="154" t="s">
        <v>7401</v>
      </c>
      <c r="H73" s="154" t="s">
        <v>7143</v>
      </c>
      <c r="I73" s="154" t="s">
        <v>7123</v>
      </c>
    </row>
    <row r="74" customFormat="false" ht="84" hidden="false" customHeight="true" outlineLevel="0" collapsed="false">
      <c r="A74" s="154" t="s">
        <v>6435</v>
      </c>
      <c r="B74" s="154" t="s">
        <v>7124</v>
      </c>
      <c r="C74" s="154" t="s">
        <v>4743</v>
      </c>
      <c r="D74" s="154" t="s">
        <v>7121</v>
      </c>
      <c r="E74" s="154" t="s">
        <v>7402</v>
      </c>
      <c r="F74" s="154" t="s">
        <v>7403</v>
      </c>
      <c r="G74" s="154" t="s">
        <v>7404</v>
      </c>
      <c r="H74" s="154" t="s">
        <v>7405</v>
      </c>
      <c r="I74" s="154" t="s">
        <v>7123</v>
      </c>
    </row>
    <row r="75" customFormat="false" ht="76" hidden="false" customHeight="true" outlineLevel="0" collapsed="false">
      <c r="A75" s="154" t="s">
        <v>6435</v>
      </c>
      <c r="B75" s="154" t="s">
        <v>7124</v>
      </c>
      <c r="C75" s="154" t="s">
        <v>4743</v>
      </c>
      <c r="D75" s="154" t="s">
        <v>7121</v>
      </c>
      <c r="E75" s="154" t="s">
        <v>7406</v>
      </c>
      <c r="F75" s="154" t="s">
        <v>7407</v>
      </c>
      <c r="G75" s="154" t="s">
        <v>7408</v>
      </c>
      <c r="H75" s="154" t="s">
        <v>7409</v>
      </c>
      <c r="I75" s="154" t="s">
        <v>7123</v>
      </c>
    </row>
    <row r="76" customFormat="false" ht="76" hidden="false" customHeight="true" outlineLevel="0" collapsed="false">
      <c r="A76" s="154" t="s">
        <v>6435</v>
      </c>
      <c r="B76" s="154" t="s">
        <v>7152</v>
      </c>
      <c r="C76" s="154" t="s">
        <v>4743</v>
      </c>
      <c r="D76" s="154" t="s">
        <v>7121</v>
      </c>
      <c r="E76" s="154" t="s">
        <v>7410</v>
      </c>
      <c r="F76" s="154" t="s">
        <v>7411</v>
      </c>
      <c r="G76" s="154" t="s">
        <v>7412</v>
      </c>
      <c r="H76" s="154" t="s">
        <v>7413</v>
      </c>
      <c r="I76" s="154" t="s">
        <v>7123</v>
      </c>
    </row>
    <row r="77" customFormat="false" ht="126" hidden="false" customHeight="true" outlineLevel="0" collapsed="false">
      <c r="A77" s="154" t="s">
        <v>6435</v>
      </c>
      <c r="B77" s="154" t="s">
        <v>7152</v>
      </c>
      <c r="C77" s="154" t="s">
        <v>4743</v>
      </c>
      <c r="D77" s="154" t="s">
        <v>7121</v>
      </c>
      <c r="E77" s="154" t="s">
        <v>7414</v>
      </c>
      <c r="F77" s="154" t="s">
        <v>7415</v>
      </c>
      <c r="G77" s="154" t="s">
        <v>7416</v>
      </c>
      <c r="H77" s="154" t="s">
        <v>7417</v>
      </c>
      <c r="I77" s="154" t="s">
        <v>7123</v>
      </c>
    </row>
    <row r="78" customFormat="false" ht="112" hidden="false" customHeight="true" outlineLevel="0" collapsed="false">
      <c r="A78" s="154" t="s">
        <v>6435</v>
      </c>
      <c r="B78" s="154" t="s">
        <v>7152</v>
      </c>
      <c r="C78" s="154" t="s">
        <v>4743</v>
      </c>
      <c r="D78" s="154" t="s">
        <v>7121</v>
      </c>
      <c r="E78" s="154" t="s">
        <v>7418</v>
      </c>
      <c r="F78" s="154" t="s">
        <v>7419</v>
      </c>
      <c r="G78" s="154" t="s">
        <v>7420</v>
      </c>
      <c r="H78" s="154" t="s">
        <v>7421</v>
      </c>
      <c r="I78" s="154" t="s">
        <v>7123</v>
      </c>
    </row>
    <row r="79" customFormat="false" ht="76" hidden="false" customHeight="true" outlineLevel="0" collapsed="false">
      <c r="A79" s="154" t="s">
        <v>6435</v>
      </c>
      <c r="B79" s="154" t="s">
        <v>7152</v>
      </c>
      <c r="C79" s="154" t="s">
        <v>4743</v>
      </c>
      <c r="D79" s="154" t="s">
        <v>7121</v>
      </c>
      <c r="E79" s="154" t="s">
        <v>4744</v>
      </c>
      <c r="F79" s="154" t="s">
        <v>7422</v>
      </c>
      <c r="G79" s="154" t="s">
        <v>7423</v>
      </c>
      <c r="H79" s="154" t="s">
        <v>7143</v>
      </c>
      <c r="I79" s="154" t="s">
        <v>7123</v>
      </c>
    </row>
    <row r="80" customFormat="false" ht="280" hidden="false" customHeight="true" outlineLevel="0" collapsed="false">
      <c r="A80" s="154" t="s">
        <v>6435</v>
      </c>
      <c r="B80" s="154" t="s">
        <v>7152</v>
      </c>
      <c r="C80" s="154" t="s">
        <v>4743</v>
      </c>
      <c r="D80" s="154" t="s">
        <v>7121</v>
      </c>
      <c r="E80" s="154" t="s">
        <v>7424</v>
      </c>
      <c r="F80" s="154" t="s">
        <v>7425</v>
      </c>
      <c r="G80" s="154" t="s">
        <v>7426</v>
      </c>
      <c r="H80" s="154" t="s">
        <v>7427</v>
      </c>
      <c r="I80" s="154" t="s">
        <v>7123</v>
      </c>
    </row>
    <row r="81" customFormat="false" ht="84" hidden="false" customHeight="true" outlineLevel="0" collapsed="false">
      <c r="A81" s="154" t="s">
        <v>6435</v>
      </c>
      <c r="B81" s="154" t="s">
        <v>7152</v>
      </c>
      <c r="C81" s="154" t="s">
        <v>4743</v>
      </c>
      <c r="D81" s="154" t="s">
        <v>7121</v>
      </c>
      <c r="E81" s="154" t="s">
        <v>7428</v>
      </c>
      <c r="F81" s="154" t="s">
        <v>7429</v>
      </c>
      <c r="G81" s="154" t="s">
        <v>7430</v>
      </c>
      <c r="H81" s="154" t="s">
        <v>7431</v>
      </c>
      <c r="I81" s="154" t="s">
        <v>7123</v>
      </c>
    </row>
    <row r="82" customFormat="false" ht="76" hidden="false" customHeight="true" outlineLevel="0" collapsed="false">
      <c r="A82" s="154" t="s">
        <v>6435</v>
      </c>
      <c r="B82" s="154" t="s">
        <v>7152</v>
      </c>
      <c r="C82" s="154" t="s">
        <v>4743</v>
      </c>
      <c r="D82" s="154" t="s">
        <v>7121</v>
      </c>
      <c r="E82" s="154" t="s">
        <v>7285</v>
      </c>
      <c r="F82" s="154" t="s">
        <v>7432</v>
      </c>
      <c r="G82" s="154" t="s">
        <v>7433</v>
      </c>
      <c r="H82" s="154" t="s">
        <v>7288</v>
      </c>
      <c r="I82" s="154" t="s">
        <v>7123</v>
      </c>
    </row>
    <row r="83" customFormat="false" ht="76" hidden="false" customHeight="true" outlineLevel="0" collapsed="false">
      <c r="A83" s="154" t="s">
        <v>6435</v>
      </c>
      <c r="B83" s="154" t="s">
        <v>7152</v>
      </c>
      <c r="C83" s="154" t="s">
        <v>4743</v>
      </c>
      <c r="D83" s="154" t="s">
        <v>7121</v>
      </c>
      <c r="E83" s="154" t="s">
        <v>7434</v>
      </c>
      <c r="F83" s="154" t="s">
        <v>7435</v>
      </c>
      <c r="G83" s="154" t="s">
        <v>7436</v>
      </c>
      <c r="H83" s="154" t="s">
        <v>7437</v>
      </c>
      <c r="I83" s="154" t="s">
        <v>7123</v>
      </c>
    </row>
    <row r="84" customFormat="false" ht="154" hidden="false" customHeight="true" outlineLevel="0" collapsed="false">
      <c r="A84" s="154" t="s">
        <v>6435</v>
      </c>
      <c r="B84" s="154" t="s">
        <v>7185</v>
      </c>
      <c r="C84" s="154" t="s">
        <v>4743</v>
      </c>
      <c r="D84" s="154" t="s">
        <v>7121</v>
      </c>
      <c r="E84" s="154" t="s">
        <v>7438</v>
      </c>
      <c r="F84" s="154" t="s">
        <v>7439</v>
      </c>
      <c r="G84" s="154" t="s">
        <v>7440</v>
      </c>
      <c r="H84" s="154" t="s">
        <v>7441</v>
      </c>
      <c r="I84" s="154" t="s">
        <v>7123</v>
      </c>
    </row>
    <row r="85" customFormat="false" ht="196" hidden="false" customHeight="true" outlineLevel="0" collapsed="false">
      <c r="A85" s="154" t="s">
        <v>6444</v>
      </c>
      <c r="B85" s="154" t="s">
        <v>7120</v>
      </c>
      <c r="C85" s="154" t="s">
        <v>4743</v>
      </c>
      <c r="D85" s="154" t="s">
        <v>7121</v>
      </c>
      <c r="E85" s="154" t="s">
        <v>7442</v>
      </c>
      <c r="F85" s="154" t="s">
        <v>6663</v>
      </c>
      <c r="G85" s="154" t="s">
        <v>6659</v>
      </c>
      <c r="H85" s="154" t="s">
        <v>6674</v>
      </c>
      <c r="I85" s="154" t="s">
        <v>7123</v>
      </c>
    </row>
    <row r="86" customFormat="false" ht="76" hidden="false" customHeight="true" outlineLevel="0" collapsed="false">
      <c r="A86" s="154" t="s">
        <v>6444</v>
      </c>
      <c r="B86" s="154" t="s">
        <v>7124</v>
      </c>
      <c r="C86" s="154" t="s">
        <v>4743</v>
      </c>
      <c r="D86" s="154" t="s">
        <v>7121</v>
      </c>
      <c r="E86" s="154" t="s">
        <v>7443</v>
      </c>
      <c r="F86" s="154" t="s">
        <v>7444</v>
      </c>
      <c r="G86" s="154" t="s">
        <v>7445</v>
      </c>
      <c r="H86" s="154" t="s">
        <v>7446</v>
      </c>
      <c r="I86" s="154" t="s">
        <v>7123</v>
      </c>
    </row>
    <row r="87" customFormat="false" ht="76" hidden="false" customHeight="true" outlineLevel="0" collapsed="false">
      <c r="A87" s="154" t="s">
        <v>6444</v>
      </c>
      <c r="B87" s="154" t="s">
        <v>7124</v>
      </c>
      <c r="C87" s="154" t="s">
        <v>4743</v>
      </c>
      <c r="D87" s="154" t="s">
        <v>7121</v>
      </c>
      <c r="E87" s="154" t="s">
        <v>7337</v>
      </c>
      <c r="F87" s="154" t="s">
        <v>7447</v>
      </c>
      <c r="G87" s="154" t="s">
        <v>7448</v>
      </c>
      <c r="H87" s="154" t="s">
        <v>7340</v>
      </c>
      <c r="I87" s="154" t="s">
        <v>7123</v>
      </c>
    </row>
    <row r="88" customFormat="false" ht="154" hidden="false" customHeight="true" outlineLevel="0" collapsed="false">
      <c r="A88" s="154" t="s">
        <v>6444</v>
      </c>
      <c r="B88" s="154" t="s">
        <v>7124</v>
      </c>
      <c r="C88" s="154" t="s">
        <v>6664</v>
      </c>
      <c r="D88" s="154" t="s">
        <v>7449</v>
      </c>
      <c r="E88" s="154" t="s">
        <v>7450</v>
      </c>
      <c r="F88" s="154" t="s">
        <v>7451</v>
      </c>
      <c r="G88" s="154" t="s">
        <v>7452</v>
      </c>
      <c r="H88" s="154" t="s">
        <v>7453</v>
      </c>
      <c r="I88" s="154" t="s">
        <v>7123</v>
      </c>
    </row>
    <row r="89" customFormat="false" ht="252" hidden="false" customHeight="true" outlineLevel="0" collapsed="false">
      <c r="A89" s="154" t="s">
        <v>6444</v>
      </c>
      <c r="B89" s="154" t="s">
        <v>7124</v>
      </c>
      <c r="C89" s="154" t="s">
        <v>6664</v>
      </c>
      <c r="D89" s="154" t="s">
        <v>7449</v>
      </c>
      <c r="E89" s="154" t="s">
        <v>7454</v>
      </c>
      <c r="F89" s="154" t="s">
        <v>7455</v>
      </c>
      <c r="G89" s="154" t="s">
        <v>7456</v>
      </c>
      <c r="H89" s="154" t="s">
        <v>7457</v>
      </c>
      <c r="I89" s="154" t="s">
        <v>7123</v>
      </c>
    </row>
    <row r="90" customFormat="false" ht="76" hidden="false" customHeight="true" outlineLevel="0" collapsed="false">
      <c r="A90" s="154" t="s">
        <v>6444</v>
      </c>
      <c r="B90" s="154" t="s">
        <v>7124</v>
      </c>
      <c r="C90" s="154" t="s">
        <v>6664</v>
      </c>
      <c r="D90" s="154" t="s">
        <v>7449</v>
      </c>
      <c r="E90" s="154" t="s">
        <v>7458</v>
      </c>
      <c r="F90" s="154" t="s">
        <v>7459</v>
      </c>
      <c r="G90" s="154" t="s">
        <v>7460</v>
      </c>
      <c r="H90" s="154" t="s">
        <v>7461</v>
      </c>
      <c r="I90" s="154" t="s">
        <v>7123</v>
      </c>
    </row>
    <row r="91" customFormat="false" ht="76" hidden="false" customHeight="true" outlineLevel="0" collapsed="false">
      <c r="A91" s="154" t="s">
        <v>6444</v>
      </c>
      <c r="B91" s="154" t="s">
        <v>7124</v>
      </c>
      <c r="C91" s="154" t="s">
        <v>6664</v>
      </c>
      <c r="D91" s="154" t="s">
        <v>7449</v>
      </c>
      <c r="E91" s="154" t="s">
        <v>7462</v>
      </c>
      <c r="F91" s="154" t="s">
        <v>7463</v>
      </c>
      <c r="G91" s="154" t="s">
        <v>7464</v>
      </c>
      <c r="H91" s="154" t="s">
        <v>7465</v>
      </c>
      <c r="I91" s="154" t="s">
        <v>7123</v>
      </c>
    </row>
    <row r="92" customFormat="false" ht="76" hidden="false" customHeight="true" outlineLevel="0" collapsed="false">
      <c r="A92" s="154" t="s">
        <v>6444</v>
      </c>
      <c r="B92" s="154" t="s">
        <v>7124</v>
      </c>
      <c r="C92" s="154" t="s">
        <v>6664</v>
      </c>
      <c r="D92" s="154" t="s">
        <v>7449</v>
      </c>
      <c r="E92" s="154" t="s">
        <v>7466</v>
      </c>
      <c r="F92" s="154" t="s">
        <v>7467</v>
      </c>
      <c r="G92" s="154" t="s">
        <v>7468</v>
      </c>
      <c r="H92" s="154" t="s">
        <v>7469</v>
      </c>
      <c r="I92" s="154" t="s">
        <v>7123</v>
      </c>
    </row>
    <row r="93" customFormat="false" ht="76" hidden="false" customHeight="true" outlineLevel="0" collapsed="false">
      <c r="A93" s="154" t="s">
        <v>6444</v>
      </c>
      <c r="B93" s="154" t="s">
        <v>7124</v>
      </c>
      <c r="C93" s="154" t="s">
        <v>6664</v>
      </c>
      <c r="D93" s="154" t="s">
        <v>7449</v>
      </c>
      <c r="E93" s="154" t="s">
        <v>7449</v>
      </c>
      <c r="F93" s="154" t="s">
        <v>7470</v>
      </c>
      <c r="G93" s="154" t="s">
        <v>7471</v>
      </c>
      <c r="H93" s="154" t="s">
        <v>7472</v>
      </c>
      <c r="I93" s="154" t="s">
        <v>7123</v>
      </c>
    </row>
    <row r="94" customFormat="false" ht="76" hidden="false" customHeight="true" outlineLevel="0" collapsed="false">
      <c r="A94" s="154" t="s">
        <v>6444</v>
      </c>
      <c r="B94" s="154" t="s">
        <v>7124</v>
      </c>
      <c r="C94" s="154" t="s">
        <v>6664</v>
      </c>
      <c r="D94" s="154" t="s">
        <v>7449</v>
      </c>
      <c r="E94" s="154" t="s">
        <v>7473</v>
      </c>
      <c r="F94" s="154" t="s">
        <v>7474</v>
      </c>
      <c r="G94" s="154" t="s">
        <v>7475</v>
      </c>
      <c r="H94" s="154" t="s">
        <v>7476</v>
      </c>
      <c r="I94" s="154" t="s">
        <v>7123</v>
      </c>
    </row>
    <row r="95" customFormat="false" ht="322" hidden="false" customHeight="true" outlineLevel="0" collapsed="false">
      <c r="A95" s="154" t="s">
        <v>6444</v>
      </c>
      <c r="B95" s="154" t="s">
        <v>7124</v>
      </c>
      <c r="C95" s="154" t="s">
        <v>4743</v>
      </c>
      <c r="D95" s="154" t="s">
        <v>7121</v>
      </c>
      <c r="E95" s="154" t="s">
        <v>7477</v>
      </c>
      <c r="F95" s="154" t="s">
        <v>7478</v>
      </c>
      <c r="G95" s="154" t="s">
        <v>7479</v>
      </c>
      <c r="H95" s="154" t="s">
        <v>7480</v>
      </c>
      <c r="I95" s="154" t="s">
        <v>7123</v>
      </c>
    </row>
    <row r="96" customFormat="false" ht="76" hidden="false" customHeight="true" outlineLevel="0" collapsed="false">
      <c r="A96" s="154" t="s">
        <v>6444</v>
      </c>
      <c r="B96" s="154" t="s">
        <v>7124</v>
      </c>
      <c r="C96" s="154" t="s">
        <v>4743</v>
      </c>
      <c r="D96" s="154" t="s">
        <v>7121</v>
      </c>
      <c r="E96" s="154" t="s">
        <v>4744</v>
      </c>
      <c r="F96" s="154" t="s">
        <v>7481</v>
      </c>
      <c r="G96" s="154" t="s">
        <v>7482</v>
      </c>
      <c r="H96" s="154" t="s">
        <v>7143</v>
      </c>
      <c r="I96" s="154" t="s">
        <v>7123</v>
      </c>
    </row>
    <row r="97" customFormat="false" ht="76" hidden="false" customHeight="true" outlineLevel="0" collapsed="false">
      <c r="A97" s="154" t="s">
        <v>6444</v>
      </c>
      <c r="B97" s="154" t="s">
        <v>7124</v>
      </c>
      <c r="C97" s="154" t="s">
        <v>4743</v>
      </c>
      <c r="D97" s="154" t="s">
        <v>7121</v>
      </c>
      <c r="E97" s="154" t="s">
        <v>7483</v>
      </c>
      <c r="F97" s="154" t="s">
        <v>7484</v>
      </c>
      <c r="G97" s="154" t="s">
        <v>7485</v>
      </c>
      <c r="H97" s="154" t="s">
        <v>7486</v>
      </c>
      <c r="I97" s="154" t="s">
        <v>7123</v>
      </c>
    </row>
    <row r="98" customFormat="false" ht="76" hidden="false" customHeight="true" outlineLevel="0" collapsed="false">
      <c r="A98" s="154" t="s">
        <v>6444</v>
      </c>
      <c r="B98" s="154" t="s">
        <v>7124</v>
      </c>
      <c r="C98" s="154" t="s">
        <v>4743</v>
      </c>
      <c r="D98" s="154" t="s">
        <v>7121</v>
      </c>
      <c r="E98" s="154" t="s">
        <v>7487</v>
      </c>
      <c r="F98" s="154" t="s">
        <v>7488</v>
      </c>
      <c r="G98" s="154" t="s">
        <v>7489</v>
      </c>
      <c r="H98" s="154" t="s">
        <v>7490</v>
      </c>
      <c r="I98" s="154" t="s">
        <v>7123</v>
      </c>
    </row>
    <row r="99" customFormat="false" ht="76" hidden="false" customHeight="true" outlineLevel="0" collapsed="false">
      <c r="A99" s="154" t="s">
        <v>6444</v>
      </c>
      <c r="B99" s="154" t="s">
        <v>7152</v>
      </c>
      <c r="C99" s="154" t="s">
        <v>4743</v>
      </c>
      <c r="D99" s="154" t="s">
        <v>7121</v>
      </c>
      <c r="E99" s="154" t="s">
        <v>7491</v>
      </c>
      <c r="F99" s="154" t="s">
        <v>7492</v>
      </c>
      <c r="G99" s="154" t="s">
        <v>7493</v>
      </c>
      <c r="H99" s="154" t="s">
        <v>7494</v>
      </c>
      <c r="I99" s="154" t="s">
        <v>7123</v>
      </c>
    </row>
    <row r="100" customFormat="false" ht="84" hidden="false" customHeight="true" outlineLevel="0" collapsed="false">
      <c r="A100" s="154" t="s">
        <v>6444</v>
      </c>
      <c r="B100" s="154" t="s">
        <v>7152</v>
      </c>
      <c r="C100" s="154" t="s">
        <v>4743</v>
      </c>
      <c r="D100" s="154" t="s">
        <v>7121</v>
      </c>
      <c r="E100" s="154" t="s">
        <v>7495</v>
      </c>
      <c r="F100" s="154" t="s">
        <v>7496</v>
      </c>
      <c r="G100" s="154" t="s">
        <v>7497</v>
      </c>
      <c r="H100" s="154" t="s">
        <v>7498</v>
      </c>
      <c r="I100" s="154" t="s">
        <v>7123</v>
      </c>
    </row>
    <row r="101" customFormat="false" ht="182" hidden="false" customHeight="true" outlineLevel="0" collapsed="false">
      <c r="A101" s="154" t="s">
        <v>6444</v>
      </c>
      <c r="B101" s="154" t="s">
        <v>7152</v>
      </c>
      <c r="C101" s="154" t="s">
        <v>4743</v>
      </c>
      <c r="D101" s="154" t="s">
        <v>7121</v>
      </c>
      <c r="E101" s="154" t="s">
        <v>7499</v>
      </c>
      <c r="F101" s="154" t="s">
        <v>7500</v>
      </c>
      <c r="G101" s="154" t="s">
        <v>7501</v>
      </c>
      <c r="H101" s="154" t="s">
        <v>7502</v>
      </c>
      <c r="I101" s="154" t="s">
        <v>7123</v>
      </c>
    </row>
    <row r="102" customFormat="false" ht="76" hidden="false" customHeight="true" outlineLevel="0" collapsed="false">
      <c r="A102" s="154" t="s">
        <v>6444</v>
      </c>
      <c r="B102" s="154" t="s">
        <v>7152</v>
      </c>
      <c r="C102" s="154" t="s">
        <v>4743</v>
      </c>
      <c r="D102" s="154" t="s">
        <v>7121</v>
      </c>
      <c r="E102" s="154" t="s">
        <v>4744</v>
      </c>
      <c r="F102" s="154" t="s">
        <v>7503</v>
      </c>
      <c r="G102" s="154" t="s">
        <v>7504</v>
      </c>
      <c r="H102" s="154" t="s">
        <v>7143</v>
      </c>
      <c r="I102" s="154" t="s">
        <v>7123</v>
      </c>
    </row>
    <row r="103" customFormat="false" ht="224" hidden="false" customHeight="true" outlineLevel="0" collapsed="false">
      <c r="A103" s="154" t="s">
        <v>6444</v>
      </c>
      <c r="B103" s="154" t="s">
        <v>7152</v>
      </c>
      <c r="C103" s="154" t="s">
        <v>4743</v>
      </c>
      <c r="D103" s="154" t="s">
        <v>7121</v>
      </c>
      <c r="E103" s="154" t="s">
        <v>7505</v>
      </c>
      <c r="F103" s="154" t="s">
        <v>7506</v>
      </c>
      <c r="G103" s="154" t="s">
        <v>7507</v>
      </c>
      <c r="H103" s="154" t="s">
        <v>7508</v>
      </c>
      <c r="I103" s="154" t="s">
        <v>7123</v>
      </c>
    </row>
    <row r="104" customFormat="false" ht="76" hidden="false" customHeight="true" outlineLevel="0" collapsed="false">
      <c r="A104" s="154" t="s">
        <v>6444</v>
      </c>
      <c r="B104" s="154" t="s">
        <v>7152</v>
      </c>
      <c r="C104" s="154" t="s">
        <v>4743</v>
      </c>
      <c r="D104" s="154" t="s">
        <v>7121</v>
      </c>
      <c r="E104" s="154" t="s">
        <v>7509</v>
      </c>
      <c r="F104" s="154" t="s">
        <v>7510</v>
      </c>
      <c r="G104" s="154" t="s">
        <v>7511</v>
      </c>
      <c r="H104" s="154" t="s">
        <v>7512</v>
      </c>
      <c r="I104" s="154" t="s">
        <v>7123</v>
      </c>
    </row>
    <row r="105" customFormat="false" ht="98" hidden="false" customHeight="true" outlineLevel="0" collapsed="false">
      <c r="A105" s="154" t="s">
        <v>6444</v>
      </c>
      <c r="B105" s="154" t="s">
        <v>7152</v>
      </c>
      <c r="C105" s="154" t="s">
        <v>4743</v>
      </c>
      <c r="D105" s="154" t="s">
        <v>7121</v>
      </c>
      <c r="E105" s="154" t="s">
        <v>7513</v>
      </c>
      <c r="F105" s="154" t="s">
        <v>7514</v>
      </c>
      <c r="G105" s="154" t="s">
        <v>7515</v>
      </c>
      <c r="H105" s="154" t="s">
        <v>7516</v>
      </c>
      <c r="I105" s="154" t="s">
        <v>7123</v>
      </c>
    </row>
    <row r="106" customFormat="false" ht="76" hidden="false" customHeight="true" outlineLevel="0" collapsed="false">
      <c r="A106" s="154" t="s">
        <v>6444</v>
      </c>
      <c r="B106" s="154" t="s">
        <v>7152</v>
      </c>
      <c r="C106" s="154" t="s">
        <v>4743</v>
      </c>
      <c r="D106" s="154" t="s">
        <v>7121</v>
      </c>
      <c r="E106" s="154" t="s">
        <v>4744</v>
      </c>
      <c r="F106" s="154" t="s">
        <v>7517</v>
      </c>
      <c r="G106" s="154" t="s">
        <v>7518</v>
      </c>
      <c r="H106" s="154" t="s">
        <v>7143</v>
      </c>
      <c r="I106" s="154" t="s">
        <v>7123</v>
      </c>
    </row>
    <row r="107" customFormat="false" ht="112" hidden="false" customHeight="true" outlineLevel="0" collapsed="false">
      <c r="A107" s="154" t="s">
        <v>6444</v>
      </c>
      <c r="B107" s="154" t="s">
        <v>7152</v>
      </c>
      <c r="C107" s="154" t="s">
        <v>4743</v>
      </c>
      <c r="D107" s="154" t="s">
        <v>7121</v>
      </c>
      <c r="E107" s="154" t="s">
        <v>7519</v>
      </c>
      <c r="F107" s="154" t="s">
        <v>7520</v>
      </c>
      <c r="G107" s="154" t="s">
        <v>7521</v>
      </c>
      <c r="H107" s="154" t="s">
        <v>7522</v>
      </c>
      <c r="I107" s="154" t="s">
        <v>7123</v>
      </c>
    </row>
    <row r="108" customFormat="false" ht="76" hidden="false" customHeight="true" outlineLevel="0" collapsed="false">
      <c r="A108" s="154" t="s">
        <v>6444</v>
      </c>
      <c r="B108" s="154" t="s">
        <v>7152</v>
      </c>
      <c r="C108" s="154" t="s">
        <v>4743</v>
      </c>
      <c r="D108" s="154" t="s">
        <v>7121</v>
      </c>
      <c r="E108" s="154" t="s">
        <v>7523</v>
      </c>
      <c r="F108" s="154" t="s">
        <v>7524</v>
      </c>
      <c r="G108" s="154" t="s">
        <v>7525</v>
      </c>
      <c r="H108" s="154" t="s">
        <v>7526</v>
      </c>
      <c r="I108" s="154" t="s">
        <v>7123</v>
      </c>
    </row>
    <row r="109" customFormat="false" ht="154" hidden="false" customHeight="true" outlineLevel="0" collapsed="false">
      <c r="A109" s="154" t="s">
        <v>6444</v>
      </c>
      <c r="B109" s="154" t="s">
        <v>7185</v>
      </c>
      <c r="C109" s="154" t="s">
        <v>4743</v>
      </c>
      <c r="D109" s="154" t="s">
        <v>7121</v>
      </c>
      <c r="E109" s="154" t="s">
        <v>7527</v>
      </c>
      <c r="F109" s="154" t="s">
        <v>7528</v>
      </c>
      <c r="G109" s="154" t="s">
        <v>7529</v>
      </c>
      <c r="H109" s="154" t="s">
        <v>7530</v>
      </c>
      <c r="I109" s="154" t="s">
        <v>7123</v>
      </c>
    </row>
    <row r="110" customFormat="false" ht="196" hidden="false" customHeight="true" outlineLevel="0" collapsed="false">
      <c r="A110" s="154" t="s">
        <v>6677</v>
      </c>
      <c r="B110" s="154" t="s">
        <v>7120</v>
      </c>
      <c r="C110" s="154" t="s">
        <v>4743</v>
      </c>
      <c r="D110" s="154" t="s">
        <v>7121</v>
      </c>
      <c r="E110" s="154" t="s">
        <v>7531</v>
      </c>
      <c r="F110" s="154" t="s">
        <v>6682</v>
      </c>
      <c r="G110" s="154" t="s">
        <v>6678</v>
      </c>
      <c r="H110" s="154" t="s">
        <v>6693</v>
      </c>
      <c r="I110" s="154" t="s">
        <v>7123</v>
      </c>
    </row>
    <row r="111" customFormat="false" ht="76" hidden="false" customHeight="true" outlineLevel="0" collapsed="false">
      <c r="A111" s="154" t="s">
        <v>6677</v>
      </c>
      <c r="B111" s="154" t="s">
        <v>7124</v>
      </c>
      <c r="C111" s="154" t="s">
        <v>4743</v>
      </c>
      <c r="D111" s="154" t="s">
        <v>7121</v>
      </c>
      <c r="E111" s="154" t="s">
        <v>7532</v>
      </c>
      <c r="F111" s="154" t="s">
        <v>7533</v>
      </c>
      <c r="G111" s="154" t="s">
        <v>7534</v>
      </c>
      <c r="H111" s="154" t="s">
        <v>7535</v>
      </c>
      <c r="I111" s="154" t="s">
        <v>7123</v>
      </c>
    </row>
    <row r="112" customFormat="false" ht="76" hidden="false" customHeight="true" outlineLevel="0" collapsed="false">
      <c r="A112" s="154" t="s">
        <v>6677</v>
      </c>
      <c r="B112" s="154" t="s">
        <v>7124</v>
      </c>
      <c r="C112" s="154" t="s">
        <v>4743</v>
      </c>
      <c r="D112" s="154" t="s">
        <v>7121</v>
      </c>
      <c r="E112" s="154" t="s">
        <v>7129</v>
      </c>
      <c r="F112" s="154" t="s">
        <v>7536</v>
      </c>
      <c r="G112" s="154" t="s">
        <v>7537</v>
      </c>
      <c r="H112" s="154" t="s">
        <v>7132</v>
      </c>
      <c r="I112" s="154" t="s">
        <v>7123</v>
      </c>
    </row>
    <row r="113" customFormat="false" ht="168" hidden="false" customHeight="true" outlineLevel="0" collapsed="false">
      <c r="A113" s="154" t="s">
        <v>6677</v>
      </c>
      <c r="B113" s="154" t="s">
        <v>7124</v>
      </c>
      <c r="C113" s="154" t="s">
        <v>4743</v>
      </c>
      <c r="D113" s="154" t="s">
        <v>7121</v>
      </c>
      <c r="E113" s="154" t="s">
        <v>7538</v>
      </c>
      <c r="F113" s="154" t="s">
        <v>7539</v>
      </c>
      <c r="G113" s="154" t="s">
        <v>7540</v>
      </c>
      <c r="H113" s="154" t="s">
        <v>7541</v>
      </c>
      <c r="I113" s="154" t="s">
        <v>7123</v>
      </c>
    </row>
    <row r="114" customFormat="false" ht="196" hidden="false" customHeight="true" outlineLevel="0" collapsed="false">
      <c r="A114" s="154" t="s">
        <v>6677</v>
      </c>
      <c r="B114" s="154" t="s">
        <v>7124</v>
      </c>
      <c r="C114" s="154" t="s">
        <v>4743</v>
      </c>
      <c r="D114" s="154" t="s">
        <v>7121</v>
      </c>
      <c r="E114" s="154" t="s">
        <v>7542</v>
      </c>
      <c r="F114" s="154" t="s">
        <v>7543</v>
      </c>
      <c r="G114" s="154" t="s">
        <v>7544</v>
      </c>
      <c r="H114" s="154" t="s">
        <v>7545</v>
      </c>
      <c r="I114" s="154" t="s">
        <v>7123</v>
      </c>
    </row>
    <row r="115" customFormat="false" ht="76" hidden="false" customHeight="true" outlineLevel="0" collapsed="false">
      <c r="A115" s="154" t="s">
        <v>6677</v>
      </c>
      <c r="B115" s="154" t="s">
        <v>7124</v>
      </c>
      <c r="C115" s="154" t="s">
        <v>4743</v>
      </c>
      <c r="D115" s="154" t="s">
        <v>7121</v>
      </c>
      <c r="E115" s="154" t="s">
        <v>4744</v>
      </c>
      <c r="F115" s="154" t="s">
        <v>7546</v>
      </c>
      <c r="G115" s="154" t="s">
        <v>7547</v>
      </c>
      <c r="H115" s="154" t="s">
        <v>7143</v>
      </c>
      <c r="I115" s="154" t="s">
        <v>7123</v>
      </c>
    </row>
    <row r="116" customFormat="false" ht="76" hidden="false" customHeight="true" outlineLevel="0" collapsed="false">
      <c r="A116" s="154" t="s">
        <v>6677</v>
      </c>
      <c r="B116" s="154" t="s">
        <v>7124</v>
      </c>
      <c r="C116" s="154" t="s">
        <v>4743</v>
      </c>
      <c r="D116" s="154" t="s">
        <v>7121</v>
      </c>
      <c r="E116" s="154" t="s">
        <v>7548</v>
      </c>
      <c r="F116" s="154" t="s">
        <v>7549</v>
      </c>
      <c r="G116" s="154" t="s">
        <v>7550</v>
      </c>
      <c r="H116" s="154" t="s">
        <v>7551</v>
      </c>
      <c r="I116" s="154" t="s">
        <v>7123</v>
      </c>
    </row>
    <row r="117" customFormat="false" ht="76" hidden="false" customHeight="true" outlineLevel="0" collapsed="false">
      <c r="A117" s="154" t="s">
        <v>6677</v>
      </c>
      <c r="B117" s="154" t="s">
        <v>7124</v>
      </c>
      <c r="C117" s="154" t="s">
        <v>4743</v>
      </c>
      <c r="D117" s="154" t="s">
        <v>7121</v>
      </c>
      <c r="E117" s="154" t="s">
        <v>7552</v>
      </c>
      <c r="F117" s="154" t="s">
        <v>7553</v>
      </c>
      <c r="G117" s="154" t="s">
        <v>7554</v>
      </c>
      <c r="H117" s="154" t="s">
        <v>7555</v>
      </c>
      <c r="I117" s="154" t="s">
        <v>7123</v>
      </c>
    </row>
    <row r="118" customFormat="false" ht="84" hidden="false" customHeight="true" outlineLevel="0" collapsed="false">
      <c r="A118" s="154" t="s">
        <v>6677</v>
      </c>
      <c r="B118" s="154" t="s">
        <v>7152</v>
      </c>
      <c r="C118" s="154" t="s">
        <v>4743</v>
      </c>
      <c r="D118" s="154" t="s">
        <v>7121</v>
      </c>
      <c r="E118" s="154" t="s">
        <v>7556</v>
      </c>
      <c r="F118" s="154" t="s">
        <v>7557</v>
      </c>
      <c r="G118" s="154" t="s">
        <v>7558</v>
      </c>
      <c r="H118" s="154" t="s">
        <v>7559</v>
      </c>
      <c r="I118" s="154" t="s">
        <v>7123</v>
      </c>
    </row>
    <row r="119" customFormat="false" ht="168" hidden="false" customHeight="true" outlineLevel="0" collapsed="false">
      <c r="A119" s="154" t="s">
        <v>6677</v>
      </c>
      <c r="B119" s="154" t="s">
        <v>7152</v>
      </c>
      <c r="C119" s="154" t="s">
        <v>4743</v>
      </c>
      <c r="D119" s="154" t="s">
        <v>7121</v>
      </c>
      <c r="E119" s="154" t="s">
        <v>7560</v>
      </c>
      <c r="F119" s="154" t="s">
        <v>7561</v>
      </c>
      <c r="G119" s="154" t="s">
        <v>7562</v>
      </c>
      <c r="H119" s="154" t="s">
        <v>7563</v>
      </c>
      <c r="I119" s="154" t="s">
        <v>7123</v>
      </c>
    </row>
    <row r="120" customFormat="false" ht="252" hidden="false" customHeight="true" outlineLevel="0" collapsed="false">
      <c r="A120" s="154" t="s">
        <v>6677</v>
      </c>
      <c r="B120" s="154" t="s">
        <v>7152</v>
      </c>
      <c r="C120" s="154" t="s">
        <v>4743</v>
      </c>
      <c r="D120" s="154" t="s">
        <v>7121</v>
      </c>
      <c r="E120" s="154" t="s">
        <v>7564</v>
      </c>
      <c r="F120" s="154" t="s">
        <v>7565</v>
      </c>
      <c r="G120" s="154" t="s">
        <v>7566</v>
      </c>
      <c r="H120" s="154" t="s">
        <v>7567</v>
      </c>
      <c r="I120" s="154" t="s">
        <v>7123</v>
      </c>
    </row>
    <row r="121" customFormat="false" ht="126" hidden="false" customHeight="true" outlineLevel="0" collapsed="false">
      <c r="A121" s="154" t="s">
        <v>6677</v>
      </c>
      <c r="B121" s="154" t="s">
        <v>7152</v>
      </c>
      <c r="C121" s="154" t="s">
        <v>4743</v>
      </c>
      <c r="D121" s="154" t="s">
        <v>7121</v>
      </c>
      <c r="E121" s="154" t="s">
        <v>7568</v>
      </c>
      <c r="F121" s="154" t="s">
        <v>7569</v>
      </c>
      <c r="G121" s="154" t="s">
        <v>7570</v>
      </c>
      <c r="H121" s="154" t="s">
        <v>7571</v>
      </c>
      <c r="I121" s="154" t="s">
        <v>7123</v>
      </c>
    </row>
    <row r="122" customFormat="false" ht="140" hidden="false" customHeight="true" outlineLevel="0" collapsed="false">
      <c r="A122" s="154" t="s">
        <v>6677</v>
      </c>
      <c r="B122" s="154" t="s">
        <v>7152</v>
      </c>
      <c r="C122" s="154" t="s">
        <v>4743</v>
      </c>
      <c r="D122" s="154" t="s">
        <v>7121</v>
      </c>
      <c r="E122" s="154" t="s">
        <v>7572</v>
      </c>
      <c r="F122" s="154" t="s">
        <v>7573</v>
      </c>
      <c r="G122" s="154" t="s">
        <v>7574</v>
      </c>
      <c r="H122" s="154" t="s">
        <v>7575</v>
      </c>
      <c r="I122" s="154" t="s">
        <v>7123</v>
      </c>
    </row>
    <row r="123" customFormat="false" ht="76" hidden="false" customHeight="true" outlineLevel="0" collapsed="false">
      <c r="A123" s="154" t="s">
        <v>6677</v>
      </c>
      <c r="B123" s="154" t="s">
        <v>7152</v>
      </c>
      <c r="C123" s="154" t="s">
        <v>4743</v>
      </c>
      <c r="D123" s="154" t="s">
        <v>7121</v>
      </c>
      <c r="E123" s="154" t="s">
        <v>7576</v>
      </c>
      <c r="F123" s="154" t="s">
        <v>7577</v>
      </c>
      <c r="G123" s="154" t="s">
        <v>7578</v>
      </c>
      <c r="H123" s="154" t="s">
        <v>7579</v>
      </c>
      <c r="I123" s="154" t="s">
        <v>7123</v>
      </c>
    </row>
    <row r="124" customFormat="false" ht="98" hidden="false" customHeight="true" outlineLevel="0" collapsed="false">
      <c r="A124" s="154" t="s">
        <v>6677</v>
      </c>
      <c r="B124" s="154" t="s">
        <v>7152</v>
      </c>
      <c r="C124" s="154" t="s">
        <v>4743</v>
      </c>
      <c r="D124" s="154" t="s">
        <v>7121</v>
      </c>
      <c r="E124" s="154" t="s">
        <v>7580</v>
      </c>
      <c r="F124" s="154" t="s">
        <v>7581</v>
      </c>
      <c r="G124" s="154" t="s">
        <v>7582</v>
      </c>
      <c r="H124" s="154" t="s">
        <v>7583</v>
      </c>
      <c r="I124" s="154" t="s">
        <v>7123</v>
      </c>
    </row>
    <row r="125" customFormat="false" ht="76" hidden="false" customHeight="true" outlineLevel="0" collapsed="false">
      <c r="A125" s="154" t="s">
        <v>6677</v>
      </c>
      <c r="B125" s="154" t="s">
        <v>7152</v>
      </c>
      <c r="C125" s="154" t="s">
        <v>4743</v>
      </c>
      <c r="D125" s="154" t="s">
        <v>7121</v>
      </c>
      <c r="E125" s="154" t="s">
        <v>7584</v>
      </c>
      <c r="F125" s="154" t="s">
        <v>7585</v>
      </c>
      <c r="G125" s="154" t="s">
        <v>7586</v>
      </c>
      <c r="H125" s="154" t="s">
        <v>7587</v>
      </c>
      <c r="I125" s="154" t="s">
        <v>7123</v>
      </c>
    </row>
    <row r="126" customFormat="false" ht="154" hidden="false" customHeight="true" outlineLevel="0" collapsed="false">
      <c r="A126" s="154" t="s">
        <v>6677</v>
      </c>
      <c r="B126" s="154" t="s">
        <v>7185</v>
      </c>
      <c r="C126" s="154" t="s">
        <v>4743</v>
      </c>
      <c r="D126" s="154" t="s">
        <v>7121</v>
      </c>
      <c r="E126" s="154" t="s">
        <v>7588</v>
      </c>
      <c r="F126" s="154" t="s">
        <v>7589</v>
      </c>
      <c r="G126" s="154" t="s">
        <v>7590</v>
      </c>
      <c r="H126" s="154" t="s">
        <v>7591</v>
      </c>
      <c r="I126" s="154" t="s">
        <v>7123</v>
      </c>
    </row>
    <row r="127" customFormat="false" ht="210" hidden="false" customHeight="true" outlineLevel="0" collapsed="false">
      <c r="A127" s="154" t="s">
        <v>6696</v>
      </c>
      <c r="B127" s="154" t="s">
        <v>7120</v>
      </c>
      <c r="C127" s="154" t="s">
        <v>4743</v>
      </c>
      <c r="D127" s="154" t="s">
        <v>7121</v>
      </c>
      <c r="E127" s="154" t="s">
        <v>7592</v>
      </c>
      <c r="F127" s="154" t="s">
        <v>6701</v>
      </c>
      <c r="G127" s="154" t="s">
        <v>6697</v>
      </c>
      <c r="H127" s="154" t="s">
        <v>6711</v>
      </c>
      <c r="I127" s="154" t="s">
        <v>7123</v>
      </c>
    </row>
    <row r="128" customFormat="false" ht="76" hidden="false" customHeight="true" outlineLevel="0" collapsed="false">
      <c r="A128" s="154" t="s">
        <v>6696</v>
      </c>
      <c r="B128" s="154" t="s">
        <v>7124</v>
      </c>
      <c r="C128" s="154" t="s">
        <v>4743</v>
      </c>
      <c r="D128" s="154" t="s">
        <v>7121</v>
      </c>
      <c r="E128" s="154" t="s">
        <v>7593</v>
      </c>
      <c r="F128" s="154" t="s">
        <v>7594</v>
      </c>
      <c r="G128" s="154" t="s">
        <v>7595</v>
      </c>
      <c r="H128" s="154" t="s">
        <v>7596</v>
      </c>
      <c r="I128" s="154" t="s">
        <v>7123</v>
      </c>
    </row>
    <row r="129" customFormat="false" ht="76" hidden="false" customHeight="true" outlineLevel="0" collapsed="false">
      <c r="A129" s="154" t="s">
        <v>6696</v>
      </c>
      <c r="B129" s="154" t="s">
        <v>7124</v>
      </c>
      <c r="C129" s="154" t="s">
        <v>4743</v>
      </c>
      <c r="D129" s="154" t="s">
        <v>7121</v>
      </c>
      <c r="E129" s="154" t="s">
        <v>7129</v>
      </c>
      <c r="F129" s="154" t="s">
        <v>7597</v>
      </c>
      <c r="G129" s="154" t="s">
        <v>7598</v>
      </c>
      <c r="H129" s="154" t="s">
        <v>7132</v>
      </c>
      <c r="I129" s="154" t="s">
        <v>7123</v>
      </c>
    </row>
    <row r="130" customFormat="false" ht="238" hidden="false" customHeight="true" outlineLevel="0" collapsed="false">
      <c r="A130" s="154" t="s">
        <v>6696</v>
      </c>
      <c r="B130" s="154" t="s">
        <v>7124</v>
      </c>
      <c r="C130" s="154" t="s">
        <v>4743</v>
      </c>
      <c r="D130" s="154" t="s">
        <v>7121</v>
      </c>
      <c r="E130" s="154" t="s">
        <v>7599</v>
      </c>
      <c r="F130" s="154" t="s">
        <v>7600</v>
      </c>
      <c r="G130" s="154" t="s">
        <v>7601</v>
      </c>
      <c r="H130" s="154" t="s">
        <v>7602</v>
      </c>
      <c r="I130" s="154" t="s">
        <v>7123</v>
      </c>
    </row>
    <row r="131" customFormat="false" ht="280" hidden="false" customHeight="true" outlineLevel="0" collapsed="false">
      <c r="A131" s="154" t="s">
        <v>6696</v>
      </c>
      <c r="B131" s="154" t="s">
        <v>7124</v>
      </c>
      <c r="C131" s="154" t="s">
        <v>4743</v>
      </c>
      <c r="D131" s="154" t="s">
        <v>7121</v>
      </c>
      <c r="E131" s="154" t="s">
        <v>7603</v>
      </c>
      <c r="F131" s="154" t="s">
        <v>7604</v>
      </c>
      <c r="G131" s="154" t="s">
        <v>7605</v>
      </c>
      <c r="H131" s="154" t="s">
        <v>7606</v>
      </c>
      <c r="I131" s="154" t="s">
        <v>7123</v>
      </c>
    </row>
    <row r="132" customFormat="false" ht="76" hidden="false" customHeight="true" outlineLevel="0" collapsed="false">
      <c r="A132" s="154" t="s">
        <v>6696</v>
      </c>
      <c r="B132" s="154" t="s">
        <v>7124</v>
      </c>
      <c r="C132" s="154" t="s">
        <v>4743</v>
      </c>
      <c r="D132" s="154" t="s">
        <v>7121</v>
      </c>
      <c r="E132" s="154" t="s">
        <v>4744</v>
      </c>
      <c r="F132" s="154" t="s">
        <v>7607</v>
      </c>
      <c r="G132" s="154" t="s">
        <v>7608</v>
      </c>
      <c r="H132" s="154" t="s">
        <v>7143</v>
      </c>
      <c r="I132" s="154" t="s">
        <v>7123</v>
      </c>
    </row>
    <row r="133" customFormat="false" ht="76" hidden="false" customHeight="true" outlineLevel="0" collapsed="false">
      <c r="A133" s="154" t="s">
        <v>6696</v>
      </c>
      <c r="B133" s="154" t="s">
        <v>7124</v>
      </c>
      <c r="C133" s="154" t="s">
        <v>4743</v>
      </c>
      <c r="D133" s="154" t="s">
        <v>7121</v>
      </c>
      <c r="E133" s="154" t="s">
        <v>7609</v>
      </c>
      <c r="F133" s="154" t="s">
        <v>7610</v>
      </c>
      <c r="G133" s="154" t="s">
        <v>7611</v>
      </c>
      <c r="H133" s="154" t="s">
        <v>7612</v>
      </c>
      <c r="I133" s="154" t="s">
        <v>7123</v>
      </c>
    </row>
    <row r="134" customFormat="false" ht="76" hidden="false" customHeight="true" outlineLevel="0" collapsed="false">
      <c r="A134" s="154" t="s">
        <v>6696</v>
      </c>
      <c r="B134" s="154" t="s">
        <v>7124</v>
      </c>
      <c r="C134" s="154" t="s">
        <v>4743</v>
      </c>
      <c r="D134" s="154" t="s">
        <v>7121</v>
      </c>
      <c r="E134" s="154" t="s">
        <v>7613</v>
      </c>
      <c r="F134" s="154" t="s">
        <v>7614</v>
      </c>
      <c r="G134" s="154" t="s">
        <v>7615</v>
      </c>
      <c r="H134" s="154" t="s">
        <v>7616</v>
      </c>
      <c r="I134" s="154" t="s">
        <v>7123</v>
      </c>
    </row>
    <row r="135" customFormat="false" ht="76" hidden="false" customHeight="true" outlineLevel="0" collapsed="false">
      <c r="A135" s="154" t="s">
        <v>6696</v>
      </c>
      <c r="B135" s="154" t="s">
        <v>7152</v>
      </c>
      <c r="C135" s="154" t="s">
        <v>4743</v>
      </c>
      <c r="D135" s="154" t="s">
        <v>7121</v>
      </c>
      <c r="E135" s="154" t="s">
        <v>7617</v>
      </c>
      <c r="F135" s="154" t="s">
        <v>7618</v>
      </c>
      <c r="G135" s="154" t="s">
        <v>7619</v>
      </c>
      <c r="H135" s="154" t="s">
        <v>7620</v>
      </c>
      <c r="I135" s="154" t="s">
        <v>7123</v>
      </c>
    </row>
    <row r="136" customFormat="false" ht="140" hidden="false" customHeight="true" outlineLevel="0" collapsed="false">
      <c r="A136" s="154" t="s">
        <v>6696</v>
      </c>
      <c r="B136" s="154" t="s">
        <v>7152</v>
      </c>
      <c r="C136" s="154" t="s">
        <v>4743</v>
      </c>
      <c r="D136" s="154" t="s">
        <v>7121</v>
      </c>
      <c r="E136" s="154" t="s">
        <v>7621</v>
      </c>
      <c r="F136" s="154" t="s">
        <v>7622</v>
      </c>
      <c r="G136" s="154" t="s">
        <v>7623</v>
      </c>
      <c r="H136" s="154" t="s">
        <v>7624</v>
      </c>
      <c r="I136" s="154" t="s">
        <v>7123</v>
      </c>
    </row>
    <row r="137" customFormat="false" ht="308" hidden="false" customHeight="true" outlineLevel="0" collapsed="false">
      <c r="A137" s="154" t="s">
        <v>6696</v>
      </c>
      <c r="B137" s="154" t="s">
        <v>7152</v>
      </c>
      <c r="C137" s="154" t="s">
        <v>4743</v>
      </c>
      <c r="D137" s="154" t="s">
        <v>7121</v>
      </c>
      <c r="E137" s="154" t="s">
        <v>7625</v>
      </c>
      <c r="F137" s="154" t="s">
        <v>7626</v>
      </c>
      <c r="G137" s="154" t="s">
        <v>7627</v>
      </c>
      <c r="H137" s="154" t="s">
        <v>7628</v>
      </c>
      <c r="I137" s="154" t="s">
        <v>7123</v>
      </c>
    </row>
    <row r="138" customFormat="false" ht="182" hidden="false" customHeight="true" outlineLevel="0" collapsed="false">
      <c r="A138" s="154" t="s">
        <v>6696</v>
      </c>
      <c r="B138" s="154" t="s">
        <v>7152</v>
      </c>
      <c r="C138" s="154" t="s">
        <v>4743</v>
      </c>
      <c r="D138" s="154" t="s">
        <v>7121</v>
      </c>
      <c r="E138" s="154" t="s">
        <v>7629</v>
      </c>
      <c r="F138" s="154" t="s">
        <v>7630</v>
      </c>
      <c r="G138" s="154" t="s">
        <v>7631</v>
      </c>
      <c r="H138" s="154" t="s">
        <v>7632</v>
      </c>
      <c r="I138" s="154" t="s">
        <v>7123</v>
      </c>
    </row>
    <row r="139" customFormat="false" ht="154" hidden="false" customHeight="true" outlineLevel="0" collapsed="false">
      <c r="A139" s="154" t="s">
        <v>6696</v>
      </c>
      <c r="B139" s="154" t="s">
        <v>7152</v>
      </c>
      <c r="C139" s="154" t="s">
        <v>4743</v>
      </c>
      <c r="D139" s="154" t="s">
        <v>7121</v>
      </c>
      <c r="E139" s="154" t="s">
        <v>7633</v>
      </c>
      <c r="F139" s="154" t="s">
        <v>7634</v>
      </c>
      <c r="G139" s="154" t="s">
        <v>7635</v>
      </c>
      <c r="H139" s="154" t="s">
        <v>7636</v>
      </c>
      <c r="I139" s="154" t="s">
        <v>7123</v>
      </c>
    </row>
    <row r="140" customFormat="false" ht="76" hidden="false" customHeight="true" outlineLevel="0" collapsed="false">
      <c r="A140" s="154" t="s">
        <v>6696</v>
      </c>
      <c r="B140" s="154" t="s">
        <v>7152</v>
      </c>
      <c r="C140" s="154" t="s">
        <v>4743</v>
      </c>
      <c r="D140" s="154" t="s">
        <v>7121</v>
      </c>
      <c r="E140" s="154" t="s">
        <v>4744</v>
      </c>
      <c r="F140" s="154" t="s">
        <v>7637</v>
      </c>
      <c r="G140" s="154" t="s">
        <v>7638</v>
      </c>
      <c r="H140" s="154" t="s">
        <v>7143</v>
      </c>
      <c r="I140" s="154" t="s">
        <v>7123</v>
      </c>
    </row>
    <row r="141" customFormat="false" ht="76" hidden="false" customHeight="true" outlineLevel="0" collapsed="false">
      <c r="A141" s="154" t="s">
        <v>6696</v>
      </c>
      <c r="B141" s="154" t="s">
        <v>7152</v>
      </c>
      <c r="C141" s="154" t="s">
        <v>4743</v>
      </c>
      <c r="D141" s="154" t="s">
        <v>7121</v>
      </c>
      <c r="E141" s="154" t="s">
        <v>7639</v>
      </c>
      <c r="F141" s="154" t="s">
        <v>7640</v>
      </c>
      <c r="G141" s="154" t="s">
        <v>7641</v>
      </c>
      <c r="H141" s="154" t="s">
        <v>7642</v>
      </c>
      <c r="I141" s="154" t="s">
        <v>7123</v>
      </c>
    </row>
    <row r="142" customFormat="false" ht="76" hidden="false" customHeight="true" outlineLevel="0" collapsed="false">
      <c r="A142" s="154" t="s">
        <v>6696</v>
      </c>
      <c r="B142" s="154" t="s">
        <v>7152</v>
      </c>
      <c r="C142" s="154" t="s">
        <v>4743</v>
      </c>
      <c r="D142" s="154" t="s">
        <v>7121</v>
      </c>
      <c r="E142" s="154" t="s">
        <v>7643</v>
      </c>
      <c r="F142" s="154" t="s">
        <v>7644</v>
      </c>
      <c r="G142" s="154" t="s">
        <v>7645</v>
      </c>
      <c r="H142" s="154" t="s">
        <v>7646</v>
      </c>
      <c r="I142" s="154" t="s">
        <v>7123</v>
      </c>
    </row>
    <row r="143" customFormat="false" ht="154" hidden="false" customHeight="true" outlineLevel="0" collapsed="false">
      <c r="A143" s="154" t="s">
        <v>6696</v>
      </c>
      <c r="B143" s="154" t="s">
        <v>7185</v>
      </c>
      <c r="C143" s="154" t="s">
        <v>4743</v>
      </c>
      <c r="D143" s="154" t="s">
        <v>7121</v>
      </c>
      <c r="E143" s="154" t="s">
        <v>7647</v>
      </c>
      <c r="F143" s="154" t="s">
        <v>7648</v>
      </c>
      <c r="G143" s="154" t="s">
        <v>7649</v>
      </c>
      <c r="H143" s="154" t="s">
        <v>7650</v>
      </c>
      <c r="I143" s="154" t="s">
        <v>7123</v>
      </c>
    </row>
    <row r="144" customFormat="false" ht="196" hidden="false" customHeight="true" outlineLevel="0" collapsed="false">
      <c r="A144" s="154" t="s">
        <v>6714</v>
      </c>
      <c r="B144" s="154" t="s">
        <v>7120</v>
      </c>
      <c r="C144" s="154" t="s">
        <v>4743</v>
      </c>
      <c r="D144" s="154" t="s">
        <v>7121</v>
      </c>
      <c r="E144" s="154" t="s">
        <v>7651</v>
      </c>
      <c r="F144" s="154" t="s">
        <v>6719</v>
      </c>
      <c r="G144" s="154" t="s">
        <v>6715</v>
      </c>
      <c r="H144" s="154" t="s">
        <v>6731</v>
      </c>
      <c r="I144" s="154" t="s">
        <v>7123</v>
      </c>
    </row>
    <row r="145" customFormat="false" ht="76" hidden="false" customHeight="true" outlineLevel="0" collapsed="false">
      <c r="A145" s="154" t="s">
        <v>6714</v>
      </c>
      <c r="B145" s="154" t="s">
        <v>7124</v>
      </c>
      <c r="C145" s="154" t="s">
        <v>4743</v>
      </c>
      <c r="D145" s="154" t="s">
        <v>7121</v>
      </c>
      <c r="E145" s="154" t="s">
        <v>7652</v>
      </c>
      <c r="F145" s="154" t="s">
        <v>7653</v>
      </c>
      <c r="G145" s="154" t="s">
        <v>7654</v>
      </c>
      <c r="H145" s="154" t="s">
        <v>7655</v>
      </c>
      <c r="I145" s="154" t="s">
        <v>7123</v>
      </c>
    </row>
    <row r="146" customFormat="false" ht="76" hidden="false" customHeight="true" outlineLevel="0" collapsed="false">
      <c r="A146" s="154" t="s">
        <v>6714</v>
      </c>
      <c r="B146" s="154" t="s">
        <v>7124</v>
      </c>
      <c r="C146" s="154" t="s">
        <v>4743</v>
      </c>
      <c r="D146" s="154" t="s">
        <v>7121</v>
      </c>
      <c r="E146" s="154" t="s">
        <v>7129</v>
      </c>
      <c r="F146" s="154" t="s">
        <v>7656</v>
      </c>
      <c r="G146" s="154" t="s">
        <v>7657</v>
      </c>
      <c r="H146" s="154" t="s">
        <v>7132</v>
      </c>
      <c r="I146" s="154" t="s">
        <v>7123</v>
      </c>
    </row>
    <row r="147" customFormat="false" ht="84" hidden="false" customHeight="true" outlineLevel="0" collapsed="false">
      <c r="A147" s="154" t="s">
        <v>6714</v>
      </c>
      <c r="B147" s="154" t="s">
        <v>7124</v>
      </c>
      <c r="C147" s="154" t="s">
        <v>7658</v>
      </c>
      <c r="D147" s="154" t="s">
        <v>7659</v>
      </c>
      <c r="E147" s="154" t="s">
        <v>7660</v>
      </c>
      <c r="F147" s="154" t="s">
        <v>7661</v>
      </c>
      <c r="G147" s="154" t="s">
        <v>7662</v>
      </c>
      <c r="H147" s="154" t="s">
        <v>7663</v>
      </c>
      <c r="I147" s="154" t="s">
        <v>7123</v>
      </c>
    </row>
    <row r="148" customFormat="false" ht="84" hidden="false" customHeight="true" outlineLevel="0" collapsed="false">
      <c r="A148" s="154" t="s">
        <v>6714</v>
      </c>
      <c r="B148" s="154" t="s">
        <v>7124</v>
      </c>
      <c r="C148" s="154" t="s">
        <v>7664</v>
      </c>
      <c r="D148" s="154" t="s">
        <v>7665</v>
      </c>
      <c r="E148" s="154" t="s">
        <v>7666</v>
      </c>
      <c r="F148" s="154" t="s">
        <v>7667</v>
      </c>
      <c r="G148" s="154" t="s">
        <v>7668</v>
      </c>
      <c r="H148" s="154" t="s">
        <v>7669</v>
      </c>
      <c r="I148" s="154" t="s">
        <v>7123</v>
      </c>
    </row>
    <row r="149" customFormat="false" ht="76" hidden="false" customHeight="true" outlineLevel="0" collapsed="false">
      <c r="A149" s="154" t="s">
        <v>6714</v>
      </c>
      <c r="B149" s="154" t="s">
        <v>7124</v>
      </c>
      <c r="C149" s="154" t="s">
        <v>7670</v>
      </c>
      <c r="D149" s="154" t="s">
        <v>7671</v>
      </c>
      <c r="E149" s="154" t="s">
        <v>7672</v>
      </c>
      <c r="F149" s="154" t="s">
        <v>7673</v>
      </c>
      <c r="G149" s="154" t="s">
        <v>7674</v>
      </c>
      <c r="H149" s="154" t="s">
        <v>7675</v>
      </c>
      <c r="I149" s="154" t="s">
        <v>7123</v>
      </c>
    </row>
    <row r="150" customFormat="false" ht="76" hidden="false" customHeight="true" outlineLevel="0" collapsed="false">
      <c r="A150" s="154" t="s">
        <v>6714</v>
      </c>
      <c r="B150" s="154" t="s">
        <v>7124</v>
      </c>
      <c r="C150" s="154" t="s">
        <v>7676</v>
      </c>
      <c r="D150" s="154" t="s">
        <v>7677</v>
      </c>
      <c r="E150" s="154" t="s">
        <v>7678</v>
      </c>
      <c r="F150" s="154" t="s">
        <v>7679</v>
      </c>
      <c r="G150" s="154" t="s">
        <v>7680</v>
      </c>
      <c r="H150" s="154" t="s">
        <v>7681</v>
      </c>
      <c r="I150" s="154" t="s">
        <v>7123</v>
      </c>
    </row>
    <row r="151" customFormat="false" ht="76" hidden="false" customHeight="true" outlineLevel="0" collapsed="false">
      <c r="A151" s="154" t="s">
        <v>6714</v>
      </c>
      <c r="B151" s="154" t="s">
        <v>7124</v>
      </c>
      <c r="C151" s="154" t="s">
        <v>7682</v>
      </c>
      <c r="D151" s="154" t="s">
        <v>7683</v>
      </c>
      <c r="E151" s="154" t="s">
        <v>7684</v>
      </c>
      <c r="F151" s="154" t="s">
        <v>7685</v>
      </c>
      <c r="G151" s="154" t="s">
        <v>7686</v>
      </c>
      <c r="H151" s="154" t="s">
        <v>7687</v>
      </c>
      <c r="I151" s="154" t="s">
        <v>7123</v>
      </c>
    </row>
    <row r="152" customFormat="false" ht="76" hidden="false" customHeight="true" outlineLevel="0" collapsed="false">
      <c r="A152" s="154" t="s">
        <v>6714</v>
      </c>
      <c r="B152" s="154" t="s">
        <v>7124</v>
      </c>
      <c r="C152" s="154" t="s">
        <v>7688</v>
      </c>
      <c r="D152" s="154" t="s">
        <v>7689</v>
      </c>
      <c r="E152" s="154" t="s">
        <v>7690</v>
      </c>
      <c r="F152" s="154" t="s">
        <v>7691</v>
      </c>
      <c r="G152" s="154" t="s">
        <v>7692</v>
      </c>
      <c r="H152" s="154" t="s">
        <v>7693</v>
      </c>
      <c r="I152" s="154" t="s">
        <v>7123</v>
      </c>
    </row>
    <row r="153" customFormat="false" ht="76" hidden="false" customHeight="true" outlineLevel="0" collapsed="false">
      <c r="A153" s="154" t="s">
        <v>6714</v>
      </c>
      <c r="B153" s="154" t="s">
        <v>7124</v>
      </c>
      <c r="C153" s="154" t="s">
        <v>7694</v>
      </c>
      <c r="D153" s="154" t="s">
        <v>7695</v>
      </c>
      <c r="E153" s="154" t="s">
        <v>7696</v>
      </c>
      <c r="F153" s="154" t="s">
        <v>7697</v>
      </c>
      <c r="G153" s="154" t="s">
        <v>7698</v>
      </c>
      <c r="H153" s="154" t="s">
        <v>7699</v>
      </c>
      <c r="I153" s="154" t="s">
        <v>7123</v>
      </c>
    </row>
    <row r="154" customFormat="false" ht="84" hidden="false" customHeight="true" outlineLevel="0" collapsed="false">
      <c r="A154" s="154" t="s">
        <v>6714</v>
      </c>
      <c r="B154" s="154" t="s">
        <v>7124</v>
      </c>
      <c r="C154" s="154" t="s">
        <v>7700</v>
      </c>
      <c r="D154" s="154" t="s">
        <v>7701</v>
      </c>
      <c r="E154" s="154" t="s">
        <v>7702</v>
      </c>
      <c r="F154" s="154" t="s">
        <v>7703</v>
      </c>
      <c r="G154" s="154" t="s">
        <v>7704</v>
      </c>
      <c r="H154" s="154" t="s">
        <v>7705</v>
      </c>
      <c r="I154" s="154" t="s">
        <v>7123</v>
      </c>
    </row>
    <row r="155" customFormat="false" ht="76" hidden="false" customHeight="true" outlineLevel="0" collapsed="false">
      <c r="A155" s="154" t="s">
        <v>6714</v>
      </c>
      <c r="B155" s="154" t="s">
        <v>7124</v>
      </c>
      <c r="C155" s="154" t="s">
        <v>7706</v>
      </c>
      <c r="D155" s="154" t="s">
        <v>7707</v>
      </c>
      <c r="E155" s="154" t="s">
        <v>7708</v>
      </c>
      <c r="F155" s="154" t="s">
        <v>7709</v>
      </c>
      <c r="G155" s="154" t="s">
        <v>7710</v>
      </c>
      <c r="H155" s="154" t="s">
        <v>7711</v>
      </c>
      <c r="I155" s="154" t="s">
        <v>7123</v>
      </c>
    </row>
    <row r="156" customFormat="false" ht="84" hidden="false" customHeight="true" outlineLevel="0" collapsed="false">
      <c r="A156" s="154" t="s">
        <v>6714</v>
      </c>
      <c r="B156" s="154" t="s">
        <v>7124</v>
      </c>
      <c r="C156" s="154" t="s">
        <v>7712</v>
      </c>
      <c r="D156" s="154" t="s">
        <v>7713</v>
      </c>
      <c r="E156" s="154" t="s">
        <v>7714</v>
      </c>
      <c r="F156" s="154" t="s">
        <v>7715</v>
      </c>
      <c r="G156" s="154" t="s">
        <v>7716</v>
      </c>
      <c r="H156" s="154" t="s">
        <v>7717</v>
      </c>
      <c r="I156" s="154" t="s">
        <v>7123</v>
      </c>
    </row>
    <row r="157" customFormat="false" ht="182" hidden="false" customHeight="true" outlineLevel="0" collapsed="false">
      <c r="A157" s="154" t="s">
        <v>6714</v>
      </c>
      <c r="B157" s="154" t="s">
        <v>7124</v>
      </c>
      <c r="C157" s="154" t="s">
        <v>4743</v>
      </c>
      <c r="D157" s="154" t="s">
        <v>7121</v>
      </c>
      <c r="E157" s="154" t="s">
        <v>7718</v>
      </c>
      <c r="F157" s="154" t="s">
        <v>7719</v>
      </c>
      <c r="G157" s="154" t="s">
        <v>7720</v>
      </c>
      <c r="H157" s="154" t="s">
        <v>7721</v>
      </c>
      <c r="I157" s="154" t="s">
        <v>7123</v>
      </c>
    </row>
    <row r="158" customFormat="false" ht="76" hidden="false" customHeight="true" outlineLevel="0" collapsed="false">
      <c r="A158" s="154" t="s">
        <v>6714</v>
      </c>
      <c r="B158" s="154" t="s">
        <v>7124</v>
      </c>
      <c r="C158" s="154" t="s">
        <v>4743</v>
      </c>
      <c r="D158" s="154" t="s">
        <v>7121</v>
      </c>
      <c r="E158" s="154" t="s">
        <v>4744</v>
      </c>
      <c r="F158" s="154" t="s">
        <v>7722</v>
      </c>
      <c r="G158" s="154" t="s">
        <v>7723</v>
      </c>
      <c r="H158" s="154" t="s">
        <v>7143</v>
      </c>
      <c r="I158" s="154" t="s">
        <v>7123</v>
      </c>
    </row>
    <row r="159" customFormat="false" ht="76" hidden="false" customHeight="true" outlineLevel="0" collapsed="false">
      <c r="A159" s="154" t="s">
        <v>6714</v>
      </c>
      <c r="B159" s="154" t="s">
        <v>7124</v>
      </c>
      <c r="C159" s="154" t="s">
        <v>4743</v>
      </c>
      <c r="D159" s="154" t="s">
        <v>7121</v>
      </c>
      <c r="E159" s="154" t="s">
        <v>7724</v>
      </c>
      <c r="F159" s="154" t="s">
        <v>7725</v>
      </c>
      <c r="G159" s="154" t="s">
        <v>7726</v>
      </c>
      <c r="H159" s="154" t="s">
        <v>7727</v>
      </c>
      <c r="I159" s="154" t="s">
        <v>7123</v>
      </c>
    </row>
    <row r="160" customFormat="false" ht="76" hidden="false" customHeight="true" outlineLevel="0" collapsed="false">
      <c r="A160" s="154" t="s">
        <v>6714</v>
      </c>
      <c r="B160" s="154" t="s">
        <v>7124</v>
      </c>
      <c r="C160" s="154" t="s">
        <v>4743</v>
      </c>
      <c r="D160" s="154" t="s">
        <v>7121</v>
      </c>
      <c r="E160" s="154" t="s">
        <v>7728</v>
      </c>
      <c r="F160" s="154" t="s">
        <v>7729</v>
      </c>
      <c r="G160" s="154" t="s">
        <v>7730</v>
      </c>
      <c r="H160" s="154" t="s">
        <v>7731</v>
      </c>
      <c r="I160" s="154" t="s">
        <v>7123</v>
      </c>
    </row>
    <row r="161" customFormat="false" ht="76" hidden="false" customHeight="true" outlineLevel="0" collapsed="false">
      <c r="A161" s="154" t="s">
        <v>6714</v>
      </c>
      <c r="B161" s="154" t="s">
        <v>7152</v>
      </c>
      <c r="C161" s="154" t="s">
        <v>4743</v>
      </c>
      <c r="D161" s="154" t="s">
        <v>7121</v>
      </c>
      <c r="E161" s="154" t="s">
        <v>7732</v>
      </c>
      <c r="F161" s="154" t="s">
        <v>7733</v>
      </c>
      <c r="G161" s="154" t="s">
        <v>7734</v>
      </c>
      <c r="H161" s="154" t="s">
        <v>7735</v>
      </c>
      <c r="I161" s="154" t="s">
        <v>7123</v>
      </c>
    </row>
    <row r="162" customFormat="false" ht="84" hidden="false" customHeight="true" outlineLevel="0" collapsed="false">
      <c r="A162" s="154" t="s">
        <v>6714</v>
      </c>
      <c r="B162" s="154" t="s">
        <v>7152</v>
      </c>
      <c r="C162" s="154" t="s">
        <v>4743</v>
      </c>
      <c r="D162" s="154" t="s">
        <v>7121</v>
      </c>
      <c r="E162" s="154" t="s">
        <v>7736</v>
      </c>
      <c r="F162" s="154" t="s">
        <v>7737</v>
      </c>
      <c r="G162" s="154" t="s">
        <v>7738</v>
      </c>
      <c r="H162" s="154" t="s">
        <v>7739</v>
      </c>
      <c r="I162" s="154" t="s">
        <v>7123</v>
      </c>
    </row>
    <row r="163" customFormat="false" ht="84" hidden="false" customHeight="true" outlineLevel="0" collapsed="false">
      <c r="A163" s="154" t="s">
        <v>6714</v>
      </c>
      <c r="B163" s="154" t="s">
        <v>7152</v>
      </c>
      <c r="C163" s="154" t="s">
        <v>4743</v>
      </c>
      <c r="D163" s="154" t="s">
        <v>7121</v>
      </c>
      <c r="E163" s="154" t="s">
        <v>7740</v>
      </c>
      <c r="F163" s="154" t="s">
        <v>7741</v>
      </c>
      <c r="G163" s="154" t="s">
        <v>7742</v>
      </c>
      <c r="H163" s="154" t="s">
        <v>7743</v>
      </c>
      <c r="I163" s="154" t="s">
        <v>7123</v>
      </c>
    </row>
    <row r="164" customFormat="false" ht="238" hidden="false" customHeight="true" outlineLevel="0" collapsed="false">
      <c r="A164" s="154" t="s">
        <v>6714</v>
      </c>
      <c r="B164" s="154" t="s">
        <v>7152</v>
      </c>
      <c r="C164" s="154" t="s">
        <v>4743</v>
      </c>
      <c r="D164" s="154" t="s">
        <v>7121</v>
      </c>
      <c r="E164" s="154" t="s">
        <v>7744</v>
      </c>
      <c r="F164" s="154" t="s">
        <v>7745</v>
      </c>
      <c r="G164" s="154" t="s">
        <v>7746</v>
      </c>
      <c r="H164" s="154" t="s">
        <v>7747</v>
      </c>
      <c r="I164" s="154" t="s">
        <v>7123</v>
      </c>
    </row>
    <row r="165" customFormat="false" ht="182" hidden="false" customHeight="true" outlineLevel="0" collapsed="false">
      <c r="A165" s="154" t="s">
        <v>6714</v>
      </c>
      <c r="B165" s="154" t="s">
        <v>7152</v>
      </c>
      <c r="C165" s="154" t="s">
        <v>4743</v>
      </c>
      <c r="D165" s="154" t="s">
        <v>7121</v>
      </c>
      <c r="E165" s="154" t="s">
        <v>7748</v>
      </c>
      <c r="F165" s="154" t="s">
        <v>7749</v>
      </c>
      <c r="G165" s="154" t="s">
        <v>7750</v>
      </c>
      <c r="H165" s="154" t="s">
        <v>7751</v>
      </c>
      <c r="I165" s="154" t="s">
        <v>7123</v>
      </c>
    </row>
    <row r="166" customFormat="false" ht="76" hidden="false" customHeight="true" outlineLevel="0" collapsed="false">
      <c r="A166" s="154" t="s">
        <v>6714</v>
      </c>
      <c r="B166" s="154" t="s">
        <v>7152</v>
      </c>
      <c r="C166" s="154" t="s">
        <v>4743</v>
      </c>
      <c r="D166" s="154" t="s">
        <v>7121</v>
      </c>
      <c r="E166" s="154" t="s">
        <v>7752</v>
      </c>
      <c r="F166" s="154" t="s">
        <v>7753</v>
      </c>
      <c r="G166" s="154" t="s">
        <v>7754</v>
      </c>
      <c r="H166" s="154" t="s">
        <v>7755</v>
      </c>
      <c r="I166" s="154" t="s">
        <v>7123</v>
      </c>
    </row>
    <row r="167" customFormat="false" ht="76" hidden="false" customHeight="true" outlineLevel="0" collapsed="false">
      <c r="A167" s="154" t="s">
        <v>6714</v>
      </c>
      <c r="B167" s="154" t="s">
        <v>7152</v>
      </c>
      <c r="C167" s="154" t="s">
        <v>4743</v>
      </c>
      <c r="D167" s="154" t="s">
        <v>7121</v>
      </c>
      <c r="E167" s="154" t="s">
        <v>7756</v>
      </c>
      <c r="F167" s="154" t="s">
        <v>7757</v>
      </c>
      <c r="G167" s="154" t="s">
        <v>7758</v>
      </c>
      <c r="H167" s="154" t="s">
        <v>7759</v>
      </c>
      <c r="I167" s="154" t="s">
        <v>7123</v>
      </c>
    </row>
    <row r="168" customFormat="false" ht="154" hidden="false" customHeight="true" outlineLevel="0" collapsed="false">
      <c r="A168" s="154" t="s">
        <v>6714</v>
      </c>
      <c r="B168" s="154" t="s">
        <v>7185</v>
      </c>
      <c r="C168" s="154" t="s">
        <v>4743</v>
      </c>
      <c r="D168" s="154" t="s">
        <v>7121</v>
      </c>
      <c r="E168" s="154" t="s">
        <v>7760</v>
      </c>
      <c r="F168" s="154" t="s">
        <v>7761</v>
      </c>
      <c r="G168" s="154" t="s">
        <v>7762</v>
      </c>
      <c r="H168" s="154" t="s">
        <v>7763</v>
      </c>
      <c r="I168" s="154" t="s">
        <v>7123</v>
      </c>
    </row>
    <row r="169" customFormat="false" ht="196" hidden="false" customHeight="true" outlineLevel="0" collapsed="false">
      <c r="A169" s="154" t="s">
        <v>6734</v>
      </c>
      <c r="B169" s="154" t="s">
        <v>7120</v>
      </c>
      <c r="C169" s="154" t="s">
        <v>4743</v>
      </c>
      <c r="D169" s="154" t="s">
        <v>7121</v>
      </c>
      <c r="E169" s="154" t="s">
        <v>7764</v>
      </c>
      <c r="F169" s="154" t="s">
        <v>6739</v>
      </c>
      <c r="G169" s="154" t="s">
        <v>6735</v>
      </c>
      <c r="H169" s="154" t="s">
        <v>6750</v>
      </c>
      <c r="I169" s="154" t="s">
        <v>7123</v>
      </c>
    </row>
    <row r="170" customFormat="false" ht="76" hidden="false" customHeight="true" outlineLevel="0" collapsed="false">
      <c r="A170" s="154" t="s">
        <v>6734</v>
      </c>
      <c r="B170" s="154" t="s">
        <v>7124</v>
      </c>
      <c r="C170" s="154" t="s">
        <v>4743</v>
      </c>
      <c r="D170" s="154" t="s">
        <v>7121</v>
      </c>
      <c r="E170" s="154" t="s">
        <v>7765</v>
      </c>
      <c r="F170" s="154" t="s">
        <v>7766</v>
      </c>
      <c r="G170" s="154" t="s">
        <v>7767</v>
      </c>
      <c r="H170" s="154" t="s">
        <v>7768</v>
      </c>
      <c r="I170" s="154" t="s">
        <v>7123</v>
      </c>
    </row>
    <row r="171" customFormat="false" ht="76" hidden="false" customHeight="true" outlineLevel="0" collapsed="false">
      <c r="A171" s="154" t="s">
        <v>6734</v>
      </c>
      <c r="B171" s="154" t="s">
        <v>7124</v>
      </c>
      <c r="C171" s="154" t="s">
        <v>4743</v>
      </c>
      <c r="D171" s="154" t="s">
        <v>7121</v>
      </c>
      <c r="E171" s="154" t="s">
        <v>7129</v>
      </c>
      <c r="F171" s="154" t="s">
        <v>7769</v>
      </c>
      <c r="G171" s="154" t="s">
        <v>7770</v>
      </c>
      <c r="H171" s="154" t="s">
        <v>7132</v>
      </c>
      <c r="I171" s="154" t="s">
        <v>7123</v>
      </c>
    </row>
    <row r="172" customFormat="false" ht="126" hidden="false" customHeight="true" outlineLevel="0" collapsed="false">
      <c r="A172" s="154" t="s">
        <v>6734</v>
      </c>
      <c r="B172" s="154" t="s">
        <v>7124</v>
      </c>
      <c r="C172" s="154" t="s">
        <v>4743</v>
      </c>
      <c r="D172" s="154" t="s">
        <v>7121</v>
      </c>
      <c r="E172" s="154" t="s">
        <v>7771</v>
      </c>
      <c r="F172" s="154" t="s">
        <v>7772</v>
      </c>
      <c r="G172" s="154" t="s">
        <v>7773</v>
      </c>
      <c r="H172" s="154" t="s">
        <v>7774</v>
      </c>
      <c r="I172" s="154" t="s">
        <v>7123</v>
      </c>
    </row>
    <row r="173" customFormat="false" ht="322" hidden="false" customHeight="true" outlineLevel="0" collapsed="false">
      <c r="A173" s="154" t="s">
        <v>6734</v>
      </c>
      <c r="B173" s="154" t="s">
        <v>7124</v>
      </c>
      <c r="C173" s="154" t="s">
        <v>4743</v>
      </c>
      <c r="D173" s="154" t="s">
        <v>7121</v>
      </c>
      <c r="E173" s="154" t="s">
        <v>7775</v>
      </c>
      <c r="F173" s="154" t="s">
        <v>7776</v>
      </c>
      <c r="G173" s="154" t="s">
        <v>7777</v>
      </c>
      <c r="H173" s="154" t="s">
        <v>7778</v>
      </c>
      <c r="I173" s="154" t="s">
        <v>7123</v>
      </c>
    </row>
    <row r="174" customFormat="false" ht="76" hidden="false" customHeight="true" outlineLevel="0" collapsed="false">
      <c r="A174" s="154" t="s">
        <v>6734</v>
      </c>
      <c r="B174" s="154" t="s">
        <v>7124</v>
      </c>
      <c r="C174" s="154" t="s">
        <v>4743</v>
      </c>
      <c r="D174" s="154" t="s">
        <v>7121</v>
      </c>
      <c r="E174" s="154" t="s">
        <v>4744</v>
      </c>
      <c r="F174" s="154" t="s">
        <v>7779</v>
      </c>
      <c r="G174" s="154" t="s">
        <v>7780</v>
      </c>
      <c r="H174" s="154" t="s">
        <v>7143</v>
      </c>
      <c r="I174" s="154" t="s">
        <v>7123</v>
      </c>
    </row>
    <row r="175" customFormat="false" ht="76" hidden="false" customHeight="true" outlineLevel="0" collapsed="false">
      <c r="A175" s="154" t="s">
        <v>6734</v>
      </c>
      <c r="B175" s="154" t="s">
        <v>7124</v>
      </c>
      <c r="C175" s="154" t="s">
        <v>4743</v>
      </c>
      <c r="D175" s="154" t="s">
        <v>7121</v>
      </c>
      <c r="E175" s="154" t="s">
        <v>7781</v>
      </c>
      <c r="F175" s="154" t="s">
        <v>7782</v>
      </c>
      <c r="G175" s="154" t="s">
        <v>7783</v>
      </c>
      <c r="H175" s="154" t="s">
        <v>7784</v>
      </c>
      <c r="I175" s="154" t="s">
        <v>7123</v>
      </c>
    </row>
    <row r="176" customFormat="false" ht="76" hidden="false" customHeight="true" outlineLevel="0" collapsed="false">
      <c r="A176" s="154" t="s">
        <v>6734</v>
      </c>
      <c r="B176" s="154" t="s">
        <v>7124</v>
      </c>
      <c r="C176" s="154" t="s">
        <v>4743</v>
      </c>
      <c r="D176" s="154" t="s">
        <v>7121</v>
      </c>
      <c r="E176" s="154" t="s">
        <v>7785</v>
      </c>
      <c r="F176" s="154" t="s">
        <v>7786</v>
      </c>
      <c r="G176" s="154" t="s">
        <v>7787</v>
      </c>
      <c r="H176" s="154" t="s">
        <v>7788</v>
      </c>
      <c r="I176" s="154" t="s">
        <v>7123</v>
      </c>
    </row>
    <row r="177" customFormat="false" ht="76" hidden="false" customHeight="true" outlineLevel="0" collapsed="false">
      <c r="A177" s="154" t="s">
        <v>6734</v>
      </c>
      <c r="B177" s="154" t="s">
        <v>7152</v>
      </c>
      <c r="C177" s="154" t="s">
        <v>4743</v>
      </c>
      <c r="D177" s="154" t="s">
        <v>7121</v>
      </c>
      <c r="E177" s="154" t="s">
        <v>7789</v>
      </c>
      <c r="F177" s="154" t="s">
        <v>7790</v>
      </c>
      <c r="G177" s="154" t="s">
        <v>7791</v>
      </c>
      <c r="H177" s="154" t="s">
        <v>7792</v>
      </c>
      <c r="I177" s="154" t="s">
        <v>7123</v>
      </c>
    </row>
    <row r="178" customFormat="false" ht="84" hidden="false" customHeight="true" outlineLevel="0" collapsed="false">
      <c r="A178" s="154" t="s">
        <v>6734</v>
      </c>
      <c r="B178" s="154" t="s">
        <v>7152</v>
      </c>
      <c r="C178" s="154" t="s">
        <v>4743</v>
      </c>
      <c r="D178" s="154" t="s">
        <v>7121</v>
      </c>
      <c r="E178" s="154" t="s">
        <v>7793</v>
      </c>
      <c r="F178" s="154" t="s">
        <v>7794</v>
      </c>
      <c r="G178" s="154" t="s">
        <v>7795</v>
      </c>
      <c r="H178" s="154" t="s">
        <v>7796</v>
      </c>
      <c r="I178" s="154" t="s">
        <v>7123</v>
      </c>
    </row>
    <row r="179" customFormat="false" ht="84" hidden="false" customHeight="true" outlineLevel="0" collapsed="false">
      <c r="A179" s="154" t="s">
        <v>6734</v>
      </c>
      <c r="B179" s="154" t="s">
        <v>7152</v>
      </c>
      <c r="C179" s="154" t="s">
        <v>4743</v>
      </c>
      <c r="D179" s="154" t="s">
        <v>7121</v>
      </c>
      <c r="E179" s="154" t="s">
        <v>7797</v>
      </c>
      <c r="F179" s="154" t="s">
        <v>7798</v>
      </c>
      <c r="G179" s="154" t="s">
        <v>7799</v>
      </c>
      <c r="H179" s="154" t="s">
        <v>7800</v>
      </c>
      <c r="I179" s="154" t="s">
        <v>7123</v>
      </c>
    </row>
    <row r="180" customFormat="false" ht="182" hidden="false" customHeight="true" outlineLevel="0" collapsed="false">
      <c r="A180" s="154" t="s">
        <v>6734</v>
      </c>
      <c r="B180" s="154" t="s">
        <v>7152</v>
      </c>
      <c r="C180" s="154" t="s">
        <v>4743</v>
      </c>
      <c r="D180" s="154" t="s">
        <v>7121</v>
      </c>
      <c r="E180" s="154" t="s">
        <v>7801</v>
      </c>
      <c r="F180" s="154" t="s">
        <v>7802</v>
      </c>
      <c r="G180" s="154" t="s">
        <v>7803</v>
      </c>
      <c r="H180" s="154" t="s">
        <v>7804</v>
      </c>
      <c r="I180" s="154" t="s">
        <v>7123</v>
      </c>
    </row>
    <row r="181" customFormat="false" ht="182" hidden="false" customHeight="true" outlineLevel="0" collapsed="false">
      <c r="A181" s="154" t="s">
        <v>6734</v>
      </c>
      <c r="B181" s="154" t="s">
        <v>7152</v>
      </c>
      <c r="C181" s="154" t="s">
        <v>4743</v>
      </c>
      <c r="D181" s="154" t="s">
        <v>7121</v>
      </c>
      <c r="E181" s="154" t="s">
        <v>7805</v>
      </c>
      <c r="F181" s="154" t="s">
        <v>7806</v>
      </c>
      <c r="G181" s="154" t="s">
        <v>7807</v>
      </c>
      <c r="H181" s="154" t="s">
        <v>7808</v>
      </c>
      <c r="I181" s="154" t="s">
        <v>7123</v>
      </c>
    </row>
    <row r="182" customFormat="false" ht="76" hidden="false" customHeight="true" outlineLevel="0" collapsed="false">
      <c r="A182" s="154" t="s">
        <v>6734</v>
      </c>
      <c r="B182" s="154" t="s">
        <v>7152</v>
      </c>
      <c r="C182" s="154" t="s">
        <v>4743</v>
      </c>
      <c r="D182" s="154" t="s">
        <v>7121</v>
      </c>
      <c r="E182" s="154" t="s">
        <v>7809</v>
      </c>
      <c r="F182" s="154" t="s">
        <v>7810</v>
      </c>
      <c r="G182" s="154" t="s">
        <v>7811</v>
      </c>
      <c r="H182" s="154" t="s">
        <v>7812</v>
      </c>
      <c r="I182" s="154" t="s">
        <v>7123</v>
      </c>
    </row>
    <row r="183" customFormat="false" ht="76" hidden="false" customHeight="true" outlineLevel="0" collapsed="false">
      <c r="A183" s="154" t="s">
        <v>6734</v>
      </c>
      <c r="B183" s="154" t="s">
        <v>7152</v>
      </c>
      <c r="C183" s="154" t="s">
        <v>4743</v>
      </c>
      <c r="D183" s="154" t="s">
        <v>7121</v>
      </c>
      <c r="E183" s="154" t="s">
        <v>7813</v>
      </c>
      <c r="F183" s="154" t="s">
        <v>7814</v>
      </c>
      <c r="G183" s="154" t="s">
        <v>7815</v>
      </c>
      <c r="H183" s="154" t="s">
        <v>7816</v>
      </c>
      <c r="I183" s="154" t="s">
        <v>7123</v>
      </c>
    </row>
    <row r="184" customFormat="false" ht="76" hidden="false" customHeight="true" outlineLevel="0" collapsed="false">
      <c r="A184" s="154" t="s">
        <v>6734</v>
      </c>
      <c r="B184" s="154" t="s">
        <v>7152</v>
      </c>
      <c r="C184" s="154" t="s">
        <v>4743</v>
      </c>
      <c r="D184" s="154" t="s">
        <v>7121</v>
      </c>
      <c r="E184" s="154" t="s">
        <v>7817</v>
      </c>
      <c r="F184" s="154" t="s">
        <v>7818</v>
      </c>
      <c r="G184" s="154" t="s">
        <v>7819</v>
      </c>
      <c r="H184" s="154" t="s">
        <v>7820</v>
      </c>
      <c r="I184" s="154" t="s">
        <v>7123</v>
      </c>
    </row>
    <row r="185" customFormat="false" ht="154" hidden="false" customHeight="true" outlineLevel="0" collapsed="false">
      <c r="A185" s="154" t="s">
        <v>6734</v>
      </c>
      <c r="B185" s="154" t="s">
        <v>7185</v>
      </c>
      <c r="C185" s="154" t="s">
        <v>4743</v>
      </c>
      <c r="D185" s="154" t="s">
        <v>7121</v>
      </c>
      <c r="E185" s="154" t="s">
        <v>7821</v>
      </c>
      <c r="F185" s="154" t="s">
        <v>7822</v>
      </c>
      <c r="G185" s="154" t="s">
        <v>7823</v>
      </c>
      <c r="H185" s="154" t="s">
        <v>7824</v>
      </c>
      <c r="I185" s="154" t="s">
        <v>7123</v>
      </c>
    </row>
    <row r="186" customFormat="false" ht="196" hidden="false" customHeight="true" outlineLevel="0" collapsed="false">
      <c r="A186" s="154" t="s">
        <v>6753</v>
      </c>
      <c r="B186" s="154" t="s">
        <v>7120</v>
      </c>
      <c r="C186" s="154" t="s">
        <v>4743</v>
      </c>
      <c r="D186" s="154" t="s">
        <v>7121</v>
      </c>
      <c r="E186" s="154" t="s">
        <v>7825</v>
      </c>
      <c r="F186" s="154" t="s">
        <v>6758</v>
      </c>
      <c r="G186" s="154" t="s">
        <v>6754</v>
      </c>
      <c r="H186" s="154" t="s">
        <v>6768</v>
      </c>
      <c r="I186" s="154" t="s">
        <v>7123</v>
      </c>
    </row>
    <row r="187" customFormat="false" ht="76" hidden="false" customHeight="true" outlineLevel="0" collapsed="false">
      <c r="A187" s="154" t="s">
        <v>6753</v>
      </c>
      <c r="B187" s="154" t="s">
        <v>7124</v>
      </c>
      <c r="C187" s="154" t="s">
        <v>4743</v>
      </c>
      <c r="D187" s="154" t="s">
        <v>7121</v>
      </c>
      <c r="E187" s="154" t="s">
        <v>7826</v>
      </c>
      <c r="F187" s="154" t="s">
        <v>7827</v>
      </c>
      <c r="G187" s="154" t="s">
        <v>7828</v>
      </c>
      <c r="H187" s="154" t="s">
        <v>7829</v>
      </c>
      <c r="I187" s="154" t="s">
        <v>7123</v>
      </c>
    </row>
    <row r="188" customFormat="false" ht="76" hidden="false" customHeight="true" outlineLevel="0" collapsed="false">
      <c r="A188" s="154" t="s">
        <v>6753</v>
      </c>
      <c r="B188" s="154" t="s">
        <v>7124</v>
      </c>
      <c r="C188" s="154" t="s">
        <v>4743</v>
      </c>
      <c r="D188" s="154" t="s">
        <v>7121</v>
      </c>
      <c r="E188" s="154" t="s">
        <v>7129</v>
      </c>
      <c r="F188" s="154" t="s">
        <v>7830</v>
      </c>
      <c r="G188" s="154" t="s">
        <v>7831</v>
      </c>
      <c r="H188" s="154" t="s">
        <v>7132</v>
      </c>
      <c r="I188" s="154" t="s">
        <v>7123</v>
      </c>
    </row>
    <row r="189" customFormat="false" ht="76" hidden="false" customHeight="true" outlineLevel="0" collapsed="false">
      <c r="A189" s="154" t="s">
        <v>6753</v>
      </c>
      <c r="B189" s="154" t="s">
        <v>7124</v>
      </c>
      <c r="C189" s="154" t="s">
        <v>4743</v>
      </c>
      <c r="D189" s="154" t="s">
        <v>7121</v>
      </c>
      <c r="E189" s="154" t="s">
        <v>4744</v>
      </c>
      <c r="F189" s="154" t="s">
        <v>7832</v>
      </c>
      <c r="G189" s="154" t="s">
        <v>7833</v>
      </c>
      <c r="H189" s="154" t="s">
        <v>7143</v>
      </c>
      <c r="I189" s="154" t="s">
        <v>7123</v>
      </c>
    </row>
    <row r="190" customFormat="false" ht="76" hidden="false" customHeight="true" outlineLevel="0" collapsed="false">
      <c r="A190" s="154" t="s">
        <v>6753</v>
      </c>
      <c r="B190" s="154" t="s">
        <v>7124</v>
      </c>
      <c r="C190" s="154" t="s">
        <v>4743</v>
      </c>
      <c r="D190" s="154" t="s">
        <v>7121</v>
      </c>
      <c r="E190" s="154" t="s">
        <v>4744</v>
      </c>
      <c r="F190" s="154" t="s">
        <v>7834</v>
      </c>
      <c r="G190" s="154" t="s">
        <v>7835</v>
      </c>
      <c r="H190" s="154" t="s">
        <v>7143</v>
      </c>
      <c r="I190" s="154" t="s">
        <v>7123</v>
      </c>
    </row>
    <row r="191" customFormat="false" ht="252" hidden="false" customHeight="true" outlineLevel="0" collapsed="false">
      <c r="A191" s="154" t="s">
        <v>6753</v>
      </c>
      <c r="B191" s="154" t="s">
        <v>7124</v>
      </c>
      <c r="C191" s="154" t="s">
        <v>4743</v>
      </c>
      <c r="D191" s="154" t="s">
        <v>7121</v>
      </c>
      <c r="E191" s="154" t="s">
        <v>7836</v>
      </c>
      <c r="F191" s="154" t="s">
        <v>7837</v>
      </c>
      <c r="G191" s="154" t="s">
        <v>7838</v>
      </c>
      <c r="H191" s="154" t="s">
        <v>7839</v>
      </c>
      <c r="I191" s="154" t="s">
        <v>7123</v>
      </c>
    </row>
    <row r="192" customFormat="false" ht="252" hidden="false" customHeight="true" outlineLevel="0" collapsed="false">
      <c r="A192" s="154" t="s">
        <v>6753</v>
      </c>
      <c r="B192" s="154" t="s">
        <v>7124</v>
      </c>
      <c r="C192" s="154" t="s">
        <v>4743</v>
      </c>
      <c r="D192" s="154" t="s">
        <v>7121</v>
      </c>
      <c r="E192" s="154" t="s">
        <v>7836</v>
      </c>
      <c r="F192" s="154" t="s">
        <v>7840</v>
      </c>
      <c r="G192" s="154" t="s">
        <v>7841</v>
      </c>
      <c r="H192" s="154" t="s">
        <v>7839</v>
      </c>
      <c r="I192" s="154" t="s">
        <v>7123</v>
      </c>
    </row>
    <row r="193" customFormat="false" ht="76" hidden="false" customHeight="true" outlineLevel="0" collapsed="false">
      <c r="A193" s="154" t="s">
        <v>6753</v>
      </c>
      <c r="B193" s="154" t="s">
        <v>7124</v>
      </c>
      <c r="C193" s="154" t="s">
        <v>4743</v>
      </c>
      <c r="D193" s="154" t="s">
        <v>7121</v>
      </c>
      <c r="E193" s="154" t="s">
        <v>7842</v>
      </c>
      <c r="F193" s="154" t="s">
        <v>7843</v>
      </c>
      <c r="G193" s="154" t="s">
        <v>7844</v>
      </c>
      <c r="H193" s="154" t="s">
        <v>7845</v>
      </c>
      <c r="I193" s="154" t="s">
        <v>7123</v>
      </c>
    </row>
    <row r="194" customFormat="false" ht="76" hidden="false" customHeight="true" outlineLevel="0" collapsed="false">
      <c r="A194" s="154" t="s">
        <v>6753</v>
      </c>
      <c r="B194" s="154" t="s">
        <v>7152</v>
      </c>
      <c r="C194" s="154" t="s">
        <v>4743</v>
      </c>
      <c r="D194" s="154" t="s">
        <v>7121</v>
      </c>
      <c r="E194" s="154" t="s">
        <v>7846</v>
      </c>
      <c r="F194" s="154" t="s">
        <v>7847</v>
      </c>
      <c r="G194" s="154" t="s">
        <v>7848</v>
      </c>
      <c r="H194" s="154" t="s">
        <v>7849</v>
      </c>
      <c r="I194" s="154" t="s">
        <v>7123</v>
      </c>
    </row>
    <row r="195" customFormat="false" ht="76" hidden="false" customHeight="true" outlineLevel="0" collapsed="false">
      <c r="A195" s="154" t="s">
        <v>6753</v>
      </c>
      <c r="B195" s="154" t="s">
        <v>7152</v>
      </c>
      <c r="C195" s="154" t="s">
        <v>4743</v>
      </c>
      <c r="D195" s="154" t="s">
        <v>7121</v>
      </c>
      <c r="E195" s="154" t="s">
        <v>7850</v>
      </c>
      <c r="F195" s="154" t="s">
        <v>7851</v>
      </c>
      <c r="G195" s="154" t="s">
        <v>7852</v>
      </c>
      <c r="H195" s="154" t="s">
        <v>7853</v>
      </c>
      <c r="I195" s="154" t="s">
        <v>7123</v>
      </c>
    </row>
    <row r="196" customFormat="false" ht="126" hidden="false" customHeight="true" outlineLevel="0" collapsed="false">
      <c r="A196" s="154" t="s">
        <v>6753</v>
      </c>
      <c r="B196" s="154" t="s">
        <v>7152</v>
      </c>
      <c r="C196" s="154" t="s">
        <v>4743</v>
      </c>
      <c r="D196" s="154" t="s">
        <v>7121</v>
      </c>
      <c r="E196" s="154" t="s">
        <v>7854</v>
      </c>
      <c r="F196" s="154" t="s">
        <v>7855</v>
      </c>
      <c r="G196" s="154" t="s">
        <v>7856</v>
      </c>
      <c r="H196" s="154" t="s">
        <v>7857</v>
      </c>
      <c r="I196" s="154" t="s">
        <v>7123</v>
      </c>
    </row>
    <row r="197" customFormat="false" ht="76" hidden="false" customHeight="true" outlineLevel="0" collapsed="false">
      <c r="A197" s="154" t="s">
        <v>6753</v>
      </c>
      <c r="B197" s="154" t="s">
        <v>7152</v>
      </c>
      <c r="C197" s="154" t="s">
        <v>4743</v>
      </c>
      <c r="D197" s="154" t="s">
        <v>7121</v>
      </c>
      <c r="E197" s="154" t="s">
        <v>7858</v>
      </c>
      <c r="F197" s="154" t="s">
        <v>7859</v>
      </c>
      <c r="G197" s="154" t="s">
        <v>7860</v>
      </c>
      <c r="H197" s="154" t="s">
        <v>7861</v>
      </c>
      <c r="I197" s="154" t="s">
        <v>7123</v>
      </c>
    </row>
    <row r="198" customFormat="false" ht="238" hidden="false" customHeight="true" outlineLevel="0" collapsed="false">
      <c r="A198" s="154" t="s">
        <v>6753</v>
      </c>
      <c r="B198" s="154" t="s">
        <v>7152</v>
      </c>
      <c r="C198" s="154" t="s">
        <v>4743</v>
      </c>
      <c r="D198" s="154" t="s">
        <v>7121</v>
      </c>
      <c r="E198" s="154" t="s">
        <v>7862</v>
      </c>
      <c r="F198" s="154" t="s">
        <v>7863</v>
      </c>
      <c r="G198" s="154" t="s">
        <v>7864</v>
      </c>
      <c r="H198" s="154" t="s">
        <v>7865</v>
      </c>
      <c r="I198" s="154" t="s">
        <v>7123</v>
      </c>
    </row>
    <row r="199" customFormat="false" ht="76" hidden="false" customHeight="true" outlineLevel="0" collapsed="false">
      <c r="A199" s="154" t="s">
        <v>6753</v>
      </c>
      <c r="B199" s="154" t="s">
        <v>7152</v>
      </c>
      <c r="C199" s="154" t="s">
        <v>4743</v>
      </c>
      <c r="D199" s="154" t="s">
        <v>7121</v>
      </c>
      <c r="E199" s="154" t="s">
        <v>7866</v>
      </c>
      <c r="F199" s="154" t="s">
        <v>7867</v>
      </c>
      <c r="G199" s="154" t="s">
        <v>7868</v>
      </c>
      <c r="H199" s="154" t="s">
        <v>7869</v>
      </c>
      <c r="I199" s="154" t="s">
        <v>7123</v>
      </c>
    </row>
    <row r="200" customFormat="false" ht="76" hidden="false" customHeight="true" outlineLevel="0" collapsed="false">
      <c r="A200" s="154" t="s">
        <v>6753</v>
      </c>
      <c r="B200" s="154" t="s">
        <v>7152</v>
      </c>
      <c r="C200" s="154" t="s">
        <v>4743</v>
      </c>
      <c r="D200" s="154" t="s">
        <v>7121</v>
      </c>
      <c r="E200" s="154" t="s">
        <v>7870</v>
      </c>
      <c r="F200" s="154" t="s">
        <v>7871</v>
      </c>
      <c r="G200" s="154" t="s">
        <v>7872</v>
      </c>
      <c r="H200" s="154" t="s">
        <v>7873</v>
      </c>
      <c r="I200" s="154" t="s">
        <v>7123</v>
      </c>
    </row>
    <row r="201" customFormat="false" ht="154" hidden="false" customHeight="true" outlineLevel="0" collapsed="false">
      <c r="A201" s="154" t="s">
        <v>6753</v>
      </c>
      <c r="B201" s="154" t="s">
        <v>7185</v>
      </c>
      <c r="C201" s="154" t="s">
        <v>4743</v>
      </c>
      <c r="D201" s="154" t="s">
        <v>7121</v>
      </c>
      <c r="E201" s="154" t="s">
        <v>7874</v>
      </c>
      <c r="F201" s="154" t="s">
        <v>7875</v>
      </c>
      <c r="G201" s="154" t="s">
        <v>7876</v>
      </c>
      <c r="H201" s="154" t="s">
        <v>7877</v>
      </c>
      <c r="I201" s="154" t="s">
        <v>7123</v>
      </c>
    </row>
    <row r="202" customFormat="false" ht="196" hidden="false" customHeight="true" outlineLevel="0" collapsed="false">
      <c r="A202" s="154" t="s">
        <v>6771</v>
      </c>
      <c r="B202" s="154" t="s">
        <v>7120</v>
      </c>
      <c r="C202" s="154" t="s">
        <v>4743</v>
      </c>
      <c r="D202" s="154" t="s">
        <v>7121</v>
      </c>
      <c r="E202" s="154" t="s">
        <v>7878</v>
      </c>
      <c r="F202" s="154" t="s">
        <v>6776</v>
      </c>
      <c r="G202" s="154" t="s">
        <v>6772</v>
      </c>
      <c r="H202" s="154" t="s">
        <v>6787</v>
      </c>
      <c r="I202" s="154" t="s">
        <v>7123</v>
      </c>
    </row>
    <row r="203" customFormat="false" ht="76" hidden="false" customHeight="true" outlineLevel="0" collapsed="false">
      <c r="A203" s="154" t="s">
        <v>6771</v>
      </c>
      <c r="B203" s="154" t="s">
        <v>7124</v>
      </c>
      <c r="C203" s="154" t="s">
        <v>4743</v>
      </c>
      <c r="D203" s="154" t="s">
        <v>7121</v>
      </c>
      <c r="E203" s="154" t="s">
        <v>7879</v>
      </c>
      <c r="F203" s="154" t="s">
        <v>7880</v>
      </c>
      <c r="G203" s="154" t="s">
        <v>7881</v>
      </c>
      <c r="H203" s="154" t="s">
        <v>7882</v>
      </c>
      <c r="I203" s="154" t="s">
        <v>7123</v>
      </c>
    </row>
    <row r="204" customFormat="false" ht="76" hidden="false" customHeight="true" outlineLevel="0" collapsed="false">
      <c r="A204" s="154" t="s">
        <v>6771</v>
      </c>
      <c r="B204" s="154" t="s">
        <v>7124</v>
      </c>
      <c r="C204" s="154" t="s">
        <v>4743</v>
      </c>
      <c r="D204" s="154" t="s">
        <v>7121</v>
      </c>
      <c r="E204" s="154" t="s">
        <v>7129</v>
      </c>
      <c r="F204" s="154" t="s">
        <v>7883</v>
      </c>
      <c r="G204" s="154" t="s">
        <v>7884</v>
      </c>
      <c r="H204" s="154" t="s">
        <v>7132</v>
      </c>
      <c r="I204" s="154" t="s">
        <v>7123</v>
      </c>
    </row>
    <row r="205" customFormat="false" ht="76" hidden="false" customHeight="true" outlineLevel="0" collapsed="false">
      <c r="A205" s="154" t="s">
        <v>6771</v>
      </c>
      <c r="B205" s="154" t="s">
        <v>7124</v>
      </c>
      <c r="C205" s="154" t="s">
        <v>4743</v>
      </c>
      <c r="D205" s="154" t="s">
        <v>7121</v>
      </c>
      <c r="E205" s="154" t="s">
        <v>4744</v>
      </c>
      <c r="F205" s="154" t="s">
        <v>7885</v>
      </c>
      <c r="G205" s="154" t="s">
        <v>7886</v>
      </c>
      <c r="H205" s="154" t="s">
        <v>7143</v>
      </c>
      <c r="I205" s="154" t="s">
        <v>7123</v>
      </c>
    </row>
    <row r="206" customFormat="false" ht="76" hidden="false" customHeight="true" outlineLevel="0" collapsed="false">
      <c r="A206" s="154" t="s">
        <v>6771</v>
      </c>
      <c r="B206" s="154" t="s">
        <v>7124</v>
      </c>
      <c r="C206" s="154" t="s">
        <v>4743</v>
      </c>
      <c r="D206" s="154" t="s">
        <v>7121</v>
      </c>
      <c r="E206" s="154" t="s">
        <v>4744</v>
      </c>
      <c r="F206" s="154" t="s">
        <v>7887</v>
      </c>
      <c r="G206" s="154" t="s">
        <v>7888</v>
      </c>
      <c r="H206" s="154" t="s">
        <v>7143</v>
      </c>
      <c r="I206" s="154" t="s">
        <v>7123</v>
      </c>
    </row>
    <row r="207" customFormat="false" ht="238" hidden="false" customHeight="true" outlineLevel="0" collapsed="false">
      <c r="A207" s="154" t="s">
        <v>6771</v>
      </c>
      <c r="B207" s="154" t="s">
        <v>7124</v>
      </c>
      <c r="C207" s="154" t="s">
        <v>4743</v>
      </c>
      <c r="D207" s="154" t="s">
        <v>7121</v>
      </c>
      <c r="E207" s="154" t="s">
        <v>7889</v>
      </c>
      <c r="F207" s="154" t="s">
        <v>7890</v>
      </c>
      <c r="G207" s="154" t="s">
        <v>7891</v>
      </c>
      <c r="H207" s="154" t="s">
        <v>7892</v>
      </c>
      <c r="I207" s="154" t="s">
        <v>7123</v>
      </c>
    </row>
    <row r="208" customFormat="false" ht="238" hidden="false" customHeight="true" outlineLevel="0" collapsed="false">
      <c r="A208" s="154" t="s">
        <v>6771</v>
      </c>
      <c r="B208" s="154" t="s">
        <v>7124</v>
      </c>
      <c r="C208" s="154" t="s">
        <v>4743</v>
      </c>
      <c r="D208" s="154" t="s">
        <v>7121</v>
      </c>
      <c r="E208" s="154" t="s">
        <v>7889</v>
      </c>
      <c r="F208" s="154" t="s">
        <v>7893</v>
      </c>
      <c r="G208" s="154" t="s">
        <v>7894</v>
      </c>
      <c r="H208" s="154" t="s">
        <v>7892</v>
      </c>
      <c r="I208" s="154" t="s">
        <v>7123</v>
      </c>
    </row>
    <row r="209" customFormat="false" ht="76" hidden="false" customHeight="true" outlineLevel="0" collapsed="false">
      <c r="A209" s="154" t="s">
        <v>6771</v>
      </c>
      <c r="B209" s="154" t="s">
        <v>7124</v>
      </c>
      <c r="C209" s="154" t="s">
        <v>4743</v>
      </c>
      <c r="D209" s="154" t="s">
        <v>7121</v>
      </c>
      <c r="E209" s="154" t="s">
        <v>7895</v>
      </c>
      <c r="F209" s="154" t="s">
        <v>7896</v>
      </c>
      <c r="G209" s="154" t="s">
        <v>7897</v>
      </c>
      <c r="H209" s="154" t="s">
        <v>7898</v>
      </c>
      <c r="I209" s="154" t="s">
        <v>7123</v>
      </c>
    </row>
    <row r="210" customFormat="false" ht="76" hidden="false" customHeight="true" outlineLevel="0" collapsed="false">
      <c r="A210" s="154" t="s">
        <v>6771</v>
      </c>
      <c r="B210" s="154" t="s">
        <v>7152</v>
      </c>
      <c r="C210" s="154" t="s">
        <v>4743</v>
      </c>
      <c r="D210" s="154" t="s">
        <v>7121</v>
      </c>
      <c r="E210" s="154" t="s">
        <v>7899</v>
      </c>
      <c r="F210" s="154" t="s">
        <v>7900</v>
      </c>
      <c r="G210" s="154" t="s">
        <v>7901</v>
      </c>
      <c r="H210" s="154" t="s">
        <v>7902</v>
      </c>
      <c r="I210" s="154" t="s">
        <v>7123</v>
      </c>
    </row>
    <row r="211" customFormat="false" ht="76" hidden="false" customHeight="true" outlineLevel="0" collapsed="false">
      <c r="A211" s="154" t="s">
        <v>6771</v>
      </c>
      <c r="B211" s="154" t="s">
        <v>7152</v>
      </c>
      <c r="C211" s="154" t="s">
        <v>4743</v>
      </c>
      <c r="D211" s="154" t="s">
        <v>7121</v>
      </c>
      <c r="E211" s="154" t="s">
        <v>7903</v>
      </c>
      <c r="F211" s="154" t="s">
        <v>7904</v>
      </c>
      <c r="G211" s="154" t="s">
        <v>7905</v>
      </c>
      <c r="H211" s="154" t="s">
        <v>7906</v>
      </c>
      <c r="I211" s="154" t="s">
        <v>7123</v>
      </c>
    </row>
    <row r="212" customFormat="false" ht="76" hidden="false" customHeight="true" outlineLevel="0" collapsed="false">
      <c r="A212" s="154" t="s">
        <v>6771</v>
      </c>
      <c r="B212" s="154" t="s">
        <v>7152</v>
      </c>
      <c r="C212" s="154" t="s">
        <v>4743</v>
      </c>
      <c r="D212" s="154" t="s">
        <v>7121</v>
      </c>
      <c r="E212" s="154" t="s">
        <v>7907</v>
      </c>
      <c r="F212" s="154" t="s">
        <v>7908</v>
      </c>
      <c r="G212" s="154" t="s">
        <v>7909</v>
      </c>
      <c r="H212" s="154" t="s">
        <v>7910</v>
      </c>
      <c r="I212" s="154" t="s">
        <v>7123</v>
      </c>
    </row>
    <row r="213" customFormat="false" ht="112" hidden="false" customHeight="true" outlineLevel="0" collapsed="false">
      <c r="A213" s="154" t="s">
        <v>6771</v>
      </c>
      <c r="B213" s="154" t="s">
        <v>7152</v>
      </c>
      <c r="C213" s="154" t="s">
        <v>4743</v>
      </c>
      <c r="D213" s="154" t="s">
        <v>7121</v>
      </c>
      <c r="E213" s="154" t="s">
        <v>7911</v>
      </c>
      <c r="F213" s="154" t="s">
        <v>7912</v>
      </c>
      <c r="G213" s="154" t="s">
        <v>7913</v>
      </c>
      <c r="H213" s="154" t="s">
        <v>7914</v>
      </c>
      <c r="I213" s="154" t="s">
        <v>7123</v>
      </c>
    </row>
    <row r="214" customFormat="false" ht="98" hidden="false" customHeight="true" outlineLevel="0" collapsed="false">
      <c r="A214" s="154" t="s">
        <v>6771</v>
      </c>
      <c r="B214" s="154" t="s">
        <v>7152</v>
      </c>
      <c r="C214" s="154" t="s">
        <v>4743</v>
      </c>
      <c r="D214" s="154" t="s">
        <v>7121</v>
      </c>
      <c r="E214" s="154" t="s">
        <v>7915</v>
      </c>
      <c r="F214" s="154" t="s">
        <v>7916</v>
      </c>
      <c r="G214" s="154" t="s">
        <v>7917</v>
      </c>
      <c r="H214" s="154" t="s">
        <v>7918</v>
      </c>
      <c r="I214" s="154" t="s">
        <v>7123</v>
      </c>
    </row>
    <row r="215" customFormat="false" ht="210" hidden="false" customHeight="true" outlineLevel="0" collapsed="false">
      <c r="A215" s="154" t="s">
        <v>6771</v>
      </c>
      <c r="B215" s="154" t="s">
        <v>7152</v>
      </c>
      <c r="C215" s="154" t="s">
        <v>4743</v>
      </c>
      <c r="D215" s="154" t="s">
        <v>7121</v>
      </c>
      <c r="E215" s="154" t="s">
        <v>7919</v>
      </c>
      <c r="F215" s="154" t="s">
        <v>7920</v>
      </c>
      <c r="G215" s="154" t="s">
        <v>7921</v>
      </c>
      <c r="H215" s="154" t="s">
        <v>7922</v>
      </c>
      <c r="I215" s="154" t="s">
        <v>7123</v>
      </c>
    </row>
    <row r="216" customFormat="false" ht="76" hidden="false" customHeight="true" outlineLevel="0" collapsed="false">
      <c r="A216" s="154" t="s">
        <v>6771</v>
      </c>
      <c r="B216" s="154" t="s">
        <v>7152</v>
      </c>
      <c r="C216" s="154" t="s">
        <v>4743</v>
      </c>
      <c r="D216" s="154" t="s">
        <v>7121</v>
      </c>
      <c r="E216" s="154" t="s">
        <v>7923</v>
      </c>
      <c r="F216" s="154" t="s">
        <v>7924</v>
      </c>
      <c r="G216" s="154" t="s">
        <v>7925</v>
      </c>
      <c r="H216" s="154" t="s">
        <v>7926</v>
      </c>
      <c r="I216" s="154" t="s">
        <v>7123</v>
      </c>
    </row>
    <row r="217" customFormat="false" ht="76" hidden="false" customHeight="true" outlineLevel="0" collapsed="false">
      <c r="A217" s="154" t="s">
        <v>6771</v>
      </c>
      <c r="B217" s="154" t="s">
        <v>7152</v>
      </c>
      <c r="C217" s="154" t="s">
        <v>4743</v>
      </c>
      <c r="D217" s="154" t="s">
        <v>7121</v>
      </c>
      <c r="E217" s="154" t="s">
        <v>7927</v>
      </c>
      <c r="F217" s="154" t="s">
        <v>7928</v>
      </c>
      <c r="G217" s="154" t="s">
        <v>7929</v>
      </c>
      <c r="H217" s="154" t="s">
        <v>7930</v>
      </c>
      <c r="I217" s="154" t="s">
        <v>7123</v>
      </c>
    </row>
    <row r="218" customFormat="false" ht="76" hidden="false" customHeight="true" outlineLevel="0" collapsed="false">
      <c r="A218" s="154" t="s">
        <v>6771</v>
      </c>
      <c r="B218" s="154" t="s">
        <v>7152</v>
      </c>
      <c r="C218" s="154" t="s">
        <v>4743</v>
      </c>
      <c r="D218" s="154" t="s">
        <v>7121</v>
      </c>
      <c r="E218" s="154" t="s">
        <v>7931</v>
      </c>
      <c r="F218" s="154" t="s">
        <v>7932</v>
      </c>
      <c r="G218" s="154" t="s">
        <v>7933</v>
      </c>
      <c r="H218" s="154" t="s">
        <v>7934</v>
      </c>
      <c r="I218" s="154" t="s">
        <v>7123</v>
      </c>
    </row>
    <row r="219" customFormat="false" ht="76" hidden="false" customHeight="true" outlineLevel="0" collapsed="false">
      <c r="A219" s="154" t="s">
        <v>6771</v>
      </c>
      <c r="B219" s="154" t="s">
        <v>7152</v>
      </c>
      <c r="C219" s="154" t="s">
        <v>4743</v>
      </c>
      <c r="D219" s="154" t="s">
        <v>7121</v>
      </c>
      <c r="E219" s="154" t="s">
        <v>7935</v>
      </c>
      <c r="F219" s="154" t="s">
        <v>7936</v>
      </c>
      <c r="G219" s="154" t="s">
        <v>7937</v>
      </c>
      <c r="H219" s="154" t="s">
        <v>7938</v>
      </c>
      <c r="I219" s="154" t="s">
        <v>7123</v>
      </c>
    </row>
    <row r="220" customFormat="false" ht="154" hidden="false" customHeight="true" outlineLevel="0" collapsed="false">
      <c r="A220" s="154" t="s">
        <v>6771</v>
      </c>
      <c r="B220" s="154" t="s">
        <v>7185</v>
      </c>
      <c r="C220" s="154" t="s">
        <v>4743</v>
      </c>
      <c r="D220" s="154" t="s">
        <v>7121</v>
      </c>
      <c r="E220" s="154" t="s">
        <v>7939</v>
      </c>
      <c r="F220" s="154" t="s">
        <v>7940</v>
      </c>
      <c r="G220" s="154" t="s">
        <v>7941</v>
      </c>
      <c r="H220" s="154" t="s">
        <v>7942</v>
      </c>
      <c r="I220" s="154" t="s">
        <v>7123</v>
      </c>
    </row>
    <row r="221" customFormat="false" ht="196" hidden="false" customHeight="true" outlineLevel="0" collapsed="false">
      <c r="A221" s="154" t="s">
        <v>6790</v>
      </c>
      <c r="B221" s="154" t="s">
        <v>7120</v>
      </c>
      <c r="C221" s="154" t="s">
        <v>4743</v>
      </c>
      <c r="D221" s="154" t="s">
        <v>7121</v>
      </c>
      <c r="E221" s="154" t="s">
        <v>7943</v>
      </c>
      <c r="F221" s="154" t="s">
        <v>6795</v>
      </c>
      <c r="G221" s="154" t="s">
        <v>6791</v>
      </c>
      <c r="H221" s="154" t="s">
        <v>6806</v>
      </c>
      <c r="I221" s="154" t="s">
        <v>7123</v>
      </c>
    </row>
    <row r="222" customFormat="false" ht="76" hidden="false" customHeight="true" outlineLevel="0" collapsed="false">
      <c r="A222" s="154" t="s">
        <v>6790</v>
      </c>
      <c r="B222" s="154" t="s">
        <v>7124</v>
      </c>
      <c r="C222" s="154" t="s">
        <v>4743</v>
      </c>
      <c r="D222" s="154" t="s">
        <v>7121</v>
      </c>
      <c r="E222" s="154" t="s">
        <v>7944</v>
      </c>
      <c r="F222" s="154" t="s">
        <v>7945</v>
      </c>
      <c r="G222" s="154" t="s">
        <v>7946</v>
      </c>
      <c r="H222" s="154" t="s">
        <v>7947</v>
      </c>
      <c r="I222" s="154" t="s">
        <v>7123</v>
      </c>
    </row>
    <row r="223" customFormat="false" ht="76" hidden="false" customHeight="true" outlineLevel="0" collapsed="false">
      <c r="A223" s="154" t="s">
        <v>6790</v>
      </c>
      <c r="B223" s="154" t="s">
        <v>7124</v>
      </c>
      <c r="C223" s="154" t="s">
        <v>4743</v>
      </c>
      <c r="D223" s="154" t="s">
        <v>7121</v>
      </c>
      <c r="E223" s="154" t="s">
        <v>7129</v>
      </c>
      <c r="F223" s="154" t="s">
        <v>7948</v>
      </c>
      <c r="G223" s="154" t="s">
        <v>7949</v>
      </c>
      <c r="H223" s="154" t="s">
        <v>7132</v>
      </c>
      <c r="I223" s="154" t="s">
        <v>7123</v>
      </c>
    </row>
    <row r="224" customFormat="false" ht="84" hidden="false" customHeight="true" outlineLevel="0" collapsed="false">
      <c r="A224" s="154" t="s">
        <v>6790</v>
      </c>
      <c r="B224" s="154" t="s">
        <v>7124</v>
      </c>
      <c r="C224" s="154" t="s">
        <v>7950</v>
      </c>
      <c r="D224" s="154" t="s">
        <v>7951</v>
      </c>
      <c r="E224" s="154" t="s">
        <v>7952</v>
      </c>
      <c r="F224" s="154" t="s">
        <v>7953</v>
      </c>
      <c r="G224" s="154" t="s">
        <v>7954</v>
      </c>
      <c r="H224" s="154" t="s">
        <v>7955</v>
      </c>
      <c r="I224" s="154" t="s">
        <v>7123</v>
      </c>
    </row>
    <row r="225" customFormat="false" ht="76" hidden="false" customHeight="true" outlineLevel="0" collapsed="false">
      <c r="A225" s="154" t="s">
        <v>6790</v>
      </c>
      <c r="B225" s="154" t="s">
        <v>7124</v>
      </c>
      <c r="C225" s="154" t="s">
        <v>7956</v>
      </c>
      <c r="D225" s="154" t="s">
        <v>7957</v>
      </c>
      <c r="E225" s="154" t="s">
        <v>7958</v>
      </c>
      <c r="F225" s="154" t="s">
        <v>7959</v>
      </c>
      <c r="G225" s="154" t="s">
        <v>7960</v>
      </c>
      <c r="H225" s="154" t="s">
        <v>7961</v>
      </c>
      <c r="I225" s="154" t="s">
        <v>7123</v>
      </c>
    </row>
    <row r="226" customFormat="false" ht="84" hidden="false" customHeight="true" outlineLevel="0" collapsed="false">
      <c r="A226" s="154" t="s">
        <v>6790</v>
      </c>
      <c r="B226" s="154" t="s">
        <v>7124</v>
      </c>
      <c r="C226" s="154" t="s">
        <v>7962</v>
      </c>
      <c r="D226" s="154" t="s">
        <v>7963</v>
      </c>
      <c r="E226" s="154" t="s">
        <v>7964</v>
      </c>
      <c r="F226" s="154" t="s">
        <v>7965</v>
      </c>
      <c r="G226" s="154" t="s">
        <v>7966</v>
      </c>
      <c r="H226" s="154" t="s">
        <v>7967</v>
      </c>
      <c r="I226" s="154" t="s">
        <v>7123</v>
      </c>
    </row>
    <row r="227" customFormat="false" ht="76" hidden="false" customHeight="true" outlineLevel="0" collapsed="false">
      <c r="A227" s="154" t="s">
        <v>6790</v>
      </c>
      <c r="B227" s="154" t="s">
        <v>7124</v>
      </c>
      <c r="C227" s="154" t="s">
        <v>7968</v>
      </c>
      <c r="D227" s="154" t="s">
        <v>7969</v>
      </c>
      <c r="E227" s="154" t="s">
        <v>7970</v>
      </c>
      <c r="F227" s="154" t="s">
        <v>7971</v>
      </c>
      <c r="G227" s="154" t="s">
        <v>7972</v>
      </c>
      <c r="H227" s="154" t="s">
        <v>7973</v>
      </c>
      <c r="I227" s="154" t="s">
        <v>7123</v>
      </c>
    </row>
    <row r="228" customFormat="false" ht="76" hidden="false" customHeight="true" outlineLevel="0" collapsed="false">
      <c r="A228" s="154" t="s">
        <v>6790</v>
      </c>
      <c r="B228" s="154" t="s">
        <v>7124</v>
      </c>
      <c r="C228" s="154" t="s">
        <v>7974</v>
      </c>
      <c r="D228" s="154" t="s">
        <v>7975</v>
      </c>
      <c r="E228" s="154" t="s">
        <v>7976</v>
      </c>
      <c r="F228" s="154" t="s">
        <v>7977</v>
      </c>
      <c r="G228" s="154" t="s">
        <v>7978</v>
      </c>
      <c r="H228" s="154" t="s">
        <v>7979</v>
      </c>
      <c r="I228" s="154" t="s">
        <v>7123</v>
      </c>
    </row>
    <row r="229" customFormat="false" ht="76" hidden="false" customHeight="true" outlineLevel="0" collapsed="false">
      <c r="A229" s="154" t="s">
        <v>6790</v>
      </c>
      <c r="B229" s="154" t="s">
        <v>7124</v>
      </c>
      <c r="C229" s="154" t="s">
        <v>7980</v>
      </c>
      <c r="D229" s="154" t="s">
        <v>7981</v>
      </c>
      <c r="E229" s="154" t="s">
        <v>7982</v>
      </c>
      <c r="F229" s="154" t="s">
        <v>7983</v>
      </c>
      <c r="G229" s="154" t="s">
        <v>7984</v>
      </c>
      <c r="H229" s="154" t="s">
        <v>7985</v>
      </c>
      <c r="I229" s="154" t="s">
        <v>7123</v>
      </c>
    </row>
    <row r="230" customFormat="false" ht="76" hidden="false" customHeight="true" outlineLevel="0" collapsed="false">
      <c r="A230" s="154" t="s">
        <v>6790</v>
      </c>
      <c r="B230" s="154" t="s">
        <v>7124</v>
      </c>
      <c r="C230" s="154" t="s">
        <v>7986</v>
      </c>
      <c r="D230" s="154" t="s">
        <v>7987</v>
      </c>
      <c r="E230" s="154" t="s">
        <v>7988</v>
      </c>
      <c r="F230" s="154" t="s">
        <v>7989</v>
      </c>
      <c r="G230" s="154" t="s">
        <v>7990</v>
      </c>
      <c r="H230" s="154" t="s">
        <v>7991</v>
      </c>
      <c r="I230" s="154" t="s">
        <v>7123</v>
      </c>
    </row>
    <row r="231" customFormat="false" ht="98" hidden="false" customHeight="true" outlineLevel="0" collapsed="false">
      <c r="A231" s="154" t="s">
        <v>6790</v>
      </c>
      <c r="B231" s="154" t="s">
        <v>7124</v>
      </c>
      <c r="C231" s="154" t="s">
        <v>7992</v>
      </c>
      <c r="D231" s="154" t="s">
        <v>7993</v>
      </c>
      <c r="E231" s="154" t="s">
        <v>7994</v>
      </c>
      <c r="F231" s="154" t="s">
        <v>7995</v>
      </c>
      <c r="G231" s="154" t="s">
        <v>7996</v>
      </c>
      <c r="H231" s="154" t="s">
        <v>7997</v>
      </c>
      <c r="I231" s="154" t="s">
        <v>7123</v>
      </c>
    </row>
    <row r="232" customFormat="false" ht="84" hidden="false" customHeight="true" outlineLevel="0" collapsed="false">
      <c r="A232" s="154" t="s">
        <v>6790</v>
      </c>
      <c r="B232" s="154" t="s">
        <v>7124</v>
      </c>
      <c r="C232" s="154" t="s">
        <v>7998</v>
      </c>
      <c r="D232" s="154" t="s">
        <v>7999</v>
      </c>
      <c r="E232" s="154" t="s">
        <v>8000</v>
      </c>
      <c r="F232" s="154" t="s">
        <v>8001</v>
      </c>
      <c r="G232" s="154" t="s">
        <v>8002</v>
      </c>
      <c r="H232" s="154" t="s">
        <v>8003</v>
      </c>
      <c r="I232" s="154" t="s">
        <v>7123</v>
      </c>
    </row>
    <row r="233" customFormat="false" ht="76" hidden="false" customHeight="true" outlineLevel="0" collapsed="false">
      <c r="A233" s="154" t="s">
        <v>6790</v>
      </c>
      <c r="B233" s="154" t="s">
        <v>7124</v>
      </c>
      <c r="C233" s="154" t="s">
        <v>8004</v>
      </c>
      <c r="D233" s="154" t="s">
        <v>8005</v>
      </c>
      <c r="E233" s="154" t="s">
        <v>8006</v>
      </c>
      <c r="F233" s="154" t="s">
        <v>8007</v>
      </c>
      <c r="G233" s="154" t="s">
        <v>8008</v>
      </c>
      <c r="H233" s="154" t="s">
        <v>8009</v>
      </c>
      <c r="I233" s="154" t="s">
        <v>7123</v>
      </c>
    </row>
    <row r="234" customFormat="false" ht="322" hidden="false" customHeight="true" outlineLevel="0" collapsed="false">
      <c r="A234" s="154" t="s">
        <v>6790</v>
      </c>
      <c r="B234" s="154" t="s">
        <v>7124</v>
      </c>
      <c r="C234" s="154" t="s">
        <v>8010</v>
      </c>
      <c r="D234" s="154" t="s">
        <v>8011</v>
      </c>
      <c r="E234" s="154" t="s">
        <v>8012</v>
      </c>
      <c r="F234" s="154" t="s">
        <v>8013</v>
      </c>
      <c r="G234" s="154" t="s">
        <v>8014</v>
      </c>
      <c r="H234" s="154" t="s">
        <v>8015</v>
      </c>
      <c r="I234" s="154" t="s">
        <v>7123</v>
      </c>
    </row>
    <row r="235" customFormat="false" ht="112" hidden="false" customHeight="true" outlineLevel="0" collapsed="false">
      <c r="A235" s="154" t="s">
        <v>6790</v>
      </c>
      <c r="B235" s="154" t="s">
        <v>7124</v>
      </c>
      <c r="C235" s="154" t="s">
        <v>8016</v>
      </c>
      <c r="D235" s="154" t="s">
        <v>8017</v>
      </c>
      <c r="E235" s="154" t="s">
        <v>8018</v>
      </c>
      <c r="F235" s="154" t="s">
        <v>8019</v>
      </c>
      <c r="G235" s="154" t="s">
        <v>8020</v>
      </c>
      <c r="H235" s="154" t="s">
        <v>8021</v>
      </c>
      <c r="I235" s="154" t="s">
        <v>7123</v>
      </c>
    </row>
    <row r="236" customFormat="false" ht="76" hidden="false" customHeight="true" outlineLevel="0" collapsed="false">
      <c r="A236" s="154" t="s">
        <v>6790</v>
      </c>
      <c r="B236" s="154" t="s">
        <v>7124</v>
      </c>
      <c r="C236" s="154" t="s">
        <v>4743</v>
      </c>
      <c r="D236" s="154" t="s">
        <v>7121</v>
      </c>
      <c r="E236" s="154" t="s">
        <v>4744</v>
      </c>
      <c r="F236" s="154" t="s">
        <v>8022</v>
      </c>
      <c r="G236" s="154" t="s">
        <v>8023</v>
      </c>
      <c r="H236" s="154" t="s">
        <v>7143</v>
      </c>
      <c r="I236" s="154" t="s">
        <v>7123</v>
      </c>
    </row>
    <row r="237" customFormat="false" ht="76" hidden="false" customHeight="true" outlineLevel="0" collapsed="false">
      <c r="A237" s="154" t="s">
        <v>6790</v>
      </c>
      <c r="B237" s="154" t="s">
        <v>7124</v>
      </c>
      <c r="C237" s="154" t="s">
        <v>4743</v>
      </c>
      <c r="D237" s="154" t="s">
        <v>7121</v>
      </c>
      <c r="E237" s="154" t="s">
        <v>8024</v>
      </c>
      <c r="F237" s="154" t="s">
        <v>8025</v>
      </c>
      <c r="G237" s="154" t="s">
        <v>8026</v>
      </c>
      <c r="H237" s="154" t="s">
        <v>8027</v>
      </c>
      <c r="I237" s="154" t="s">
        <v>7123</v>
      </c>
    </row>
    <row r="238" customFormat="false" ht="76" hidden="false" customHeight="true" outlineLevel="0" collapsed="false">
      <c r="A238" s="154" t="s">
        <v>6790</v>
      </c>
      <c r="B238" s="154" t="s">
        <v>7124</v>
      </c>
      <c r="C238" s="154" t="s">
        <v>4743</v>
      </c>
      <c r="D238" s="154" t="s">
        <v>7121</v>
      </c>
      <c r="E238" s="154" t="s">
        <v>8028</v>
      </c>
      <c r="F238" s="154" t="s">
        <v>8029</v>
      </c>
      <c r="G238" s="154" t="s">
        <v>8030</v>
      </c>
      <c r="H238" s="154" t="s">
        <v>8031</v>
      </c>
      <c r="I238" s="154" t="s">
        <v>7123</v>
      </c>
    </row>
    <row r="239" customFormat="false" ht="76" hidden="false" customHeight="true" outlineLevel="0" collapsed="false">
      <c r="A239" s="154" t="s">
        <v>6790</v>
      </c>
      <c r="B239" s="154" t="s">
        <v>7152</v>
      </c>
      <c r="C239" s="154" t="s">
        <v>4743</v>
      </c>
      <c r="D239" s="154" t="s">
        <v>7121</v>
      </c>
      <c r="E239" s="154" t="s">
        <v>8032</v>
      </c>
      <c r="F239" s="154" t="s">
        <v>8033</v>
      </c>
      <c r="G239" s="154" t="s">
        <v>8034</v>
      </c>
      <c r="H239" s="154" t="s">
        <v>8035</v>
      </c>
      <c r="I239" s="154" t="s">
        <v>7123</v>
      </c>
    </row>
    <row r="240" customFormat="false" ht="112" hidden="false" customHeight="true" outlineLevel="0" collapsed="false">
      <c r="A240" s="154" t="s">
        <v>6790</v>
      </c>
      <c r="B240" s="154" t="s">
        <v>7152</v>
      </c>
      <c r="C240" s="154" t="s">
        <v>4743</v>
      </c>
      <c r="D240" s="154" t="s">
        <v>7121</v>
      </c>
      <c r="E240" s="154" t="s">
        <v>8036</v>
      </c>
      <c r="F240" s="154" t="s">
        <v>8037</v>
      </c>
      <c r="G240" s="154" t="s">
        <v>8038</v>
      </c>
      <c r="H240" s="154" t="s">
        <v>8039</v>
      </c>
      <c r="I240" s="154" t="s">
        <v>7123</v>
      </c>
    </row>
    <row r="241" customFormat="false" ht="98" hidden="false" customHeight="true" outlineLevel="0" collapsed="false">
      <c r="A241" s="154" t="s">
        <v>6790</v>
      </c>
      <c r="B241" s="154" t="s">
        <v>7152</v>
      </c>
      <c r="C241" s="154" t="s">
        <v>4743</v>
      </c>
      <c r="D241" s="154" t="s">
        <v>7121</v>
      </c>
      <c r="E241" s="154" t="s">
        <v>8040</v>
      </c>
      <c r="F241" s="154" t="s">
        <v>8041</v>
      </c>
      <c r="G241" s="154" t="s">
        <v>8042</v>
      </c>
      <c r="H241" s="154" t="s">
        <v>8043</v>
      </c>
      <c r="I241" s="154" t="s">
        <v>7123</v>
      </c>
    </row>
    <row r="242" customFormat="false" ht="126" hidden="false" customHeight="true" outlineLevel="0" collapsed="false">
      <c r="A242" s="154" t="s">
        <v>6790</v>
      </c>
      <c r="B242" s="154" t="s">
        <v>7152</v>
      </c>
      <c r="C242" s="154" t="s">
        <v>4743</v>
      </c>
      <c r="D242" s="154" t="s">
        <v>7121</v>
      </c>
      <c r="E242" s="154" t="s">
        <v>8044</v>
      </c>
      <c r="F242" s="154" t="s">
        <v>8045</v>
      </c>
      <c r="G242" s="154" t="s">
        <v>8046</v>
      </c>
      <c r="H242" s="154" t="s">
        <v>8047</v>
      </c>
      <c r="I242" s="154" t="s">
        <v>7123</v>
      </c>
    </row>
    <row r="243" customFormat="false" ht="210" hidden="false" customHeight="true" outlineLevel="0" collapsed="false">
      <c r="A243" s="154" t="s">
        <v>6790</v>
      </c>
      <c r="B243" s="154" t="s">
        <v>7152</v>
      </c>
      <c r="C243" s="154" t="s">
        <v>4743</v>
      </c>
      <c r="D243" s="154" t="s">
        <v>7121</v>
      </c>
      <c r="E243" s="154" t="s">
        <v>8048</v>
      </c>
      <c r="F243" s="154" t="s">
        <v>8049</v>
      </c>
      <c r="G243" s="154" t="s">
        <v>8050</v>
      </c>
      <c r="H243" s="154" t="s">
        <v>8051</v>
      </c>
      <c r="I243" s="154" t="s">
        <v>7123</v>
      </c>
    </row>
    <row r="244" customFormat="false" ht="76" hidden="false" customHeight="true" outlineLevel="0" collapsed="false">
      <c r="A244" s="154" t="s">
        <v>6790</v>
      </c>
      <c r="B244" s="154" t="s">
        <v>7152</v>
      </c>
      <c r="C244" s="154" t="s">
        <v>4743</v>
      </c>
      <c r="D244" s="154" t="s">
        <v>7121</v>
      </c>
      <c r="E244" s="154" t="s">
        <v>8052</v>
      </c>
      <c r="F244" s="154" t="s">
        <v>8053</v>
      </c>
      <c r="G244" s="154" t="s">
        <v>8054</v>
      </c>
      <c r="H244" s="154" t="s">
        <v>8055</v>
      </c>
      <c r="I244" s="154" t="s">
        <v>7123</v>
      </c>
    </row>
    <row r="245" customFormat="false" ht="76" hidden="false" customHeight="true" outlineLevel="0" collapsed="false">
      <c r="A245" s="154" t="s">
        <v>6790</v>
      </c>
      <c r="B245" s="154" t="s">
        <v>7152</v>
      </c>
      <c r="C245" s="154" t="s">
        <v>4743</v>
      </c>
      <c r="D245" s="154" t="s">
        <v>7121</v>
      </c>
      <c r="E245" s="154" t="s">
        <v>8056</v>
      </c>
      <c r="F245" s="154" t="s">
        <v>8057</v>
      </c>
      <c r="G245" s="154" t="s">
        <v>8058</v>
      </c>
      <c r="H245" s="154" t="s">
        <v>8059</v>
      </c>
      <c r="I245" s="154" t="s">
        <v>7123</v>
      </c>
    </row>
    <row r="246" customFormat="false" ht="76" hidden="false" customHeight="true" outlineLevel="0" collapsed="false">
      <c r="A246" s="154" t="s">
        <v>6790</v>
      </c>
      <c r="B246" s="154" t="s">
        <v>7152</v>
      </c>
      <c r="C246" s="154" t="s">
        <v>4743</v>
      </c>
      <c r="D246" s="154" t="s">
        <v>7121</v>
      </c>
      <c r="E246" s="154" t="s">
        <v>8060</v>
      </c>
      <c r="F246" s="154" t="s">
        <v>8061</v>
      </c>
      <c r="G246" s="154" t="s">
        <v>8062</v>
      </c>
      <c r="H246" s="154" t="s">
        <v>8063</v>
      </c>
      <c r="I246" s="154" t="s">
        <v>7123</v>
      </c>
    </row>
    <row r="247" customFormat="false" ht="154" hidden="false" customHeight="true" outlineLevel="0" collapsed="false">
      <c r="A247" s="154" t="s">
        <v>6790</v>
      </c>
      <c r="B247" s="154" t="s">
        <v>7185</v>
      </c>
      <c r="C247" s="154" t="s">
        <v>4743</v>
      </c>
      <c r="D247" s="154" t="s">
        <v>7121</v>
      </c>
      <c r="E247" s="154" t="s">
        <v>8064</v>
      </c>
      <c r="F247" s="154" t="s">
        <v>8065</v>
      </c>
      <c r="G247" s="154" t="s">
        <v>8066</v>
      </c>
      <c r="H247" s="154" t="s">
        <v>8067</v>
      </c>
      <c r="I247" s="154" t="s">
        <v>7123</v>
      </c>
    </row>
    <row r="248" customFormat="false" ht="196" hidden="false" customHeight="true" outlineLevel="0" collapsed="false">
      <c r="A248" s="154" t="s">
        <v>6809</v>
      </c>
      <c r="B248" s="154" t="s">
        <v>7120</v>
      </c>
      <c r="C248" s="154" t="s">
        <v>4743</v>
      </c>
      <c r="D248" s="154" t="s">
        <v>7121</v>
      </c>
      <c r="E248" s="154" t="s">
        <v>8068</v>
      </c>
      <c r="F248" s="154" t="s">
        <v>6814</v>
      </c>
      <c r="G248" s="154" t="s">
        <v>6810</v>
      </c>
      <c r="H248" s="154" t="s">
        <v>6825</v>
      </c>
      <c r="I248" s="154" t="s">
        <v>7123</v>
      </c>
    </row>
    <row r="249" customFormat="false" ht="76" hidden="false" customHeight="true" outlineLevel="0" collapsed="false">
      <c r="A249" s="154" t="s">
        <v>6809</v>
      </c>
      <c r="B249" s="154" t="s">
        <v>7124</v>
      </c>
      <c r="C249" s="154" t="s">
        <v>4743</v>
      </c>
      <c r="D249" s="154" t="s">
        <v>7121</v>
      </c>
      <c r="E249" s="154" t="s">
        <v>8069</v>
      </c>
      <c r="F249" s="154" t="s">
        <v>8070</v>
      </c>
      <c r="G249" s="154" t="s">
        <v>8071</v>
      </c>
      <c r="H249" s="154" t="s">
        <v>8072</v>
      </c>
      <c r="I249" s="154" t="s">
        <v>7123</v>
      </c>
    </row>
    <row r="250" customFormat="false" ht="76" hidden="false" customHeight="true" outlineLevel="0" collapsed="false">
      <c r="A250" s="154" t="s">
        <v>6809</v>
      </c>
      <c r="B250" s="154" t="s">
        <v>7124</v>
      </c>
      <c r="C250" s="154" t="s">
        <v>4743</v>
      </c>
      <c r="D250" s="154" t="s">
        <v>7121</v>
      </c>
      <c r="E250" s="154" t="s">
        <v>7129</v>
      </c>
      <c r="F250" s="154" t="s">
        <v>8073</v>
      </c>
      <c r="G250" s="154" t="s">
        <v>8074</v>
      </c>
      <c r="H250" s="154" t="s">
        <v>7132</v>
      </c>
      <c r="I250" s="154" t="s">
        <v>7123</v>
      </c>
    </row>
    <row r="251" customFormat="false" ht="294" hidden="false" customHeight="true" outlineLevel="0" collapsed="false">
      <c r="A251" s="154" t="s">
        <v>6809</v>
      </c>
      <c r="B251" s="154" t="s">
        <v>7124</v>
      </c>
      <c r="C251" s="154" t="s">
        <v>4743</v>
      </c>
      <c r="D251" s="154" t="s">
        <v>7121</v>
      </c>
      <c r="E251" s="154" t="s">
        <v>8075</v>
      </c>
      <c r="F251" s="154" t="s">
        <v>8076</v>
      </c>
      <c r="G251" s="154" t="s">
        <v>8077</v>
      </c>
      <c r="H251" s="154" t="s">
        <v>8078</v>
      </c>
      <c r="I251" s="154" t="s">
        <v>7123</v>
      </c>
    </row>
    <row r="252" customFormat="false" ht="182" hidden="false" customHeight="true" outlineLevel="0" collapsed="false">
      <c r="A252" s="154" t="s">
        <v>6809</v>
      </c>
      <c r="B252" s="154" t="s">
        <v>7124</v>
      </c>
      <c r="C252" s="154" t="s">
        <v>4743</v>
      </c>
      <c r="D252" s="154" t="s">
        <v>7121</v>
      </c>
      <c r="E252" s="154" t="s">
        <v>8079</v>
      </c>
      <c r="F252" s="154" t="s">
        <v>8080</v>
      </c>
      <c r="G252" s="154" t="s">
        <v>8081</v>
      </c>
      <c r="H252" s="154" t="s">
        <v>8082</v>
      </c>
      <c r="I252" s="154" t="s">
        <v>7123</v>
      </c>
    </row>
    <row r="253" customFormat="false" ht="76" hidden="false" customHeight="true" outlineLevel="0" collapsed="false">
      <c r="A253" s="154" t="s">
        <v>6809</v>
      </c>
      <c r="B253" s="154" t="s">
        <v>7124</v>
      </c>
      <c r="C253" s="154" t="s">
        <v>4743</v>
      </c>
      <c r="D253" s="154" t="s">
        <v>7121</v>
      </c>
      <c r="E253" s="154" t="s">
        <v>4744</v>
      </c>
      <c r="F253" s="154" t="s">
        <v>8083</v>
      </c>
      <c r="G253" s="154" t="s">
        <v>8084</v>
      </c>
      <c r="H253" s="154" t="s">
        <v>7143</v>
      </c>
      <c r="I253" s="154" t="s">
        <v>7123</v>
      </c>
    </row>
    <row r="254" customFormat="false" ht="76" hidden="false" customHeight="true" outlineLevel="0" collapsed="false">
      <c r="A254" s="154" t="s">
        <v>6809</v>
      </c>
      <c r="B254" s="154" t="s">
        <v>7124</v>
      </c>
      <c r="C254" s="154" t="s">
        <v>4743</v>
      </c>
      <c r="D254" s="154" t="s">
        <v>7121</v>
      </c>
      <c r="E254" s="154" t="s">
        <v>8085</v>
      </c>
      <c r="F254" s="154" t="s">
        <v>8086</v>
      </c>
      <c r="G254" s="154" t="s">
        <v>8087</v>
      </c>
      <c r="H254" s="154" t="s">
        <v>8088</v>
      </c>
      <c r="I254" s="154" t="s">
        <v>7123</v>
      </c>
    </row>
    <row r="255" customFormat="false" ht="76" hidden="false" customHeight="true" outlineLevel="0" collapsed="false">
      <c r="A255" s="154" t="s">
        <v>6809</v>
      </c>
      <c r="B255" s="154" t="s">
        <v>7124</v>
      </c>
      <c r="C255" s="154" t="s">
        <v>4743</v>
      </c>
      <c r="D255" s="154" t="s">
        <v>7121</v>
      </c>
      <c r="E255" s="154" t="s">
        <v>8089</v>
      </c>
      <c r="F255" s="154" t="s">
        <v>8090</v>
      </c>
      <c r="G255" s="154" t="s">
        <v>8091</v>
      </c>
      <c r="H255" s="154" t="s">
        <v>8092</v>
      </c>
      <c r="I255" s="154" t="s">
        <v>7123</v>
      </c>
    </row>
    <row r="256" customFormat="false" ht="76" hidden="false" customHeight="true" outlineLevel="0" collapsed="false">
      <c r="A256" s="154" t="s">
        <v>6809</v>
      </c>
      <c r="B256" s="154" t="s">
        <v>7152</v>
      </c>
      <c r="C256" s="154" t="s">
        <v>4743</v>
      </c>
      <c r="D256" s="154" t="s">
        <v>7121</v>
      </c>
      <c r="E256" s="154" t="s">
        <v>8093</v>
      </c>
      <c r="F256" s="154" t="s">
        <v>8094</v>
      </c>
      <c r="G256" s="154" t="s">
        <v>8095</v>
      </c>
      <c r="H256" s="154" t="s">
        <v>8096</v>
      </c>
      <c r="I256" s="154" t="s">
        <v>7123</v>
      </c>
    </row>
    <row r="257" customFormat="false" ht="154" hidden="false" customHeight="true" outlineLevel="0" collapsed="false">
      <c r="A257" s="154" t="s">
        <v>6809</v>
      </c>
      <c r="B257" s="154" t="s">
        <v>7152</v>
      </c>
      <c r="C257" s="154" t="s">
        <v>4743</v>
      </c>
      <c r="D257" s="154" t="s">
        <v>7121</v>
      </c>
      <c r="E257" s="154" t="s">
        <v>8097</v>
      </c>
      <c r="F257" s="154" t="s">
        <v>8098</v>
      </c>
      <c r="G257" s="154" t="s">
        <v>8099</v>
      </c>
      <c r="H257" s="154" t="s">
        <v>8100</v>
      </c>
      <c r="I257" s="154" t="s">
        <v>7123</v>
      </c>
    </row>
    <row r="258" customFormat="false" ht="76" hidden="false" customHeight="true" outlineLevel="0" collapsed="false">
      <c r="A258" s="154" t="s">
        <v>6809</v>
      </c>
      <c r="B258" s="154" t="s">
        <v>7152</v>
      </c>
      <c r="C258" s="154" t="s">
        <v>4743</v>
      </c>
      <c r="D258" s="154" t="s">
        <v>8101</v>
      </c>
      <c r="E258" s="154" t="s">
        <v>8102</v>
      </c>
      <c r="F258" s="154" t="s">
        <v>8103</v>
      </c>
      <c r="G258" s="154" t="s">
        <v>8104</v>
      </c>
      <c r="H258" s="154" t="s">
        <v>8105</v>
      </c>
      <c r="I258" s="154" t="s">
        <v>7123</v>
      </c>
    </row>
    <row r="259" customFormat="false" ht="84" hidden="false" customHeight="true" outlineLevel="0" collapsed="false">
      <c r="A259" s="154" t="s">
        <v>6809</v>
      </c>
      <c r="B259" s="154" t="s">
        <v>7152</v>
      </c>
      <c r="C259" s="154" t="s">
        <v>4743</v>
      </c>
      <c r="D259" s="154" t="s">
        <v>8106</v>
      </c>
      <c r="E259" s="154" t="s">
        <v>8107</v>
      </c>
      <c r="F259" s="154" t="s">
        <v>8108</v>
      </c>
      <c r="G259" s="154" t="s">
        <v>8109</v>
      </c>
      <c r="H259" s="154" t="s">
        <v>8110</v>
      </c>
      <c r="I259" s="154" t="s">
        <v>7123</v>
      </c>
    </row>
    <row r="260" customFormat="false" ht="76" hidden="false" customHeight="true" outlineLevel="0" collapsed="false">
      <c r="A260" s="154" t="s">
        <v>6809</v>
      </c>
      <c r="B260" s="154" t="s">
        <v>7152</v>
      </c>
      <c r="C260" s="154" t="s">
        <v>4743</v>
      </c>
      <c r="D260" s="154" t="s">
        <v>8111</v>
      </c>
      <c r="E260" s="154" t="s">
        <v>8112</v>
      </c>
      <c r="F260" s="154" t="s">
        <v>8113</v>
      </c>
      <c r="G260" s="154" t="s">
        <v>8114</v>
      </c>
      <c r="H260" s="154" t="s">
        <v>8115</v>
      </c>
      <c r="I260" s="154" t="s">
        <v>7123</v>
      </c>
    </row>
    <row r="261" customFormat="false" ht="76" hidden="false" customHeight="true" outlineLevel="0" collapsed="false">
      <c r="A261" s="154" t="s">
        <v>6809</v>
      </c>
      <c r="B261" s="154" t="s">
        <v>7152</v>
      </c>
      <c r="C261" s="154" t="s">
        <v>4743</v>
      </c>
      <c r="D261" s="154" t="s">
        <v>8116</v>
      </c>
      <c r="E261" s="154" t="s">
        <v>8117</v>
      </c>
      <c r="F261" s="154" t="s">
        <v>8118</v>
      </c>
      <c r="G261" s="154" t="s">
        <v>8119</v>
      </c>
      <c r="H261" s="154" t="s">
        <v>8120</v>
      </c>
      <c r="I261" s="154" t="s">
        <v>7123</v>
      </c>
    </row>
    <row r="262" customFormat="false" ht="84" hidden="false" customHeight="true" outlineLevel="0" collapsed="false">
      <c r="A262" s="154" t="s">
        <v>6809</v>
      </c>
      <c r="B262" s="154" t="s">
        <v>7152</v>
      </c>
      <c r="C262" s="154" t="s">
        <v>4743</v>
      </c>
      <c r="D262" s="154" t="s">
        <v>8121</v>
      </c>
      <c r="E262" s="154" t="s">
        <v>8122</v>
      </c>
      <c r="F262" s="154" t="s">
        <v>8123</v>
      </c>
      <c r="G262" s="154" t="s">
        <v>8124</v>
      </c>
      <c r="H262" s="154" t="s">
        <v>8125</v>
      </c>
      <c r="I262" s="154" t="s">
        <v>7123</v>
      </c>
    </row>
    <row r="263" customFormat="false" ht="76" hidden="false" customHeight="true" outlineLevel="0" collapsed="false">
      <c r="A263" s="154" t="s">
        <v>6809</v>
      </c>
      <c r="B263" s="154" t="s">
        <v>7152</v>
      </c>
      <c r="C263" s="154" t="s">
        <v>4743</v>
      </c>
      <c r="D263" s="154" t="s">
        <v>8126</v>
      </c>
      <c r="E263" s="154" t="s">
        <v>8127</v>
      </c>
      <c r="F263" s="154" t="s">
        <v>8128</v>
      </c>
      <c r="G263" s="154" t="s">
        <v>8129</v>
      </c>
      <c r="H263" s="154" t="s">
        <v>8130</v>
      </c>
      <c r="I263" s="154" t="s">
        <v>7123</v>
      </c>
    </row>
    <row r="264" customFormat="false" ht="84" hidden="false" customHeight="true" outlineLevel="0" collapsed="false">
      <c r="A264" s="154" t="s">
        <v>6809</v>
      </c>
      <c r="B264" s="154" t="s">
        <v>7152</v>
      </c>
      <c r="C264" s="154" t="s">
        <v>4743</v>
      </c>
      <c r="D264" s="154" t="s">
        <v>8131</v>
      </c>
      <c r="E264" s="154" t="s">
        <v>8132</v>
      </c>
      <c r="F264" s="154" t="s">
        <v>8133</v>
      </c>
      <c r="G264" s="154" t="s">
        <v>8134</v>
      </c>
      <c r="H264" s="154" t="s">
        <v>8135</v>
      </c>
      <c r="I264" s="154" t="s">
        <v>7123</v>
      </c>
    </row>
    <row r="265" customFormat="false" ht="76" hidden="false" customHeight="true" outlineLevel="0" collapsed="false">
      <c r="A265" s="154" t="s">
        <v>6809</v>
      </c>
      <c r="B265" s="154" t="s">
        <v>7152</v>
      </c>
      <c r="C265" s="154" t="s">
        <v>4743</v>
      </c>
      <c r="D265" s="154" t="s">
        <v>8136</v>
      </c>
      <c r="E265" s="154" t="s">
        <v>8137</v>
      </c>
      <c r="F265" s="154" t="s">
        <v>8138</v>
      </c>
      <c r="G265" s="154" t="s">
        <v>8139</v>
      </c>
      <c r="H265" s="154" t="s">
        <v>8140</v>
      </c>
      <c r="I265" s="154" t="s">
        <v>7123</v>
      </c>
    </row>
    <row r="266" customFormat="false" ht="76" hidden="false" customHeight="true" outlineLevel="0" collapsed="false">
      <c r="A266" s="154" t="s">
        <v>6809</v>
      </c>
      <c r="B266" s="154" t="s">
        <v>7152</v>
      </c>
      <c r="C266" s="154" t="s">
        <v>4743</v>
      </c>
      <c r="D266" s="154" t="s">
        <v>8141</v>
      </c>
      <c r="E266" s="154" t="s">
        <v>8142</v>
      </c>
      <c r="F266" s="154" t="s">
        <v>8143</v>
      </c>
      <c r="G266" s="154" t="s">
        <v>8144</v>
      </c>
      <c r="H266" s="154" t="s">
        <v>8145</v>
      </c>
      <c r="I266" s="154" t="s">
        <v>7123</v>
      </c>
    </row>
    <row r="267" customFormat="false" ht="76" hidden="false" customHeight="true" outlineLevel="0" collapsed="false">
      <c r="A267" s="154" t="s">
        <v>6809</v>
      </c>
      <c r="B267" s="154" t="s">
        <v>7152</v>
      </c>
      <c r="C267" s="154" t="s">
        <v>4743</v>
      </c>
      <c r="D267" s="154" t="s">
        <v>8146</v>
      </c>
      <c r="E267" s="154" t="s">
        <v>8147</v>
      </c>
      <c r="F267" s="154" t="s">
        <v>8148</v>
      </c>
      <c r="G267" s="154" t="s">
        <v>8149</v>
      </c>
      <c r="H267" s="154" t="s">
        <v>8150</v>
      </c>
      <c r="I267" s="154" t="s">
        <v>7123</v>
      </c>
    </row>
    <row r="268" customFormat="false" ht="76" hidden="false" customHeight="true" outlineLevel="0" collapsed="false">
      <c r="A268" s="154" t="s">
        <v>6809</v>
      </c>
      <c r="B268" s="154" t="s">
        <v>7152</v>
      </c>
      <c r="C268" s="154" t="s">
        <v>4743</v>
      </c>
      <c r="D268" s="154" t="s">
        <v>8151</v>
      </c>
      <c r="E268" s="154" t="s">
        <v>8152</v>
      </c>
      <c r="F268" s="154" t="s">
        <v>8153</v>
      </c>
      <c r="G268" s="154" t="s">
        <v>8154</v>
      </c>
      <c r="H268" s="154" t="s">
        <v>8155</v>
      </c>
      <c r="I268" s="154" t="s">
        <v>7123</v>
      </c>
    </row>
    <row r="269" customFormat="false" ht="126" hidden="false" customHeight="true" outlineLevel="0" collapsed="false">
      <c r="A269" s="154" t="s">
        <v>6809</v>
      </c>
      <c r="B269" s="154" t="s">
        <v>7152</v>
      </c>
      <c r="C269" s="154" t="s">
        <v>4743</v>
      </c>
      <c r="D269" s="154" t="s">
        <v>7121</v>
      </c>
      <c r="E269" s="154" t="s">
        <v>8156</v>
      </c>
      <c r="F269" s="154" t="s">
        <v>8157</v>
      </c>
      <c r="G269" s="154" t="s">
        <v>8158</v>
      </c>
      <c r="H269" s="154" t="s">
        <v>8159</v>
      </c>
      <c r="I269" s="154" t="s">
        <v>7123</v>
      </c>
    </row>
    <row r="270" customFormat="false" ht="154" hidden="false" customHeight="true" outlineLevel="0" collapsed="false">
      <c r="A270" s="154" t="s">
        <v>6809</v>
      </c>
      <c r="B270" s="154" t="s">
        <v>7152</v>
      </c>
      <c r="C270" s="154" t="s">
        <v>4743</v>
      </c>
      <c r="D270" s="154" t="s">
        <v>7121</v>
      </c>
      <c r="E270" s="154" t="s">
        <v>8160</v>
      </c>
      <c r="F270" s="154" t="s">
        <v>8161</v>
      </c>
      <c r="G270" s="154" t="s">
        <v>8162</v>
      </c>
      <c r="H270" s="154" t="s">
        <v>8163</v>
      </c>
      <c r="I270" s="154" t="s">
        <v>7123</v>
      </c>
    </row>
    <row r="271" customFormat="false" ht="84" hidden="false" customHeight="true" outlineLevel="0" collapsed="false">
      <c r="A271" s="154" t="s">
        <v>6809</v>
      </c>
      <c r="B271" s="154" t="s">
        <v>7152</v>
      </c>
      <c r="C271" s="154" t="s">
        <v>4743</v>
      </c>
      <c r="D271" s="154" t="s">
        <v>7121</v>
      </c>
      <c r="E271" s="154" t="s">
        <v>8164</v>
      </c>
      <c r="F271" s="154" t="s">
        <v>8165</v>
      </c>
      <c r="G271" s="154" t="s">
        <v>8166</v>
      </c>
      <c r="H271" s="154" t="s">
        <v>8167</v>
      </c>
      <c r="I271" s="154" t="s">
        <v>7123</v>
      </c>
    </row>
    <row r="272" customFormat="false" ht="76" hidden="false" customHeight="true" outlineLevel="0" collapsed="false">
      <c r="A272" s="154" t="s">
        <v>6809</v>
      </c>
      <c r="B272" s="154" t="s">
        <v>7152</v>
      </c>
      <c r="C272" s="154" t="s">
        <v>4743</v>
      </c>
      <c r="D272" s="154" t="s">
        <v>7121</v>
      </c>
      <c r="E272" s="154" t="s">
        <v>8168</v>
      </c>
      <c r="F272" s="154" t="s">
        <v>8169</v>
      </c>
      <c r="G272" s="154" t="s">
        <v>8170</v>
      </c>
      <c r="H272" s="154" t="s">
        <v>8171</v>
      </c>
      <c r="I272" s="154" t="s">
        <v>7123</v>
      </c>
    </row>
    <row r="273" customFormat="false" ht="76" hidden="false" customHeight="true" outlineLevel="0" collapsed="false">
      <c r="A273" s="154" t="s">
        <v>6809</v>
      </c>
      <c r="B273" s="154" t="s">
        <v>7152</v>
      </c>
      <c r="C273" s="154" t="s">
        <v>4743</v>
      </c>
      <c r="D273" s="154" t="s">
        <v>7121</v>
      </c>
      <c r="E273" s="154" t="s">
        <v>8172</v>
      </c>
      <c r="F273" s="154" t="s">
        <v>8173</v>
      </c>
      <c r="G273" s="154" t="s">
        <v>8174</v>
      </c>
      <c r="H273" s="154" t="s">
        <v>8175</v>
      </c>
      <c r="I273" s="154" t="s">
        <v>7123</v>
      </c>
    </row>
    <row r="274" customFormat="false" ht="154" hidden="false" customHeight="true" outlineLevel="0" collapsed="false">
      <c r="A274" s="154" t="s">
        <v>6809</v>
      </c>
      <c r="B274" s="154" t="s">
        <v>7185</v>
      </c>
      <c r="C274" s="154" t="s">
        <v>4743</v>
      </c>
      <c r="D274" s="154" t="s">
        <v>7121</v>
      </c>
      <c r="E274" s="154" t="s">
        <v>8176</v>
      </c>
      <c r="F274" s="154" t="s">
        <v>8177</v>
      </c>
      <c r="G274" s="154" t="s">
        <v>8178</v>
      </c>
      <c r="H274" s="154" t="s">
        <v>8179</v>
      </c>
      <c r="I274" s="154" t="s">
        <v>7123</v>
      </c>
    </row>
    <row r="275" customFormat="false" ht="196" hidden="false" customHeight="true" outlineLevel="0" collapsed="false">
      <c r="A275" s="154" t="s">
        <v>6828</v>
      </c>
      <c r="B275" s="154" t="s">
        <v>7120</v>
      </c>
      <c r="C275" s="154" t="s">
        <v>4743</v>
      </c>
      <c r="D275" s="154" t="s">
        <v>7121</v>
      </c>
      <c r="E275" s="154" t="s">
        <v>8180</v>
      </c>
      <c r="F275" s="154" t="s">
        <v>6833</v>
      </c>
      <c r="G275" s="154" t="s">
        <v>6829</v>
      </c>
      <c r="H275" s="154" t="s">
        <v>6843</v>
      </c>
      <c r="I275" s="154" t="s">
        <v>7123</v>
      </c>
    </row>
    <row r="276" customFormat="false" ht="76" hidden="false" customHeight="true" outlineLevel="0" collapsed="false">
      <c r="A276" s="154" t="s">
        <v>6828</v>
      </c>
      <c r="B276" s="154" t="s">
        <v>7124</v>
      </c>
      <c r="C276" s="154" t="s">
        <v>4743</v>
      </c>
      <c r="D276" s="154" t="s">
        <v>7121</v>
      </c>
      <c r="E276" s="154" t="s">
        <v>8181</v>
      </c>
      <c r="F276" s="154" t="s">
        <v>8182</v>
      </c>
      <c r="G276" s="154" t="s">
        <v>8183</v>
      </c>
      <c r="H276" s="154" t="s">
        <v>8184</v>
      </c>
      <c r="I276" s="154" t="s">
        <v>7123</v>
      </c>
    </row>
    <row r="277" customFormat="false" ht="76" hidden="false" customHeight="true" outlineLevel="0" collapsed="false">
      <c r="A277" s="154" t="s">
        <v>6828</v>
      </c>
      <c r="B277" s="154" t="s">
        <v>7124</v>
      </c>
      <c r="C277" s="154" t="s">
        <v>4743</v>
      </c>
      <c r="D277" s="154" t="s">
        <v>7121</v>
      </c>
      <c r="E277" s="154" t="s">
        <v>7129</v>
      </c>
      <c r="F277" s="154" t="s">
        <v>8185</v>
      </c>
      <c r="G277" s="154" t="s">
        <v>8186</v>
      </c>
      <c r="H277" s="154" t="s">
        <v>7132</v>
      </c>
      <c r="I277" s="154" t="s">
        <v>7123</v>
      </c>
    </row>
    <row r="278" customFormat="false" ht="76" hidden="false" customHeight="true" outlineLevel="0" collapsed="false">
      <c r="A278" s="154" t="s">
        <v>6828</v>
      </c>
      <c r="B278" s="154" t="s">
        <v>7124</v>
      </c>
      <c r="C278" s="154" t="s">
        <v>4743</v>
      </c>
      <c r="D278" s="154" t="s">
        <v>7121</v>
      </c>
      <c r="E278" s="154" t="s">
        <v>4744</v>
      </c>
      <c r="F278" s="154" t="s">
        <v>8187</v>
      </c>
      <c r="G278" s="154" t="s">
        <v>8188</v>
      </c>
      <c r="H278" s="154" t="s">
        <v>7143</v>
      </c>
      <c r="I278" s="154" t="s">
        <v>7123</v>
      </c>
    </row>
    <row r="279" customFormat="false" ht="76" hidden="false" customHeight="true" outlineLevel="0" collapsed="false">
      <c r="A279" s="154" t="s">
        <v>6828</v>
      </c>
      <c r="B279" s="154" t="s">
        <v>7124</v>
      </c>
      <c r="C279" s="154" t="s">
        <v>4743</v>
      </c>
      <c r="D279" s="154" t="s">
        <v>7121</v>
      </c>
      <c r="E279" s="154" t="s">
        <v>4744</v>
      </c>
      <c r="F279" s="154" t="s">
        <v>8189</v>
      </c>
      <c r="G279" s="154" t="s">
        <v>8190</v>
      </c>
      <c r="H279" s="154" t="s">
        <v>7143</v>
      </c>
      <c r="I279" s="154" t="s">
        <v>7123</v>
      </c>
    </row>
    <row r="280" customFormat="false" ht="280" hidden="false" customHeight="true" outlineLevel="0" collapsed="false">
      <c r="A280" s="154" t="s">
        <v>6828</v>
      </c>
      <c r="B280" s="154" t="s">
        <v>7124</v>
      </c>
      <c r="C280" s="154" t="s">
        <v>4743</v>
      </c>
      <c r="D280" s="154" t="s">
        <v>7121</v>
      </c>
      <c r="E280" s="154" t="s">
        <v>8191</v>
      </c>
      <c r="F280" s="154" t="s">
        <v>8192</v>
      </c>
      <c r="G280" s="154" t="s">
        <v>8193</v>
      </c>
      <c r="H280" s="154" t="s">
        <v>8194</v>
      </c>
      <c r="I280" s="154" t="s">
        <v>7123</v>
      </c>
    </row>
    <row r="281" customFormat="false" ht="280" hidden="false" customHeight="true" outlineLevel="0" collapsed="false">
      <c r="A281" s="154" t="s">
        <v>6828</v>
      </c>
      <c r="B281" s="154" t="s">
        <v>7124</v>
      </c>
      <c r="C281" s="154" t="s">
        <v>4743</v>
      </c>
      <c r="D281" s="154" t="s">
        <v>7121</v>
      </c>
      <c r="E281" s="154" t="s">
        <v>8191</v>
      </c>
      <c r="F281" s="154" t="s">
        <v>8195</v>
      </c>
      <c r="G281" s="154" t="s">
        <v>8196</v>
      </c>
      <c r="H281" s="154" t="s">
        <v>8194</v>
      </c>
      <c r="I281" s="154" t="s">
        <v>7123</v>
      </c>
    </row>
    <row r="282" customFormat="false" ht="76" hidden="false" customHeight="true" outlineLevel="0" collapsed="false">
      <c r="A282" s="154" t="s">
        <v>6828</v>
      </c>
      <c r="B282" s="154" t="s">
        <v>7124</v>
      </c>
      <c r="C282" s="154" t="s">
        <v>4743</v>
      </c>
      <c r="D282" s="154" t="s">
        <v>7121</v>
      </c>
      <c r="E282" s="154" t="s">
        <v>8197</v>
      </c>
      <c r="F282" s="154" t="s">
        <v>8198</v>
      </c>
      <c r="G282" s="154" t="s">
        <v>8199</v>
      </c>
      <c r="H282" s="154" t="s">
        <v>8200</v>
      </c>
      <c r="I282" s="154" t="s">
        <v>7123</v>
      </c>
    </row>
    <row r="283" customFormat="false" ht="76" hidden="false" customHeight="true" outlineLevel="0" collapsed="false">
      <c r="A283" s="154" t="s">
        <v>6828</v>
      </c>
      <c r="B283" s="154" t="s">
        <v>7152</v>
      </c>
      <c r="C283" s="154" t="s">
        <v>4743</v>
      </c>
      <c r="D283" s="154" t="s">
        <v>7121</v>
      </c>
      <c r="E283" s="154" t="s">
        <v>8201</v>
      </c>
      <c r="F283" s="154" t="s">
        <v>8202</v>
      </c>
      <c r="G283" s="154" t="s">
        <v>8203</v>
      </c>
      <c r="H283" s="154" t="s">
        <v>8204</v>
      </c>
      <c r="I283" s="154" t="s">
        <v>7123</v>
      </c>
    </row>
    <row r="284" customFormat="false" ht="76" hidden="false" customHeight="true" outlineLevel="0" collapsed="false">
      <c r="A284" s="154" t="s">
        <v>6828</v>
      </c>
      <c r="B284" s="154" t="s">
        <v>7152</v>
      </c>
      <c r="C284" s="154" t="s">
        <v>4743</v>
      </c>
      <c r="D284" s="154" t="s">
        <v>7121</v>
      </c>
      <c r="E284" s="154" t="s">
        <v>8205</v>
      </c>
      <c r="F284" s="154" t="s">
        <v>8206</v>
      </c>
      <c r="G284" s="154" t="s">
        <v>8207</v>
      </c>
      <c r="H284" s="154" t="s">
        <v>8208</v>
      </c>
      <c r="I284" s="154" t="s">
        <v>7123</v>
      </c>
    </row>
    <row r="285" customFormat="false" ht="76" hidden="false" customHeight="true" outlineLevel="0" collapsed="false">
      <c r="A285" s="154" t="s">
        <v>6828</v>
      </c>
      <c r="B285" s="154" t="s">
        <v>7152</v>
      </c>
      <c r="C285" s="154" t="s">
        <v>4743</v>
      </c>
      <c r="D285" s="154" t="s">
        <v>7121</v>
      </c>
      <c r="E285" s="154" t="s">
        <v>7907</v>
      </c>
      <c r="F285" s="154" t="s">
        <v>8209</v>
      </c>
      <c r="G285" s="154" t="s">
        <v>8210</v>
      </c>
      <c r="H285" s="154" t="s">
        <v>7910</v>
      </c>
      <c r="I285" s="154" t="s">
        <v>7123</v>
      </c>
    </row>
    <row r="286" customFormat="false" ht="112" hidden="false" customHeight="true" outlineLevel="0" collapsed="false">
      <c r="A286" s="154" t="s">
        <v>6828</v>
      </c>
      <c r="B286" s="154" t="s">
        <v>7152</v>
      </c>
      <c r="C286" s="154" t="s">
        <v>4743</v>
      </c>
      <c r="D286" s="154" t="s">
        <v>7121</v>
      </c>
      <c r="E286" s="154" t="s">
        <v>8211</v>
      </c>
      <c r="F286" s="154" t="s">
        <v>8212</v>
      </c>
      <c r="G286" s="154" t="s">
        <v>8213</v>
      </c>
      <c r="H286" s="154" t="s">
        <v>8214</v>
      </c>
      <c r="I286" s="154" t="s">
        <v>7123</v>
      </c>
    </row>
    <row r="287" customFormat="false" ht="140" hidden="false" customHeight="true" outlineLevel="0" collapsed="false">
      <c r="A287" s="154" t="s">
        <v>6828</v>
      </c>
      <c r="B287" s="154" t="s">
        <v>7152</v>
      </c>
      <c r="C287" s="154" t="s">
        <v>4743</v>
      </c>
      <c r="D287" s="154" t="s">
        <v>7121</v>
      </c>
      <c r="E287" s="154" t="s">
        <v>8215</v>
      </c>
      <c r="F287" s="154" t="s">
        <v>8216</v>
      </c>
      <c r="G287" s="154" t="s">
        <v>8217</v>
      </c>
      <c r="H287" s="154" t="s">
        <v>8218</v>
      </c>
      <c r="I287" s="154" t="s">
        <v>7123</v>
      </c>
    </row>
    <row r="288" customFormat="false" ht="210" hidden="false" customHeight="true" outlineLevel="0" collapsed="false">
      <c r="A288" s="154" t="s">
        <v>6828</v>
      </c>
      <c r="B288" s="154" t="s">
        <v>7152</v>
      </c>
      <c r="C288" s="154" t="s">
        <v>4743</v>
      </c>
      <c r="D288" s="154" t="s">
        <v>7121</v>
      </c>
      <c r="E288" s="154" t="s">
        <v>8219</v>
      </c>
      <c r="F288" s="154" t="s">
        <v>8220</v>
      </c>
      <c r="G288" s="154" t="s">
        <v>8221</v>
      </c>
      <c r="H288" s="154" t="s">
        <v>8222</v>
      </c>
      <c r="I288" s="154" t="s">
        <v>7123</v>
      </c>
    </row>
    <row r="289" customFormat="false" ht="76" hidden="false" customHeight="true" outlineLevel="0" collapsed="false">
      <c r="A289" s="154" t="s">
        <v>6828</v>
      </c>
      <c r="B289" s="154" t="s">
        <v>7152</v>
      </c>
      <c r="C289" s="154" t="s">
        <v>4743</v>
      </c>
      <c r="D289" s="154" t="s">
        <v>7121</v>
      </c>
      <c r="E289" s="154" t="s">
        <v>8223</v>
      </c>
      <c r="F289" s="154" t="s">
        <v>8224</v>
      </c>
      <c r="G289" s="154" t="s">
        <v>8225</v>
      </c>
      <c r="H289" s="154" t="s">
        <v>8226</v>
      </c>
      <c r="I289" s="154" t="s">
        <v>7123</v>
      </c>
    </row>
    <row r="290" customFormat="false" ht="76" hidden="false" customHeight="true" outlineLevel="0" collapsed="false">
      <c r="A290" s="154" t="s">
        <v>6828</v>
      </c>
      <c r="B290" s="154" t="s">
        <v>7152</v>
      </c>
      <c r="C290" s="154" t="s">
        <v>4743</v>
      </c>
      <c r="D290" s="154" t="s">
        <v>7121</v>
      </c>
      <c r="E290" s="154" t="s">
        <v>8227</v>
      </c>
      <c r="F290" s="154" t="s">
        <v>8228</v>
      </c>
      <c r="G290" s="154" t="s">
        <v>8229</v>
      </c>
      <c r="H290" s="154" t="s">
        <v>8230</v>
      </c>
      <c r="I290" s="154" t="s">
        <v>7123</v>
      </c>
    </row>
    <row r="291" customFormat="false" ht="76" hidden="false" customHeight="true" outlineLevel="0" collapsed="false">
      <c r="A291" s="154" t="s">
        <v>6828</v>
      </c>
      <c r="B291" s="154" t="s">
        <v>7152</v>
      </c>
      <c r="C291" s="154" t="s">
        <v>4743</v>
      </c>
      <c r="D291" s="154" t="s">
        <v>7121</v>
      </c>
      <c r="E291" s="154" t="s">
        <v>7931</v>
      </c>
      <c r="F291" s="154" t="s">
        <v>8231</v>
      </c>
      <c r="G291" s="154" t="s">
        <v>8232</v>
      </c>
      <c r="H291" s="154" t="s">
        <v>7934</v>
      </c>
      <c r="I291" s="154" t="s">
        <v>7123</v>
      </c>
    </row>
    <row r="292" customFormat="false" ht="76" hidden="false" customHeight="true" outlineLevel="0" collapsed="false">
      <c r="A292" s="154" t="s">
        <v>6828</v>
      </c>
      <c r="B292" s="154" t="s">
        <v>7152</v>
      </c>
      <c r="C292" s="154" t="s">
        <v>4743</v>
      </c>
      <c r="D292" s="154" t="s">
        <v>7121</v>
      </c>
      <c r="E292" s="154" t="s">
        <v>7935</v>
      </c>
      <c r="F292" s="154" t="s">
        <v>8233</v>
      </c>
      <c r="G292" s="154" t="s">
        <v>8234</v>
      </c>
      <c r="H292" s="154" t="s">
        <v>7938</v>
      </c>
      <c r="I292" s="154" t="s">
        <v>7123</v>
      </c>
    </row>
    <row r="293" customFormat="false" ht="154" hidden="false" customHeight="true" outlineLevel="0" collapsed="false">
      <c r="A293" s="154" t="s">
        <v>6828</v>
      </c>
      <c r="B293" s="154" t="s">
        <v>7185</v>
      </c>
      <c r="C293" s="154" t="s">
        <v>4743</v>
      </c>
      <c r="D293" s="154" t="s">
        <v>7121</v>
      </c>
      <c r="E293" s="154" t="s">
        <v>8235</v>
      </c>
      <c r="F293" s="154" t="s">
        <v>8236</v>
      </c>
      <c r="G293" s="154" t="s">
        <v>8237</v>
      </c>
      <c r="H293" s="154" t="s">
        <v>8238</v>
      </c>
      <c r="I293" s="154" t="s">
        <v>7123</v>
      </c>
    </row>
    <row r="294" customFormat="false" ht="196" hidden="false" customHeight="true" outlineLevel="0" collapsed="false">
      <c r="A294" s="154" t="s">
        <v>6846</v>
      </c>
      <c r="B294" s="154" t="s">
        <v>7120</v>
      </c>
      <c r="C294" s="154" t="s">
        <v>4743</v>
      </c>
      <c r="D294" s="154" t="s">
        <v>7121</v>
      </c>
      <c r="E294" s="154" t="s">
        <v>8239</v>
      </c>
      <c r="F294" s="154" t="s">
        <v>6851</v>
      </c>
      <c r="G294" s="154" t="s">
        <v>6847</v>
      </c>
      <c r="H294" s="154" t="s">
        <v>6863</v>
      </c>
      <c r="I294" s="154" t="s">
        <v>7123</v>
      </c>
    </row>
    <row r="295" customFormat="false" ht="76" hidden="false" customHeight="true" outlineLevel="0" collapsed="false">
      <c r="A295" s="154" t="s">
        <v>6846</v>
      </c>
      <c r="B295" s="154" t="s">
        <v>7124</v>
      </c>
      <c r="C295" s="154" t="s">
        <v>4743</v>
      </c>
      <c r="D295" s="154" t="s">
        <v>7121</v>
      </c>
      <c r="E295" s="154" t="s">
        <v>8240</v>
      </c>
      <c r="F295" s="154" t="s">
        <v>8241</v>
      </c>
      <c r="G295" s="154" t="s">
        <v>8242</v>
      </c>
      <c r="H295" s="154" t="s">
        <v>8243</v>
      </c>
      <c r="I295" s="154" t="s">
        <v>7123</v>
      </c>
    </row>
    <row r="296" customFormat="false" ht="76" hidden="false" customHeight="true" outlineLevel="0" collapsed="false">
      <c r="A296" s="154" t="s">
        <v>6846</v>
      </c>
      <c r="B296" s="154" t="s">
        <v>7124</v>
      </c>
      <c r="C296" s="154" t="s">
        <v>4743</v>
      </c>
      <c r="D296" s="154" t="s">
        <v>7121</v>
      </c>
      <c r="E296" s="154" t="s">
        <v>7129</v>
      </c>
      <c r="F296" s="154" t="s">
        <v>8244</v>
      </c>
      <c r="G296" s="154" t="s">
        <v>8245</v>
      </c>
      <c r="H296" s="154" t="s">
        <v>7132</v>
      </c>
      <c r="I296" s="154" t="s">
        <v>7123</v>
      </c>
    </row>
    <row r="297" customFormat="false" ht="76" hidden="false" customHeight="true" outlineLevel="0" collapsed="false">
      <c r="A297" s="154" t="s">
        <v>6846</v>
      </c>
      <c r="B297" s="154" t="s">
        <v>7124</v>
      </c>
      <c r="C297" s="154" t="s">
        <v>8246</v>
      </c>
      <c r="D297" s="154" t="s">
        <v>8247</v>
      </c>
      <c r="E297" s="154" t="s">
        <v>8248</v>
      </c>
      <c r="F297" s="154" t="s">
        <v>8249</v>
      </c>
      <c r="G297" s="154" t="s">
        <v>8250</v>
      </c>
      <c r="H297" s="154" t="s">
        <v>8251</v>
      </c>
      <c r="I297" s="154" t="s">
        <v>7123</v>
      </c>
    </row>
    <row r="298" customFormat="false" ht="76" hidden="false" customHeight="true" outlineLevel="0" collapsed="false">
      <c r="A298" s="154" t="s">
        <v>6846</v>
      </c>
      <c r="B298" s="154" t="s">
        <v>7124</v>
      </c>
      <c r="C298" s="154" t="s">
        <v>8252</v>
      </c>
      <c r="D298" s="154" t="s">
        <v>8253</v>
      </c>
      <c r="E298" s="154" t="s">
        <v>8254</v>
      </c>
      <c r="F298" s="154" t="s">
        <v>8255</v>
      </c>
      <c r="G298" s="154" t="s">
        <v>8256</v>
      </c>
      <c r="H298" s="154" t="s">
        <v>8257</v>
      </c>
      <c r="I298" s="154" t="s">
        <v>7123</v>
      </c>
    </row>
    <row r="299" customFormat="false" ht="76" hidden="false" customHeight="true" outlineLevel="0" collapsed="false">
      <c r="A299" s="154" t="s">
        <v>6846</v>
      </c>
      <c r="B299" s="154" t="s">
        <v>7124</v>
      </c>
      <c r="C299" s="154" t="s">
        <v>8258</v>
      </c>
      <c r="D299" s="154" t="s">
        <v>8259</v>
      </c>
      <c r="E299" s="154" t="s">
        <v>8260</v>
      </c>
      <c r="F299" s="154" t="s">
        <v>8261</v>
      </c>
      <c r="G299" s="154" t="s">
        <v>8262</v>
      </c>
      <c r="H299" s="154" t="s">
        <v>8263</v>
      </c>
      <c r="I299" s="154" t="s">
        <v>7123</v>
      </c>
    </row>
    <row r="300" customFormat="false" ht="76" hidden="false" customHeight="true" outlineLevel="0" collapsed="false">
      <c r="A300" s="154" t="s">
        <v>6846</v>
      </c>
      <c r="B300" s="154" t="s">
        <v>7124</v>
      </c>
      <c r="C300" s="154" t="s">
        <v>8264</v>
      </c>
      <c r="D300" s="154" t="s">
        <v>8265</v>
      </c>
      <c r="E300" s="154" t="s">
        <v>8266</v>
      </c>
      <c r="F300" s="154" t="s">
        <v>8267</v>
      </c>
      <c r="G300" s="154" t="s">
        <v>8268</v>
      </c>
      <c r="H300" s="154" t="s">
        <v>8269</v>
      </c>
      <c r="I300" s="154" t="s">
        <v>7123</v>
      </c>
    </row>
    <row r="301" customFormat="false" ht="84" hidden="false" customHeight="true" outlineLevel="0" collapsed="false">
      <c r="A301" s="154" t="s">
        <v>6846</v>
      </c>
      <c r="B301" s="154" t="s">
        <v>7124</v>
      </c>
      <c r="C301" s="154" t="s">
        <v>8270</v>
      </c>
      <c r="D301" s="154" t="s">
        <v>8271</v>
      </c>
      <c r="E301" s="154" t="s">
        <v>8272</v>
      </c>
      <c r="F301" s="154" t="s">
        <v>8273</v>
      </c>
      <c r="G301" s="154" t="s">
        <v>8274</v>
      </c>
      <c r="H301" s="154" t="s">
        <v>8275</v>
      </c>
      <c r="I301" s="154" t="s">
        <v>7123</v>
      </c>
    </row>
    <row r="302" customFormat="false" ht="76" hidden="false" customHeight="true" outlineLevel="0" collapsed="false">
      <c r="A302" s="154" t="s">
        <v>6846</v>
      </c>
      <c r="B302" s="154" t="s">
        <v>7124</v>
      </c>
      <c r="C302" s="154" t="s">
        <v>8276</v>
      </c>
      <c r="D302" s="154" t="s">
        <v>8277</v>
      </c>
      <c r="E302" s="154" t="s">
        <v>8278</v>
      </c>
      <c r="F302" s="154" t="s">
        <v>8279</v>
      </c>
      <c r="G302" s="154" t="s">
        <v>8280</v>
      </c>
      <c r="H302" s="154" t="s">
        <v>8281</v>
      </c>
      <c r="I302" s="154" t="s">
        <v>7123</v>
      </c>
    </row>
    <row r="303" customFormat="false" ht="76" hidden="false" customHeight="true" outlineLevel="0" collapsed="false">
      <c r="A303" s="154" t="s">
        <v>6846</v>
      </c>
      <c r="B303" s="154" t="s">
        <v>7124</v>
      </c>
      <c r="C303" s="154" t="s">
        <v>8282</v>
      </c>
      <c r="D303" s="154" t="s">
        <v>8283</v>
      </c>
      <c r="E303" s="154" t="s">
        <v>8284</v>
      </c>
      <c r="F303" s="154" t="s">
        <v>8285</v>
      </c>
      <c r="G303" s="154" t="s">
        <v>8286</v>
      </c>
      <c r="H303" s="154" t="s">
        <v>8287</v>
      </c>
      <c r="I303" s="154" t="s">
        <v>7123</v>
      </c>
    </row>
    <row r="304" customFormat="false" ht="76" hidden="false" customHeight="true" outlineLevel="0" collapsed="false">
      <c r="A304" s="154" t="s">
        <v>6846</v>
      </c>
      <c r="B304" s="154" t="s">
        <v>7124</v>
      </c>
      <c r="C304" s="154" t="s">
        <v>8288</v>
      </c>
      <c r="D304" s="154" t="s">
        <v>8289</v>
      </c>
      <c r="E304" s="154" t="s">
        <v>8290</v>
      </c>
      <c r="F304" s="154" t="s">
        <v>8291</v>
      </c>
      <c r="G304" s="154" t="s">
        <v>8292</v>
      </c>
      <c r="H304" s="154" t="s">
        <v>8293</v>
      </c>
      <c r="I304" s="154" t="s">
        <v>7123</v>
      </c>
    </row>
    <row r="305" customFormat="false" ht="76" hidden="false" customHeight="true" outlineLevel="0" collapsed="false">
      <c r="A305" s="154" t="s">
        <v>6846</v>
      </c>
      <c r="B305" s="154" t="s">
        <v>7124</v>
      </c>
      <c r="C305" s="154" t="s">
        <v>8294</v>
      </c>
      <c r="D305" s="154" t="s">
        <v>8295</v>
      </c>
      <c r="E305" s="154" t="s">
        <v>8296</v>
      </c>
      <c r="F305" s="154" t="s">
        <v>8297</v>
      </c>
      <c r="G305" s="154" t="s">
        <v>8298</v>
      </c>
      <c r="H305" s="154" t="s">
        <v>8299</v>
      </c>
      <c r="I305" s="154" t="s">
        <v>7123</v>
      </c>
    </row>
    <row r="306" customFormat="false" ht="76" hidden="false" customHeight="true" outlineLevel="0" collapsed="false">
      <c r="A306" s="154" t="s">
        <v>6846</v>
      </c>
      <c r="B306" s="154" t="s">
        <v>7124</v>
      </c>
      <c r="C306" s="154" t="s">
        <v>8300</v>
      </c>
      <c r="D306" s="154" t="s">
        <v>8301</v>
      </c>
      <c r="E306" s="154" t="s">
        <v>8302</v>
      </c>
      <c r="F306" s="154" t="s">
        <v>8303</v>
      </c>
      <c r="G306" s="154" t="s">
        <v>8304</v>
      </c>
      <c r="H306" s="154" t="s">
        <v>8305</v>
      </c>
      <c r="I306" s="154" t="s">
        <v>7123</v>
      </c>
    </row>
    <row r="307" customFormat="false" ht="76" hidden="false" customHeight="true" outlineLevel="0" collapsed="false">
      <c r="A307" s="154" t="s">
        <v>6846</v>
      </c>
      <c r="B307" s="154" t="s">
        <v>7124</v>
      </c>
      <c r="C307" s="154" t="s">
        <v>8306</v>
      </c>
      <c r="D307" s="154" t="s">
        <v>8307</v>
      </c>
      <c r="E307" s="154" t="s">
        <v>8308</v>
      </c>
      <c r="F307" s="154" t="s">
        <v>8309</v>
      </c>
      <c r="G307" s="154" t="s">
        <v>8310</v>
      </c>
      <c r="H307" s="154" t="s">
        <v>8311</v>
      </c>
      <c r="I307" s="154" t="s">
        <v>7123</v>
      </c>
    </row>
    <row r="308" customFormat="false" ht="76" hidden="false" customHeight="true" outlineLevel="0" collapsed="false">
      <c r="A308" s="154" t="s">
        <v>6846</v>
      </c>
      <c r="B308" s="154" t="s">
        <v>7124</v>
      </c>
      <c r="C308" s="154" t="s">
        <v>8312</v>
      </c>
      <c r="D308" s="154" t="s">
        <v>8313</v>
      </c>
      <c r="E308" s="154" t="s">
        <v>8314</v>
      </c>
      <c r="F308" s="154" t="s">
        <v>8315</v>
      </c>
      <c r="G308" s="154" t="s">
        <v>8316</v>
      </c>
      <c r="H308" s="154" t="s">
        <v>8317</v>
      </c>
      <c r="I308" s="154" t="s">
        <v>7123</v>
      </c>
    </row>
    <row r="309" customFormat="false" ht="140" hidden="false" customHeight="true" outlineLevel="0" collapsed="false">
      <c r="A309" s="154" t="s">
        <v>6846</v>
      </c>
      <c r="B309" s="154" t="s">
        <v>7124</v>
      </c>
      <c r="C309" s="154" t="s">
        <v>4743</v>
      </c>
      <c r="D309" s="154" t="s">
        <v>7121</v>
      </c>
      <c r="E309" s="154" t="s">
        <v>8318</v>
      </c>
      <c r="F309" s="154" t="s">
        <v>8319</v>
      </c>
      <c r="G309" s="154" t="s">
        <v>8320</v>
      </c>
      <c r="H309" s="154" t="s">
        <v>8321</v>
      </c>
      <c r="I309" s="154" t="s">
        <v>7123</v>
      </c>
    </row>
    <row r="310" customFormat="false" ht="112" hidden="false" customHeight="true" outlineLevel="0" collapsed="false">
      <c r="A310" s="154" t="s">
        <v>6846</v>
      </c>
      <c r="B310" s="154" t="s">
        <v>7124</v>
      </c>
      <c r="C310" s="154" t="s">
        <v>4743</v>
      </c>
      <c r="D310" s="154" t="s">
        <v>7121</v>
      </c>
      <c r="E310" s="154" t="s">
        <v>8322</v>
      </c>
      <c r="F310" s="154" t="s">
        <v>8323</v>
      </c>
      <c r="G310" s="154" t="s">
        <v>8324</v>
      </c>
      <c r="H310" s="154" t="s">
        <v>8325</v>
      </c>
      <c r="I310" s="154" t="s">
        <v>7123</v>
      </c>
    </row>
    <row r="311" customFormat="false" ht="76" hidden="false" customHeight="true" outlineLevel="0" collapsed="false">
      <c r="A311" s="154" t="s">
        <v>6846</v>
      </c>
      <c r="B311" s="154" t="s">
        <v>7124</v>
      </c>
      <c r="C311" s="154" t="s">
        <v>4743</v>
      </c>
      <c r="D311" s="154" t="s">
        <v>7121</v>
      </c>
      <c r="E311" s="154" t="s">
        <v>8326</v>
      </c>
      <c r="F311" s="154" t="s">
        <v>8327</v>
      </c>
      <c r="G311" s="154" t="s">
        <v>8328</v>
      </c>
      <c r="H311" s="154" t="s">
        <v>8329</v>
      </c>
      <c r="I311" s="154" t="s">
        <v>7123</v>
      </c>
    </row>
    <row r="312" customFormat="false" ht="76" hidden="false" customHeight="true" outlineLevel="0" collapsed="false">
      <c r="A312" s="154" t="s">
        <v>6846</v>
      </c>
      <c r="B312" s="154" t="s">
        <v>7124</v>
      </c>
      <c r="C312" s="154" t="s">
        <v>4743</v>
      </c>
      <c r="D312" s="154" t="s">
        <v>7121</v>
      </c>
      <c r="E312" s="154" t="s">
        <v>8330</v>
      </c>
      <c r="F312" s="154" t="s">
        <v>8331</v>
      </c>
      <c r="G312" s="154" t="s">
        <v>8332</v>
      </c>
      <c r="H312" s="154" t="s">
        <v>8333</v>
      </c>
      <c r="I312" s="154" t="s">
        <v>7123</v>
      </c>
    </row>
    <row r="313" customFormat="false" ht="76" hidden="false" customHeight="true" outlineLevel="0" collapsed="false">
      <c r="A313" s="154" t="s">
        <v>6846</v>
      </c>
      <c r="B313" s="154" t="s">
        <v>7124</v>
      </c>
      <c r="C313" s="154" t="s">
        <v>4743</v>
      </c>
      <c r="D313" s="154" t="s">
        <v>7121</v>
      </c>
      <c r="E313" s="154" t="s">
        <v>8334</v>
      </c>
      <c r="F313" s="154" t="s">
        <v>8335</v>
      </c>
      <c r="G313" s="154" t="s">
        <v>8336</v>
      </c>
      <c r="H313" s="154" t="s">
        <v>8337</v>
      </c>
      <c r="I313" s="154" t="s">
        <v>7123</v>
      </c>
    </row>
    <row r="314" customFormat="false" ht="76" hidden="false" customHeight="true" outlineLevel="0" collapsed="false">
      <c r="A314" s="154" t="s">
        <v>6846</v>
      </c>
      <c r="B314" s="154" t="s">
        <v>7124</v>
      </c>
      <c r="C314" s="154" t="s">
        <v>4743</v>
      </c>
      <c r="D314" s="154" t="s">
        <v>7121</v>
      </c>
      <c r="E314" s="154" t="s">
        <v>8338</v>
      </c>
      <c r="F314" s="154" t="s">
        <v>8339</v>
      </c>
      <c r="G314" s="154" t="s">
        <v>8340</v>
      </c>
      <c r="H314" s="154" t="s">
        <v>8341</v>
      </c>
      <c r="I314" s="154" t="s">
        <v>7123</v>
      </c>
    </row>
    <row r="315" customFormat="false" ht="76" hidden="false" customHeight="true" outlineLevel="0" collapsed="false">
      <c r="A315" s="154" t="s">
        <v>6846</v>
      </c>
      <c r="B315" s="154" t="s">
        <v>7124</v>
      </c>
      <c r="C315" s="154" t="s">
        <v>4743</v>
      </c>
      <c r="D315" s="154" t="s">
        <v>7121</v>
      </c>
      <c r="E315" s="154" t="s">
        <v>8342</v>
      </c>
      <c r="F315" s="154" t="s">
        <v>8343</v>
      </c>
      <c r="G315" s="154" t="s">
        <v>8344</v>
      </c>
      <c r="H315" s="154" t="s">
        <v>8345</v>
      </c>
      <c r="I315" s="154" t="s">
        <v>7123</v>
      </c>
    </row>
    <row r="316" customFormat="false" ht="84" hidden="false" customHeight="true" outlineLevel="0" collapsed="false">
      <c r="A316" s="154" t="s">
        <v>6846</v>
      </c>
      <c r="B316" s="154" t="s">
        <v>7124</v>
      </c>
      <c r="C316" s="154" t="s">
        <v>4743</v>
      </c>
      <c r="D316" s="154" t="s">
        <v>7121</v>
      </c>
      <c r="E316" s="154" t="s">
        <v>8346</v>
      </c>
      <c r="F316" s="154" t="s">
        <v>8347</v>
      </c>
      <c r="G316" s="154" t="s">
        <v>8348</v>
      </c>
      <c r="H316" s="154" t="s">
        <v>8349</v>
      </c>
      <c r="I316" s="154" t="s">
        <v>7123</v>
      </c>
    </row>
    <row r="317" customFormat="false" ht="84" hidden="false" customHeight="true" outlineLevel="0" collapsed="false">
      <c r="A317" s="154" t="s">
        <v>6846</v>
      </c>
      <c r="B317" s="154" t="s">
        <v>7124</v>
      </c>
      <c r="C317" s="154" t="s">
        <v>4743</v>
      </c>
      <c r="D317" s="154" t="s">
        <v>7121</v>
      </c>
      <c r="E317" s="154" t="s">
        <v>8350</v>
      </c>
      <c r="F317" s="154" t="s">
        <v>8351</v>
      </c>
      <c r="G317" s="154" t="s">
        <v>8352</v>
      </c>
      <c r="H317" s="154" t="s">
        <v>8353</v>
      </c>
      <c r="I317" s="154" t="s">
        <v>7123</v>
      </c>
    </row>
    <row r="318" customFormat="false" ht="76" hidden="false" customHeight="true" outlineLevel="0" collapsed="false">
      <c r="A318" s="154" t="s">
        <v>6846</v>
      </c>
      <c r="B318" s="154" t="s">
        <v>7124</v>
      </c>
      <c r="C318" s="154" t="s">
        <v>4743</v>
      </c>
      <c r="D318" s="154" t="s">
        <v>7121</v>
      </c>
      <c r="E318" s="154" t="s">
        <v>4744</v>
      </c>
      <c r="F318" s="154" t="s">
        <v>8354</v>
      </c>
      <c r="G318" s="154" t="s">
        <v>8355</v>
      </c>
      <c r="H318" s="154" t="s">
        <v>7143</v>
      </c>
      <c r="I318" s="154" t="s">
        <v>7123</v>
      </c>
    </row>
    <row r="319" customFormat="false" ht="76" hidden="false" customHeight="true" outlineLevel="0" collapsed="false">
      <c r="A319" s="154" t="s">
        <v>6846</v>
      </c>
      <c r="B319" s="154" t="s">
        <v>7124</v>
      </c>
      <c r="C319" s="154" t="s">
        <v>4743</v>
      </c>
      <c r="D319" s="154" t="s">
        <v>7121</v>
      </c>
      <c r="E319" s="154" t="s">
        <v>8356</v>
      </c>
      <c r="F319" s="154" t="s">
        <v>8357</v>
      </c>
      <c r="G319" s="154" t="s">
        <v>8358</v>
      </c>
      <c r="H319" s="154" t="s">
        <v>8359</v>
      </c>
      <c r="I319" s="154" t="s">
        <v>7123</v>
      </c>
    </row>
    <row r="320" customFormat="false" ht="76" hidden="false" customHeight="true" outlineLevel="0" collapsed="false">
      <c r="A320" s="154" t="s">
        <v>6846</v>
      </c>
      <c r="B320" s="154" t="s">
        <v>7124</v>
      </c>
      <c r="C320" s="154" t="s">
        <v>4743</v>
      </c>
      <c r="D320" s="154" t="s">
        <v>7121</v>
      </c>
      <c r="E320" s="154" t="s">
        <v>8360</v>
      </c>
      <c r="F320" s="154" t="s">
        <v>8361</v>
      </c>
      <c r="G320" s="154" t="s">
        <v>8362</v>
      </c>
      <c r="H320" s="154" t="s">
        <v>8363</v>
      </c>
      <c r="I320" s="154" t="s">
        <v>7123</v>
      </c>
    </row>
    <row r="321" customFormat="false" ht="76" hidden="false" customHeight="true" outlineLevel="0" collapsed="false">
      <c r="A321" s="154" t="s">
        <v>6846</v>
      </c>
      <c r="B321" s="154" t="s">
        <v>7152</v>
      </c>
      <c r="C321" s="154" t="s">
        <v>4743</v>
      </c>
      <c r="D321" s="154" t="s">
        <v>7121</v>
      </c>
      <c r="E321" s="154" t="s">
        <v>8364</v>
      </c>
      <c r="F321" s="154" t="s">
        <v>8365</v>
      </c>
      <c r="G321" s="154" t="s">
        <v>8366</v>
      </c>
      <c r="H321" s="154" t="s">
        <v>8367</v>
      </c>
      <c r="I321" s="154" t="s">
        <v>7123</v>
      </c>
    </row>
    <row r="322" customFormat="false" ht="112" hidden="false" customHeight="true" outlineLevel="0" collapsed="false">
      <c r="A322" s="154" t="s">
        <v>6846</v>
      </c>
      <c r="B322" s="154" t="s">
        <v>7152</v>
      </c>
      <c r="C322" s="154" t="s">
        <v>4743</v>
      </c>
      <c r="D322" s="154" t="s">
        <v>7121</v>
      </c>
      <c r="E322" s="154" t="s">
        <v>8368</v>
      </c>
      <c r="F322" s="154" t="s">
        <v>8369</v>
      </c>
      <c r="G322" s="154" t="s">
        <v>8370</v>
      </c>
      <c r="H322" s="154" t="s">
        <v>8371</v>
      </c>
      <c r="I322" s="154" t="s">
        <v>7123</v>
      </c>
    </row>
    <row r="323" customFormat="false" ht="112" hidden="false" customHeight="true" outlineLevel="0" collapsed="false">
      <c r="A323" s="154" t="s">
        <v>6846</v>
      </c>
      <c r="B323" s="154" t="s">
        <v>7152</v>
      </c>
      <c r="C323" s="154" t="s">
        <v>4743</v>
      </c>
      <c r="D323" s="154" t="s">
        <v>7121</v>
      </c>
      <c r="E323" s="154" t="s">
        <v>8372</v>
      </c>
      <c r="F323" s="154" t="s">
        <v>8373</v>
      </c>
      <c r="G323" s="154" t="s">
        <v>8374</v>
      </c>
      <c r="H323" s="154" t="s">
        <v>8375</v>
      </c>
      <c r="I323" s="154" t="s">
        <v>7123</v>
      </c>
    </row>
    <row r="324" customFormat="false" ht="210" hidden="false" customHeight="true" outlineLevel="0" collapsed="false">
      <c r="A324" s="154" t="s">
        <v>6846</v>
      </c>
      <c r="B324" s="154" t="s">
        <v>7152</v>
      </c>
      <c r="C324" s="154" t="s">
        <v>4743</v>
      </c>
      <c r="D324" s="154" t="s">
        <v>7121</v>
      </c>
      <c r="E324" s="154" t="s">
        <v>8376</v>
      </c>
      <c r="F324" s="154" t="s">
        <v>8377</v>
      </c>
      <c r="G324" s="154" t="s">
        <v>8378</v>
      </c>
      <c r="H324" s="154" t="s">
        <v>8379</v>
      </c>
      <c r="I324" s="154" t="s">
        <v>7123</v>
      </c>
    </row>
    <row r="325" customFormat="false" ht="182" hidden="false" customHeight="true" outlineLevel="0" collapsed="false">
      <c r="A325" s="154" t="s">
        <v>6846</v>
      </c>
      <c r="B325" s="154" t="s">
        <v>7152</v>
      </c>
      <c r="C325" s="154" t="s">
        <v>4743</v>
      </c>
      <c r="D325" s="154" t="s">
        <v>7121</v>
      </c>
      <c r="E325" s="154" t="s">
        <v>8380</v>
      </c>
      <c r="F325" s="154" t="s">
        <v>8381</v>
      </c>
      <c r="G325" s="154" t="s">
        <v>8382</v>
      </c>
      <c r="H325" s="154" t="s">
        <v>8383</v>
      </c>
      <c r="I325" s="154" t="s">
        <v>7123</v>
      </c>
    </row>
    <row r="326" customFormat="false" ht="76" hidden="false" customHeight="true" outlineLevel="0" collapsed="false">
      <c r="A326" s="154" t="s">
        <v>6846</v>
      </c>
      <c r="B326" s="154" t="s">
        <v>7152</v>
      </c>
      <c r="C326" s="154" t="s">
        <v>4743</v>
      </c>
      <c r="D326" s="154" t="s">
        <v>7121</v>
      </c>
      <c r="E326" s="154" t="s">
        <v>8384</v>
      </c>
      <c r="F326" s="154" t="s">
        <v>8385</v>
      </c>
      <c r="G326" s="154" t="s">
        <v>8386</v>
      </c>
      <c r="H326" s="154" t="s">
        <v>8387</v>
      </c>
      <c r="I326" s="154" t="s">
        <v>7123</v>
      </c>
    </row>
    <row r="327" customFormat="false" ht="84" hidden="false" customHeight="true" outlineLevel="0" collapsed="false">
      <c r="A327" s="154" t="s">
        <v>6846</v>
      </c>
      <c r="B327" s="154" t="s">
        <v>7152</v>
      </c>
      <c r="C327" s="154" t="s">
        <v>4743</v>
      </c>
      <c r="D327" s="154" t="s">
        <v>7121</v>
      </c>
      <c r="E327" s="154" t="s">
        <v>8388</v>
      </c>
      <c r="F327" s="154" t="s">
        <v>8389</v>
      </c>
      <c r="G327" s="154" t="s">
        <v>8390</v>
      </c>
      <c r="H327" s="154" t="s">
        <v>8391</v>
      </c>
      <c r="I327" s="154" t="s">
        <v>7123</v>
      </c>
    </row>
    <row r="328" customFormat="false" ht="76" hidden="false" customHeight="true" outlineLevel="0" collapsed="false">
      <c r="A328" s="154" t="s">
        <v>6846</v>
      </c>
      <c r="B328" s="154" t="s">
        <v>7152</v>
      </c>
      <c r="C328" s="154" t="s">
        <v>4743</v>
      </c>
      <c r="D328" s="154" t="s">
        <v>7121</v>
      </c>
      <c r="E328" s="154" t="s">
        <v>8392</v>
      </c>
      <c r="F328" s="154" t="s">
        <v>8393</v>
      </c>
      <c r="G328" s="154" t="s">
        <v>8394</v>
      </c>
      <c r="H328" s="154" t="s">
        <v>8395</v>
      </c>
      <c r="I328" s="154" t="s">
        <v>7123</v>
      </c>
    </row>
    <row r="329" customFormat="false" ht="154" hidden="false" customHeight="true" outlineLevel="0" collapsed="false">
      <c r="A329" s="154" t="s">
        <v>6846</v>
      </c>
      <c r="B329" s="154" t="s">
        <v>7185</v>
      </c>
      <c r="C329" s="154" t="s">
        <v>4743</v>
      </c>
      <c r="D329" s="154" t="s">
        <v>7121</v>
      </c>
      <c r="E329" s="154" t="s">
        <v>8396</v>
      </c>
      <c r="F329" s="154" t="s">
        <v>8397</v>
      </c>
      <c r="G329" s="154" t="s">
        <v>8398</v>
      </c>
      <c r="H329" s="154" t="s">
        <v>8399</v>
      </c>
      <c r="I329" s="154" t="s">
        <v>7123</v>
      </c>
    </row>
    <row r="330" customFormat="false" ht="196" hidden="false" customHeight="true" outlineLevel="0" collapsed="false">
      <c r="A330" s="154" t="s">
        <v>6866</v>
      </c>
      <c r="B330" s="154" t="s">
        <v>7120</v>
      </c>
      <c r="C330" s="154" t="s">
        <v>4743</v>
      </c>
      <c r="D330" s="154" t="s">
        <v>7121</v>
      </c>
      <c r="E330" s="154" t="s">
        <v>8400</v>
      </c>
      <c r="F330" s="154" t="s">
        <v>6871</v>
      </c>
      <c r="G330" s="154" t="s">
        <v>6867</v>
      </c>
      <c r="H330" s="154" t="s">
        <v>6882</v>
      </c>
      <c r="I330" s="154" t="s">
        <v>7123</v>
      </c>
    </row>
    <row r="331" customFormat="false" ht="76" hidden="false" customHeight="true" outlineLevel="0" collapsed="false">
      <c r="A331" s="154" t="s">
        <v>6866</v>
      </c>
      <c r="B331" s="154" t="s">
        <v>7124</v>
      </c>
      <c r="C331" s="154" t="s">
        <v>4743</v>
      </c>
      <c r="D331" s="154" t="s">
        <v>7121</v>
      </c>
      <c r="E331" s="154" t="s">
        <v>8401</v>
      </c>
      <c r="F331" s="154" t="s">
        <v>8402</v>
      </c>
      <c r="G331" s="154" t="s">
        <v>8403</v>
      </c>
      <c r="H331" s="154" t="s">
        <v>8404</v>
      </c>
      <c r="I331" s="154" t="s">
        <v>7123</v>
      </c>
    </row>
    <row r="332" customFormat="false" ht="76" hidden="false" customHeight="true" outlineLevel="0" collapsed="false">
      <c r="A332" s="154" t="s">
        <v>6866</v>
      </c>
      <c r="B332" s="154" t="s">
        <v>7124</v>
      </c>
      <c r="C332" s="154" t="s">
        <v>4743</v>
      </c>
      <c r="D332" s="154" t="s">
        <v>7121</v>
      </c>
      <c r="E332" s="154" t="s">
        <v>7129</v>
      </c>
      <c r="F332" s="154" t="s">
        <v>8405</v>
      </c>
      <c r="G332" s="154" t="s">
        <v>8406</v>
      </c>
      <c r="H332" s="154" t="s">
        <v>7132</v>
      </c>
      <c r="I332" s="154" t="s">
        <v>7123</v>
      </c>
    </row>
    <row r="333" customFormat="false" ht="76" hidden="false" customHeight="true" outlineLevel="0" collapsed="false">
      <c r="A333" s="154" t="s">
        <v>6866</v>
      </c>
      <c r="B333" s="154" t="s">
        <v>7124</v>
      </c>
      <c r="C333" s="154" t="s">
        <v>8407</v>
      </c>
      <c r="D333" s="154" t="s">
        <v>8146</v>
      </c>
      <c r="E333" s="154" t="s">
        <v>8408</v>
      </c>
      <c r="F333" s="154" t="s">
        <v>8409</v>
      </c>
      <c r="G333" s="154" t="s">
        <v>8410</v>
      </c>
      <c r="H333" s="154" t="s">
        <v>8411</v>
      </c>
      <c r="I333" s="154" t="s">
        <v>7123</v>
      </c>
    </row>
    <row r="334" customFormat="false" ht="76" hidden="false" customHeight="true" outlineLevel="0" collapsed="false">
      <c r="A334" s="154" t="s">
        <v>6866</v>
      </c>
      <c r="B334" s="154" t="s">
        <v>7124</v>
      </c>
      <c r="C334" s="154" t="s">
        <v>8412</v>
      </c>
      <c r="D334" s="154" t="s">
        <v>7957</v>
      </c>
      <c r="E334" s="154" t="s">
        <v>8413</v>
      </c>
      <c r="F334" s="154" t="s">
        <v>8414</v>
      </c>
      <c r="G334" s="154" t="s">
        <v>8415</v>
      </c>
      <c r="H334" s="154" t="s">
        <v>8416</v>
      </c>
      <c r="I334" s="154" t="s">
        <v>7123</v>
      </c>
    </row>
    <row r="335" customFormat="false" ht="76" hidden="false" customHeight="true" outlineLevel="0" collapsed="false">
      <c r="A335" s="154" t="s">
        <v>6866</v>
      </c>
      <c r="B335" s="154" t="s">
        <v>7124</v>
      </c>
      <c r="C335" s="154" t="s">
        <v>8417</v>
      </c>
      <c r="D335" s="154" t="s">
        <v>8418</v>
      </c>
      <c r="E335" s="154" t="s">
        <v>8419</v>
      </c>
      <c r="F335" s="154" t="s">
        <v>8420</v>
      </c>
      <c r="G335" s="154" t="s">
        <v>8421</v>
      </c>
      <c r="H335" s="154" t="s">
        <v>8422</v>
      </c>
      <c r="I335" s="154" t="s">
        <v>7123</v>
      </c>
    </row>
    <row r="336" customFormat="false" ht="84" hidden="false" customHeight="true" outlineLevel="0" collapsed="false">
      <c r="A336" s="154" t="s">
        <v>6866</v>
      </c>
      <c r="B336" s="154" t="s">
        <v>7124</v>
      </c>
      <c r="C336" s="154" t="s">
        <v>8423</v>
      </c>
      <c r="D336" s="154" t="s">
        <v>5849</v>
      </c>
      <c r="E336" s="154" t="s">
        <v>8424</v>
      </c>
      <c r="F336" s="154" t="s">
        <v>8425</v>
      </c>
      <c r="G336" s="154" t="s">
        <v>8426</v>
      </c>
      <c r="H336" s="154" t="s">
        <v>8427</v>
      </c>
      <c r="I336" s="154" t="s">
        <v>7123</v>
      </c>
    </row>
    <row r="337" customFormat="false" ht="84" hidden="false" customHeight="true" outlineLevel="0" collapsed="false">
      <c r="A337" s="154" t="s">
        <v>6866</v>
      </c>
      <c r="B337" s="154" t="s">
        <v>7124</v>
      </c>
      <c r="C337" s="154" t="s">
        <v>8428</v>
      </c>
      <c r="D337" s="154" t="s">
        <v>8429</v>
      </c>
      <c r="E337" s="154" t="s">
        <v>8430</v>
      </c>
      <c r="F337" s="154" t="s">
        <v>8431</v>
      </c>
      <c r="G337" s="154" t="s">
        <v>8432</v>
      </c>
      <c r="H337" s="154" t="s">
        <v>8433</v>
      </c>
      <c r="I337" s="154" t="s">
        <v>7123</v>
      </c>
    </row>
    <row r="338" customFormat="false" ht="98" hidden="false" customHeight="true" outlineLevel="0" collapsed="false">
      <c r="A338" s="154" t="s">
        <v>6866</v>
      </c>
      <c r="B338" s="154" t="s">
        <v>7124</v>
      </c>
      <c r="C338" s="154" t="s">
        <v>8434</v>
      </c>
      <c r="D338" s="154" t="s">
        <v>8435</v>
      </c>
      <c r="E338" s="154" t="s">
        <v>8436</v>
      </c>
      <c r="F338" s="154" t="s">
        <v>8437</v>
      </c>
      <c r="G338" s="154" t="s">
        <v>8438</v>
      </c>
      <c r="H338" s="154" t="s">
        <v>8439</v>
      </c>
      <c r="I338" s="154" t="s">
        <v>7123</v>
      </c>
    </row>
    <row r="339" customFormat="false" ht="98" hidden="false" customHeight="true" outlineLevel="0" collapsed="false">
      <c r="A339" s="154" t="s">
        <v>6866</v>
      </c>
      <c r="B339" s="154" t="s">
        <v>7124</v>
      </c>
      <c r="C339" s="154" t="s">
        <v>8440</v>
      </c>
      <c r="D339" s="154" t="s">
        <v>8441</v>
      </c>
      <c r="E339" s="154" t="s">
        <v>8442</v>
      </c>
      <c r="F339" s="154" t="s">
        <v>8443</v>
      </c>
      <c r="G339" s="154" t="s">
        <v>8444</v>
      </c>
      <c r="H339" s="154" t="s">
        <v>8445</v>
      </c>
      <c r="I339" s="154" t="s">
        <v>7123</v>
      </c>
    </row>
    <row r="340" customFormat="false" ht="196" hidden="false" customHeight="true" outlineLevel="0" collapsed="false">
      <c r="A340" s="154" t="s">
        <v>6866</v>
      </c>
      <c r="B340" s="154" t="s">
        <v>7124</v>
      </c>
      <c r="C340" s="154" t="s">
        <v>4743</v>
      </c>
      <c r="D340" s="154" t="s">
        <v>7121</v>
      </c>
      <c r="E340" s="154" t="s">
        <v>8446</v>
      </c>
      <c r="F340" s="154" t="s">
        <v>8447</v>
      </c>
      <c r="G340" s="154" t="s">
        <v>8448</v>
      </c>
      <c r="H340" s="154" t="s">
        <v>8449</v>
      </c>
      <c r="I340" s="154" t="s">
        <v>7123</v>
      </c>
    </row>
    <row r="341" customFormat="false" ht="76" hidden="false" customHeight="true" outlineLevel="0" collapsed="false">
      <c r="A341" s="154" t="s">
        <v>6866</v>
      </c>
      <c r="B341" s="154" t="s">
        <v>7124</v>
      </c>
      <c r="C341" s="154" t="s">
        <v>4743</v>
      </c>
      <c r="D341" s="154" t="s">
        <v>7121</v>
      </c>
      <c r="E341" s="154" t="s">
        <v>4744</v>
      </c>
      <c r="F341" s="154" t="s">
        <v>8450</v>
      </c>
      <c r="G341" s="154" t="s">
        <v>8451</v>
      </c>
      <c r="H341" s="154" t="s">
        <v>7143</v>
      </c>
      <c r="I341" s="154" t="s">
        <v>7123</v>
      </c>
    </row>
    <row r="342" customFormat="false" ht="76" hidden="false" customHeight="true" outlineLevel="0" collapsed="false">
      <c r="A342" s="154" t="s">
        <v>6866</v>
      </c>
      <c r="B342" s="154" t="s">
        <v>7124</v>
      </c>
      <c r="C342" s="154" t="s">
        <v>4743</v>
      </c>
      <c r="D342" s="154" t="s">
        <v>7121</v>
      </c>
      <c r="E342" s="154" t="s">
        <v>8452</v>
      </c>
      <c r="F342" s="154" t="s">
        <v>8453</v>
      </c>
      <c r="G342" s="154" t="s">
        <v>8454</v>
      </c>
      <c r="H342" s="154" t="s">
        <v>8455</v>
      </c>
      <c r="I342" s="154" t="s">
        <v>7123</v>
      </c>
    </row>
    <row r="343" customFormat="false" ht="76" hidden="false" customHeight="true" outlineLevel="0" collapsed="false">
      <c r="A343" s="154" t="s">
        <v>6866</v>
      </c>
      <c r="B343" s="154" t="s">
        <v>7124</v>
      </c>
      <c r="C343" s="154" t="s">
        <v>4743</v>
      </c>
      <c r="D343" s="154" t="s">
        <v>7121</v>
      </c>
      <c r="E343" s="154" t="s">
        <v>8456</v>
      </c>
      <c r="F343" s="154" t="s">
        <v>8457</v>
      </c>
      <c r="G343" s="154" t="s">
        <v>8458</v>
      </c>
      <c r="H343" s="154" t="s">
        <v>8459</v>
      </c>
      <c r="I343" s="154" t="s">
        <v>7123</v>
      </c>
    </row>
    <row r="344" customFormat="false" ht="76" hidden="false" customHeight="true" outlineLevel="0" collapsed="false">
      <c r="A344" s="154" t="s">
        <v>6866</v>
      </c>
      <c r="B344" s="154" t="s">
        <v>7152</v>
      </c>
      <c r="C344" s="154" t="s">
        <v>4743</v>
      </c>
      <c r="D344" s="154" t="s">
        <v>7121</v>
      </c>
      <c r="E344" s="154" t="s">
        <v>8460</v>
      </c>
      <c r="F344" s="154" t="s">
        <v>8461</v>
      </c>
      <c r="G344" s="154" t="s">
        <v>8462</v>
      </c>
      <c r="H344" s="154" t="s">
        <v>8463</v>
      </c>
      <c r="I344" s="154" t="s">
        <v>7123</v>
      </c>
    </row>
    <row r="345" customFormat="false" ht="98" hidden="false" customHeight="true" outlineLevel="0" collapsed="false">
      <c r="A345" s="154" t="s">
        <v>6866</v>
      </c>
      <c r="B345" s="154" t="s">
        <v>7152</v>
      </c>
      <c r="C345" s="154" t="s">
        <v>4743</v>
      </c>
      <c r="D345" s="154" t="s">
        <v>7121</v>
      </c>
      <c r="E345" s="154" t="s">
        <v>8464</v>
      </c>
      <c r="F345" s="154" t="s">
        <v>8465</v>
      </c>
      <c r="G345" s="154" t="s">
        <v>8466</v>
      </c>
      <c r="H345" s="154" t="s">
        <v>8467</v>
      </c>
      <c r="I345" s="154" t="s">
        <v>7123</v>
      </c>
    </row>
    <row r="346" customFormat="false" ht="84" hidden="false" customHeight="true" outlineLevel="0" collapsed="false">
      <c r="A346" s="154" t="s">
        <v>6866</v>
      </c>
      <c r="B346" s="154" t="s">
        <v>7152</v>
      </c>
      <c r="C346" s="154" t="s">
        <v>4743</v>
      </c>
      <c r="D346" s="154" t="s">
        <v>7121</v>
      </c>
      <c r="E346" s="154" t="s">
        <v>8468</v>
      </c>
      <c r="F346" s="154" t="s">
        <v>8469</v>
      </c>
      <c r="G346" s="154" t="s">
        <v>8470</v>
      </c>
      <c r="H346" s="154" t="s">
        <v>8471</v>
      </c>
      <c r="I346" s="154" t="s">
        <v>7123</v>
      </c>
    </row>
    <row r="347" customFormat="false" ht="168" hidden="false" customHeight="true" outlineLevel="0" collapsed="false">
      <c r="A347" s="154" t="s">
        <v>6866</v>
      </c>
      <c r="B347" s="154" t="s">
        <v>7152</v>
      </c>
      <c r="C347" s="154" t="s">
        <v>4743</v>
      </c>
      <c r="D347" s="154" t="s">
        <v>7121</v>
      </c>
      <c r="E347" s="154" t="s">
        <v>8472</v>
      </c>
      <c r="F347" s="154" t="s">
        <v>8473</v>
      </c>
      <c r="G347" s="154" t="s">
        <v>8474</v>
      </c>
      <c r="H347" s="154" t="s">
        <v>8475</v>
      </c>
      <c r="I347" s="154" t="s">
        <v>7123</v>
      </c>
    </row>
    <row r="348" customFormat="false" ht="196" hidden="false" customHeight="true" outlineLevel="0" collapsed="false">
      <c r="A348" s="154" t="s">
        <v>6866</v>
      </c>
      <c r="B348" s="154" t="s">
        <v>7152</v>
      </c>
      <c r="C348" s="154" t="s">
        <v>4743</v>
      </c>
      <c r="D348" s="154" t="s">
        <v>7121</v>
      </c>
      <c r="E348" s="154" t="s">
        <v>8476</v>
      </c>
      <c r="F348" s="154" t="s">
        <v>8477</v>
      </c>
      <c r="G348" s="154" t="s">
        <v>8478</v>
      </c>
      <c r="H348" s="154" t="s">
        <v>8479</v>
      </c>
      <c r="I348" s="154" t="s">
        <v>7123</v>
      </c>
    </row>
    <row r="349" customFormat="false" ht="76" hidden="false" customHeight="true" outlineLevel="0" collapsed="false">
      <c r="A349" s="154" t="s">
        <v>6866</v>
      </c>
      <c r="B349" s="154" t="s">
        <v>7152</v>
      </c>
      <c r="C349" s="154" t="s">
        <v>4743</v>
      </c>
      <c r="D349" s="154" t="s">
        <v>7121</v>
      </c>
      <c r="E349" s="154" t="s">
        <v>8480</v>
      </c>
      <c r="F349" s="154" t="s">
        <v>8481</v>
      </c>
      <c r="G349" s="154" t="s">
        <v>8482</v>
      </c>
      <c r="H349" s="154" t="s">
        <v>8483</v>
      </c>
      <c r="I349" s="154" t="s">
        <v>7123</v>
      </c>
    </row>
    <row r="350" customFormat="false" ht="76" hidden="false" customHeight="true" outlineLevel="0" collapsed="false">
      <c r="A350" s="154" t="s">
        <v>6866</v>
      </c>
      <c r="B350" s="154" t="s">
        <v>7152</v>
      </c>
      <c r="C350" s="154" t="s">
        <v>4743</v>
      </c>
      <c r="D350" s="154" t="s">
        <v>7121</v>
      </c>
      <c r="E350" s="154" t="s">
        <v>8484</v>
      </c>
      <c r="F350" s="154" t="s">
        <v>8485</v>
      </c>
      <c r="G350" s="154" t="s">
        <v>8486</v>
      </c>
      <c r="H350" s="154" t="s">
        <v>8487</v>
      </c>
      <c r="I350" s="154" t="s">
        <v>7123</v>
      </c>
    </row>
    <row r="351" customFormat="false" ht="76" hidden="false" customHeight="true" outlineLevel="0" collapsed="false">
      <c r="A351" s="154" t="s">
        <v>6866</v>
      </c>
      <c r="B351" s="154" t="s">
        <v>7152</v>
      </c>
      <c r="C351" s="154" t="s">
        <v>4743</v>
      </c>
      <c r="D351" s="154" t="s">
        <v>7121</v>
      </c>
      <c r="E351" s="154" t="s">
        <v>8488</v>
      </c>
      <c r="F351" s="154" t="s">
        <v>8489</v>
      </c>
      <c r="G351" s="154" t="s">
        <v>8490</v>
      </c>
      <c r="H351" s="154" t="s">
        <v>8491</v>
      </c>
      <c r="I351" s="154" t="s">
        <v>7123</v>
      </c>
    </row>
    <row r="352" customFormat="false" ht="154" hidden="false" customHeight="true" outlineLevel="0" collapsed="false">
      <c r="A352" s="154" t="s">
        <v>6866</v>
      </c>
      <c r="B352" s="154" t="s">
        <v>7185</v>
      </c>
      <c r="C352" s="154" t="s">
        <v>4743</v>
      </c>
      <c r="D352" s="154" t="s">
        <v>7121</v>
      </c>
      <c r="E352" s="154" t="s">
        <v>8492</v>
      </c>
      <c r="F352" s="154" t="s">
        <v>8493</v>
      </c>
      <c r="G352" s="154" t="s">
        <v>8494</v>
      </c>
      <c r="H352" s="154" t="s">
        <v>8495</v>
      </c>
      <c r="I352" s="154" t="s">
        <v>7123</v>
      </c>
    </row>
    <row r="353" customFormat="false" ht="196" hidden="false" customHeight="true" outlineLevel="0" collapsed="false">
      <c r="A353" s="154" t="s">
        <v>6885</v>
      </c>
      <c r="B353" s="154" t="s">
        <v>7120</v>
      </c>
      <c r="C353" s="154" t="s">
        <v>4743</v>
      </c>
      <c r="D353" s="154" t="s">
        <v>7121</v>
      </c>
      <c r="E353" s="154" t="s">
        <v>8496</v>
      </c>
      <c r="F353" s="154" t="s">
        <v>6890</v>
      </c>
      <c r="G353" s="154" t="s">
        <v>6886</v>
      </c>
      <c r="H353" s="154" t="s">
        <v>6901</v>
      </c>
      <c r="I353" s="154" t="s">
        <v>7123</v>
      </c>
    </row>
    <row r="354" customFormat="false" ht="76" hidden="false" customHeight="true" outlineLevel="0" collapsed="false">
      <c r="A354" s="154" t="s">
        <v>6885</v>
      </c>
      <c r="B354" s="154" t="s">
        <v>7124</v>
      </c>
      <c r="C354" s="154" t="s">
        <v>4743</v>
      </c>
      <c r="D354" s="154" t="s">
        <v>7121</v>
      </c>
      <c r="E354" s="154" t="s">
        <v>8497</v>
      </c>
      <c r="F354" s="154" t="s">
        <v>8498</v>
      </c>
      <c r="G354" s="154" t="s">
        <v>8499</v>
      </c>
      <c r="H354" s="154" t="s">
        <v>8500</v>
      </c>
      <c r="I354" s="154" t="s">
        <v>7123</v>
      </c>
    </row>
    <row r="355" customFormat="false" ht="76" hidden="false" customHeight="true" outlineLevel="0" collapsed="false">
      <c r="A355" s="154" t="s">
        <v>6885</v>
      </c>
      <c r="B355" s="154" t="s">
        <v>7124</v>
      </c>
      <c r="C355" s="154" t="s">
        <v>4743</v>
      </c>
      <c r="D355" s="154" t="s">
        <v>7121</v>
      </c>
      <c r="E355" s="154" t="s">
        <v>7129</v>
      </c>
      <c r="F355" s="154" t="s">
        <v>8501</v>
      </c>
      <c r="G355" s="154" t="s">
        <v>8502</v>
      </c>
      <c r="H355" s="154" t="s">
        <v>7132</v>
      </c>
      <c r="I355" s="154" t="s">
        <v>7123</v>
      </c>
    </row>
    <row r="356" customFormat="false" ht="76" hidden="false" customHeight="true" outlineLevel="0" collapsed="false">
      <c r="A356" s="154" t="s">
        <v>6885</v>
      </c>
      <c r="B356" s="154" t="s">
        <v>7124</v>
      </c>
      <c r="C356" s="154" t="s">
        <v>4743</v>
      </c>
      <c r="D356" s="154" t="s">
        <v>7121</v>
      </c>
      <c r="E356" s="154" t="s">
        <v>4744</v>
      </c>
      <c r="F356" s="154" t="s">
        <v>8503</v>
      </c>
      <c r="G356" s="154" t="s">
        <v>8504</v>
      </c>
      <c r="H356" s="154" t="s">
        <v>7143</v>
      </c>
      <c r="I356" s="154" t="s">
        <v>7123</v>
      </c>
    </row>
    <row r="357" customFormat="false" ht="76" hidden="false" customHeight="true" outlineLevel="0" collapsed="false">
      <c r="A357" s="154" t="s">
        <v>6885</v>
      </c>
      <c r="B357" s="154" t="s">
        <v>7124</v>
      </c>
      <c r="C357" s="154" t="s">
        <v>4743</v>
      </c>
      <c r="D357" s="154" t="s">
        <v>7121</v>
      </c>
      <c r="E357" s="154" t="s">
        <v>4744</v>
      </c>
      <c r="F357" s="154" t="s">
        <v>8505</v>
      </c>
      <c r="G357" s="154" t="s">
        <v>8506</v>
      </c>
      <c r="H357" s="154" t="s">
        <v>7143</v>
      </c>
      <c r="I357" s="154" t="s">
        <v>7123</v>
      </c>
    </row>
    <row r="358" customFormat="false" ht="364" hidden="false" customHeight="true" outlineLevel="0" collapsed="false">
      <c r="A358" s="154" t="s">
        <v>6885</v>
      </c>
      <c r="B358" s="154" t="s">
        <v>7124</v>
      </c>
      <c r="C358" s="154" t="s">
        <v>4743</v>
      </c>
      <c r="D358" s="154" t="s">
        <v>7121</v>
      </c>
      <c r="E358" s="154" t="s">
        <v>8507</v>
      </c>
      <c r="F358" s="154" t="s">
        <v>8508</v>
      </c>
      <c r="G358" s="154" t="s">
        <v>8509</v>
      </c>
      <c r="H358" s="154" t="s">
        <v>8510</v>
      </c>
      <c r="I358" s="154" t="s">
        <v>7123</v>
      </c>
    </row>
    <row r="359" customFormat="false" ht="364" hidden="false" customHeight="true" outlineLevel="0" collapsed="false">
      <c r="A359" s="154" t="s">
        <v>6885</v>
      </c>
      <c r="B359" s="154" t="s">
        <v>7124</v>
      </c>
      <c r="C359" s="154" t="s">
        <v>4743</v>
      </c>
      <c r="D359" s="154" t="s">
        <v>7121</v>
      </c>
      <c r="E359" s="154" t="s">
        <v>8507</v>
      </c>
      <c r="F359" s="154" t="s">
        <v>8511</v>
      </c>
      <c r="G359" s="154" t="s">
        <v>8512</v>
      </c>
      <c r="H359" s="154" t="s">
        <v>8510</v>
      </c>
      <c r="I359" s="154" t="s">
        <v>7123</v>
      </c>
    </row>
    <row r="360" customFormat="false" ht="76" hidden="false" customHeight="true" outlineLevel="0" collapsed="false">
      <c r="A360" s="154" t="s">
        <v>6885</v>
      </c>
      <c r="B360" s="154" t="s">
        <v>7124</v>
      </c>
      <c r="C360" s="154" t="s">
        <v>4743</v>
      </c>
      <c r="D360" s="154" t="s">
        <v>7121</v>
      </c>
      <c r="E360" s="154" t="s">
        <v>8513</v>
      </c>
      <c r="F360" s="154" t="s">
        <v>8514</v>
      </c>
      <c r="G360" s="154" t="s">
        <v>8515</v>
      </c>
      <c r="H360" s="154" t="s">
        <v>8516</v>
      </c>
      <c r="I360" s="154" t="s">
        <v>7123</v>
      </c>
    </row>
    <row r="361" customFormat="false" ht="76" hidden="false" customHeight="true" outlineLevel="0" collapsed="false">
      <c r="A361" s="154" t="s">
        <v>6885</v>
      </c>
      <c r="B361" s="154" t="s">
        <v>7152</v>
      </c>
      <c r="C361" s="154" t="s">
        <v>4743</v>
      </c>
      <c r="D361" s="154" t="s">
        <v>7121</v>
      </c>
      <c r="E361" s="154" t="s">
        <v>8517</v>
      </c>
      <c r="F361" s="154" t="s">
        <v>8518</v>
      </c>
      <c r="G361" s="154" t="s">
        <v>8519</v>
      </c>
      <c r="H361" s="154" t="s">
        <v>8520</v>
      </c>
      <c r="I361" s="154" t="s">
        <v>7123</v>
      </c>
    </row>
    <row r="362" customFormat="false" ht="76" hidden="false" customHeight="true" outlineLevel="0" collapsed="false">
      <c r="A362" s="154" t="s">
        <v>6885</v>
      </c>
      <c r="B362" s="154" t="s">
        <v>7152</v>
      </c>
      <c r="C362" s="154" t="s">
        <v>4743</v>
      </c>
      <c r="D362" s="154" t="s">
        <v>7121</v>
      </c>
      <c r="E362" s="154" t="s">
        <v>8521</v>
      </c>
      <c r="F362" s="154" t="s">
        <v>8522</v>
      </c>
      <c r="G362" s="154" t="s">
        <v>8523</v>
      </c>
      <c r="H362" s="154" t="s">
        <v>8524</v>
      </c>
      <c r="I362" s="154" t="s">
        <v>7123</v>
      </c>
    </row>
    <row r="363" customFormat="false" ht="76" hidden="false" customHeight="true" outlineLevel="0" collapsed="false">
      <c r="A363" s="154" t="s">
        <v>6885</v>
      </c>
      <c r="B363" s="154" t="s">
        <v>7152</v>
      </c>
      <c r="C363" s="154" t="s">
        <v>4743</v>
      </c>
      <c r="D363" s="154" t="s">
        <v>7121</v>
      </c>
      <c r="E363" s="154" t="s">
        <v>7907</v>
      </c>
      <c r="F363" s="154" t="s">
        <v>8525</v>
      </c>
      <c r="G363" s="154" t="s">
        <v>8526</v>
      </c>
      <c r="H363" s="154" t="s">
        <v>7910</v>
      </c>
      <c r="I363" s="154" t="s">
        <v>7123</v>
      </c>
    </row>
    <row r="364" customFormat="false" ht="140" hidden="false" customHeight="true" outlineLevel="0" collapsed="false">
      <c r="A364" s="154" t="s">
        <v>6885</v>
      </c>
      <c r="B364" s="154" t="s">
        <v>7152</v>
      </c>
      <c r="C364" s="154" t="s">
        <v>4743</v>
      </c>
      <c r="D364" s="154" t="s">
        <v>7121</v>
      </c>
      <c r="E364" s="154" t="s">
        <v>8527</v>
      </c>
      <c r="F364" s="154" t="s">
        <v>8528</v>
      </c>
      <c r="G364" s="154" t="s">
        <v>8529</v>
      </c>
      <c r="H364" s="154" t="s">
        <v>8530</v>
      </c>
      <c r="I364" s="154" t="s">
        <v>7123</v>
      </c>
    </row>
    <row r="365" customFormat="false" ht="126" hidden="false" customHeight="true" outlineLevel="0" collapsed="false">
      <c r="A365" s="154" t="s">
        <v>6885</v>
      </c>
      <c r="B365" s="154" t="s">
        <v>7152</v>
      </c>
      <c r="C365" s="154" t="s">
        <v>4743</v>
      </c>
      <c r="D365" s="154" t="s">
        <v>7121</v>
      </c>
      <c r="E365" s="154" t="s">
        <v>8531</v>
      </c>
      <c r="F365" s="154" t="s">
        <v>8532</v>
      </c>
      <c r="G365" s="154" t="s">
        <v>8533</v>
      </c>
      <c r="H365" s="154" t="s">
        <v>8534</v>
      </c>
      <c r="I365" s="154" t="s">
        <v>7123</v>
      </c>
    </row>
    <row r="366" customFormat="false" ht="196" hidden="false" customHeight="true" outlineLevel="0" collapsed="false">
      <c r="A366" s="154" t="s">
        <v>6885</v>
      </c>
      <c r="B366" s="154" t="s">
        <v>7152</v>
      </c>
      <c r="C366" s="154" t="s">
        <v>4743</v>
      </c>
      <c r="D366" s="154" t="s">
        <v>7121</v>
      </c>
      <c r="E366" s="154" t="s">
        <v>8535</v>
      </c>
      <c r="F366" s="154" t="s">
        <v>8536</v>
      </c>
      <c r="G366" s="154" t="s">
        <v>8537</v>
      </c>
      <c r="H366" s="154" t="s">
        <v>8538</v>
      </c>
      <c r="I366" s="154" t="s">
        <v>7123</v>
      </c>
    </row>
    <row r="367" customFormat="false" ht="76" hidden="false" customHeight="true" outlineLevel="0" collapsed="false">
      <c r="A367" s="154" t="s">
        <v>6885</v>
      </c>
      <c r="B367" s="154" t="s">
        <v>7152</v>
      </c>
      <c r="C367" s="154" t="s">
        <v>4743</v>
      </c>
      <c r="D367" s="154" t="s">
        <v>7121</v>
      </c>
      <c r="E367" s="154" t="s">
        <v>8539</v>
      </c>
      <c r="F367" s="154" t="s">
        <v>8540</v>
      </c>
      <c r="G367" s="154" t="s">
        <v>8541</v>
      </c>
      <c r="H367" s="154" t="s">
        <v>8542</v>
      </c>
      <c r="I367" s="154" t="s">
        <v>7123</v>
      </c>
    </row>
    <row r="368" customFormat="false" ht="76" hidden="false" customHeight="true" outlineLevel="0" collapsed="false">
      <c r="A368" s="154" t="s">
        <v>6885</v>
      </c>
      <c r="B368" s="154" t="s">
        <v>7152</v>
      </c>
      <c r="C368" s="154" t="s">
        <v>4743</v>
      </c>
      <c r="D368" s="154" t="s">
        <v>7121</v>
      </c>
      <c r="E368" s="154" t="s">
        <v>8543</v>
      </c>
      <c r="F368" s="154" t="s">
        <v>8544</v>
      </c>
      <c r="G368" s="154" t="s">
        <v>8545</v>
      </c>
      <c r="H368" s="154" t="s">
        <v>8546</v>
      </c>
      <c r="I368" s="154" t="s">
        <v>7123</v>
      </c>
    </row>
    <row r="369" customFormat="false" ht="76" hidden="false" customHeight="true" outlineLevel="0" collapsed="false">
      <c r="A369" s="154" t="s">
        <v>6885</v>
      </c>
      <c r="B369" s="154" t="s">
        <v>7152</v>
      </c>
      <c r="C369" s="154" t="s">
        <v>4743</v>
      </c>
      <c r="D369" s="154" t="s">
        <v>7121</v>
      </c>
      <c r="E369" s="154" t="s">
        <v>7935</v>
      </c>
      <c r="F369" s="154" t="s">
        <v>8547</v>
      </c>
      <c r="G369" s="154" t="s">
        <v>8548</v>
      </c>
      <c r="H369" s="154" t="s">
        <v>7938</v>
      </c>
      <c r="I369" s="154" t="s">
        <v>7123</v>
      </c>
    </row>
    <row r="370" customFormat="false" ht="76" hidden="false" customHeight="true" outlineLevel="0" collapsed="false">
      <c r="A370" s="154" t="s">
        <v>6885</v>
      </c>
      <c r="B370" s="154" t="s">
        <v>7152</v>
      </c>
      <c r="C370" s="154" t="s">
        <v>4743</v>
      </c>
      <c r="D370" s="154" t="s">
        <v>7121</v>
      </c>
      <c r="E370" s="154" t="s">
        <v>7935</v>
      </c>
      <c r="F370" s="154" t="s">
        <v>8549</v>
      </c>
      <c r="G370" s="154" t="s">
        <v>8550</v>
      </c>
      <c r="H370" s="154" t="s">
        <v>7938</v>
      </c>
      <c r="I370" s="154" t="s">
        <v>7123</v>
      </c>
    </row>
    <row r="371" customFormat="false" ht="154" hidden="false" customHeight="true" outlineLevel="0" collapsed="false">
      <c r="A371" s="154" t="s">
        <v>6885</v>
      </c>
      <c r="B371" s="154" t="s">
        <v>7185</v>
      </c>
      <c r="C371" s="154" t="s">
        <v>4743</v>
      </c>
      <c r="D371" s="154" t="s">
        <v>7121</v>
      </c>
      <c r="E371" s="154" t="s">
        <v>8551</v>
      </c>
      <c r="F371" s="154" t="s">
        <v>8552</v>
      </c>
      <c r="G371" s="154" t="s">
        <v>8553</v>
      </c>
      <c r="H371" s="154" t="s">
        <v>8554</v>
      </c>
      <c r="I371" s="154" t="s">
        <v>7123</v>
      </c>
    </row>
    <row r="372" customFormat="false" ht="196" hidden="false" customHeight="true" outlineLevel="0" collapsed="false">
      <c r="A372" s="154" t="s">
        <v>6904</v>
      </c>
      <c r="B372" s="154" t="s">
        <v>7120</v>
      </c>
      <c r="C372" s="154" t="s">
        <v>4743</v>
      </c>
      <c r="D372" s="154" t="s">
        <v>7121</v>
      </c>
      <c r="E372" s="154" t="s">
        <v>8555</v>
      </c>
      <c r="F372" s="154" t="s">
        <v>6909</v>
      </c>
      <c r="G372" s="154" t="s">
        <v>6905</v>
      </c>
      <c r="H372" s="154" t="s">
        <v>6920</v>
      </c>
      <c r="I372" s="154" t="s">
        <v>7123</v>
      </c>
    </row>
    <row r="373" customFormat="false" ht="76" hidden="false" customHeight="true" outlineLevel="0" collapsed="false">
      <c r="A373" s="154" t="s">
        <v>6904</v>
      </c>
      <c r="B373" s="154" t="s">
        <v>7124</v>
      </c>
      <c r="C373" s="154" t="s">
        <v>4743</v>
      </c>
      <c r="D373" s="154" t="s">
        <v>7121</v>
      </c>
      <c r="E373" s="154" t="s">
        <v>8556</v>
      </c>
      <c r="F373" s="154" t="s">
        <v>8557</v>
      </c>
      <c r="G373" s="154" t="s">
        <v>8558</v>
      </c>
      <c r="H373" s="154" t="s">
        <v>8559</v>
      </c>
      <c r="I373" s="154" t="s">
        <v>7123</v>
      </c>
    </row>
    <row r="374" customFormat="false" ht="76" hidden="false" customHeight="true" outlineLevel="0" collapsed="false">
      <c r="A374" s="154" t="s">
        <v>6904</v>
      </c>
      <c r="B374" s="154" t="s">
        <v>7124</v>
      </c>
      <c r="C374" s="154" t="s">
        <v>4743</v>
      </c>
      <c r="D374" s="154" t="s">
        <v>7121</v>
      </c>
      <c r="E374" s="154" t="s">
        <v>7129</v>
      </c>
      <c r="F374" s="154" t="s">
        <v>8560</v>
      </c>
      <c r="G374" s="154" t="s">
        <v>8561</v>
      </c>
      <c r="H374" s="154" t="s">
        <v>7132</v>
      </c>
      <c r="I374" s="154" t="s">
        <v>7123</v>
      </c>
    </row>
    <row r="375" customFormat="false" ht="280" hidden="false" customHeight="true" outlineLevel="0" collapsed="false">
      <c r="A375" s="154" t="s">
        <v>6904</v>
      </c>
      <c r="B375" s="154" t="s">
        <v>7124</v>
      </c>
      <c r="C375" s="154" t="s">
        <v>4743</v>
      </c>
      <c r="D375" s="154" t="s">
        <v>7121</v>
      </c>
      <c r="E375" s="154" t="s">
        <v>8562</v>
      </c>
      <c r="F375" s="154" t="s">
        <v>8563</v>
      </c>
      <c r="G375" s="154" t="s">
        <v>8564</v>
      </c>
      <c r="H375" s="154" t="s">
        <v>8565</v>
      </c>
      <c r="I375" s="154" t="s">
        <v>7123</v>
      </c>
    </row>
    <row r="376" customFormat="false" ht="154" hidden="false" customHeight="true" outlineLevel="0" collapsed="false">
      <c r="A376" s="154" t="s">
        <v>6904</v>
      </c>
      <c r="B376" s="154" t="s">
        <v>7124</v>
      </c>
      <c r="C376" s="154" t="s">
        <v>4743</v>
      </c>
      <c r="D376" s="154" t="s">
        <v>7121</v>
      </c>
      <c r="E376" s="154" t="s">
        <v>8566</v>
      </c>
      <c r="F376" s="154" t="s">
        <v>8567</v>
      </c>
      <c r="G376" s="154" t="s">
        <v>8568</v>
      </c>
      <c r="H376" s="154" t="s">
        <v>8569</v>
      </c>
      <c r="I376" s="154" t="s">
        <v>7123</v>
      </c>
    </row>
    <row r="377" customFormat="false" ht="76" hidden="false" customHeight="true" outlineLevel="0" collapsed="false">
      <c r="A377" s="154" t="s">
        <v>6904</v>
      </c>
      <c r="B377" s="154" t="s">
        <v>7124</v>
      </c>
      <c r="C377" s="154" t="s">
        <v>4743</v>
      </c>
      <c r="D377" s="154" t="s">
        <v>7121</v>
      </c>
      <c r="E377" s="154" t="s">
        <v>4744</v>
      </c>
      <c r="F377" s="154" t="s">
        <v>8570</v>
      </c>
      <c r="G377" s="154" t="s">
        <v>8571</v>
      </c>
      <c r="H377" s="154" t="s">
        <v>7143</v>
      </c>
      <c r="I377" s="154" t="s">
        <v>7123</v>
      </c>
    </row>
    <row r="378" customFormat="false" ht="76" hidden="false" customHeight="true" outlineLevel="0" collapsed="false">
      <c r="A378" s="154" t="s">
        <v>6904</v>
      </c>
      <c r="B378" s="154" t="s">
        <v>7124</v>
      </c>
      <c r="C378" s="154" t="s">
        <v>4743</v>
      </c>
      <c r="D378" s="154" t="s">
        <v>7121</v>
      </c>
      <c r="E378" s="154" t="s">
        <v>8572</v>
      </c>
      <c r="F378" s="154" t="s">
        <v>8573</v>
      </c>
      <c r="G378" s="154" t="s">
        <v>8574</v>
      </c>
      <c r="H378" s="154" t="s">
        <v>8575</v>
      </c>
      <c r="I378" s="154" t="s">
        <v>7123</v>
      </c>
    </row>
    <row r="379" customFormat="false" ht="76" hidden="false" customHeight="true" outlineLevel="0" collapsed="false">
      <c r="A379" s="154" t="s">
        <v>6904</v>
      </c>
      <c r="B379" s="154" t="s">
        <v>7124</v>
      </c>
      <c r="C379" s="154" t="s">
        <v>4743</v>
      </c>
      <c r="D379" s="154" t="s">
        <v>7121</v>
      </c>
      <c r="E379" s="154" t="s">
        <v>8576</v>
      </c>
      <c r="F379" s="154" t="s">
        <v>8577</v>
      </c>
      <c r="G379" s="154" t="s">
        <v>8578</v>
      </c>
      <c r="H379" s="154" t="s">
        <v>8579</v>
      </c>
      <c r="I379" s="154" t="s">
        <v>7123</v>
      </c>
    </row>
    <row r="380" customFormat="false" ht="76" hidden="false" customHeight="true" outlineLevel="0" collapsed="false">
      <c r="A380" s="154" t="s">
        <v>6904</v>
      </c>
      <c r="B380" s="154" t="s">
        <v>7152</v>
      </c>
      <c r="C380" s="154" t="s">
        <v>4743</v>
      </c>
      <c r="D380" s="154" t="s">
        <v>7121</v>
      </c>
      <c r="E380" s="154" t="s">
        <v>8580</v>
      </c>
      <c r="F380" s="154" t="s">
        <v>8581</v>
      </c>
      <c r="G380" s="154" t="s">
        <v>8582</v>
      </c>
      <c r="H380" s="154" t="s">
        <v>8583</v>
      </c>
      <c r="I380" s="154" t="s">
        <v>7123</v>
      </c>
    </row>
    <row r="381" customFormat="false" ht="168" hidden="false" customHeight="true" outlineLevel="0" collapsed="false">
      <c r="A381" s="154" t="s">
        <v>6904</v>
      </c>
      <c r="B381" s="154" t="s">
        <v>7152</v>
      </c>
      <c r="C381" s="154" t="s">
        <v>4743</v>
      </c>
      <c r="D381" s="154" t="s">
        <v>7121</v>
      </c>
      <c r="E381" s="154" t="s">
        <v>8584</v>
      </c>
      <c r="F381" s="154" t="s">
        <v>8585</v>
      </c>
      <c r="G381" s="154" t="s">
        <v>8586</v>
      </c>
      <c r="H381" s="154" t="s">
        <v>8587</v>
      </c>
      <c r="I381" s="154" t="s">
        <v>7123</v>
      </c>
    </row>
    <row r="382" customFormat="false" ht="168" hidden="false" customHeight="true" outlineLevel="0" collapsed="false">
      <c r="A382" s="154" t="s">
        <v>6904</v>
      </c>
      <c r="B382" s="154" t="s">
        <v>7152</v>
      </c>
      <c r="C382" s="154" t="s">
        <v>4743</v>
      </c>
      <c r="D382" s="154" t="s">
        <v>7121</v>
      </c>
      <c r="E382" s="154" t="s">
        <v>8588</v>
      </c>
      <c r="F382" s="154" t="s">
        <v>8589</v>
      </c>
      <c r="G382" s="154" t="s">
        <v>8590</v>
      </c>
      <c r="H382" s="154" t="s">
        <v>8591</v>
      </c>
      <c r="I382" s="154" t="s">
        <v>7123</v>
      </c>
    </row>
    <row r="383" customFormat="false" ht="154" hidden="false" customHeight="true" outlineLevel="0" collapsed="false">
      <c r="A383" s="154" t="s">
        <v>6904</v>
      </c>
      <c r="B383" s="154" t="s">
        <v>7152</v>
      </c>
      <c r="C383" s="154" t="s">
        <v>4743</v>
      </c>
      <c r="D383" s="154" t="s">
        <v>7121</v>
      </c>
      <c r="E383" s="154" t="s">
        <v>8592</v>
      </c>
      <c r="F383" s="154" t="s">
        <v>8593</v>
      </c>
      <c r="G383" s="154" t="s">
        <v>8594</v>
      </c>
      <c r="H383" s="154" t="s">
        <v>8595</v>
      </c>
      <c r="I383" s="154" t="s">
        <v>7123</v>
      </c>
    </row>
    <row r="384" customFormat="false" ht="196" hidden="false" customHeight="true" outlineLevel="0" collapsed="false">
      <c r="A384" s="154" t="s">
        <v>6904</v>
      </c>
      <c r="B384" s="154" t="s">
        <v>7152</v>
      </c>
      <c r="C384" s="154" t="s">
        <v>4743</v>
      </c>
      <c r="D384" s="154" t="s">
        <v>7121</v>
      </c>
      <c r="E384" s="154" t="s">
        <v>8596</v>
      </c>
      <c r="F384" s="154" t="s">
        <v>8597</v>
      </c>
      <c r="G384" s="154" t="s">
        <v>8598</v>
      </c>
      <c r="H384" s="154" t="s">
        <v>8599</v>
      </c>
      <c r="I384" s="154" t="s">
        <v>7123</v>
      </c>
    </row>
    <row r="385" customFormat="false" ht="76" hidden="false" customHeight="true" outlineLevel="0" collapsed="false">
      <c r="A385" s="154" t="s">
        <v>6904</v>
      </c>
      <c r="B385" s="154" t="s">
        <v>7152</v>
      </c>
      <c r="C385" s="154" t="s">
        <v>4743</v>
      </c>
      <c r="D385" s="154" t="s">
        <v>7121</v>
      </c>
      <c r="E385" s="154" t="s">
        <v>8600</v>
      </c>
      <c r="F385" s="154" t="s">
        <v>8601</v>
      </c>
      <c r="G385" s="154" t="s">
        <v>8602</v>
      </c>
      <c r="H385" s="154" t="s">
        <v>8603</v>
      </c>
      <c r="I385" s="154" t="s">
        <v>7123</v>
      </c>
    </row>
    <row r="386" customFormat="false" ht="76" hidden="false" customHeight="true" outlineLevel="0" collapsed="false">
      <c r="A386" s="154" t="s">
        <v>6904</v>
      </c>
      <c r="B386" s="154" t="s">
        <v>7152</v>
      </c>
      <c r="C386" s="154" t="s">
        <v>4743</v>
      </c>
      <c r="D386" s="154" t="s">
        <v>7121</v>
      </c>
      <c r="E386" s="154" t="s">
        <v>8604</v>
      </c>
      <c r="F386" s="154" t="s">
        <v>8605</v>
      </c>
      <c r="G386" s="154" t="s">
        <v>8606</v>
      </c>
      <c r="H386" s="154" t="s">
        <v>8607</v>
      </c>
      <c r="I386" s="154" t="s">
        <v>7123</v>
      </c>
    </row>
    <row r="387" customFormat="false" ht="76" hidden="false" customHeight="true" outlineLevel="0" collapsed="false">
      <c r="A387" s="154" t="s">
        <v>6904</v>
      </c>
      <c r="B387" s="154" t="s">
        <v>7152</v>
      </c>
      <c r="C387" s="154" t="s">
        <v>4743</v>
      </c>
      <c r="D387" s="154" t="s">
        <v>7121</v>
      </c>
      <c r="E387" s="154" t="s">
        <v>8608</v>
      </c>
      <c r="F387" s="154" t="s">
        <v>8609</v>
      </c>
      <c r="G387" s="154" t="s">
        <v>8610</v>
      </c>
      <c r="H387" s="154" t="s">
        <v>8611</v>
      </c>
      <c r="I387" s="154" t="s">
        <v>7123</v>
      </c>
    </row>
    <row r="388" customFormat="false" ht="154" hidden="false" customHeight="true" outlineLevel="0" collapsed="false">
      <c r="A388" s="154" t="s">
        <v>6904</v>
      </c>
      <c r="B388" s="154" t="s">
        <v>7185</v>
      </c>
      <c r="C388" s="154" t="s">
        <v>4743</v>
      </c>
      <c r="D388" s="154" t="s">
        <v>7121</v>
      </c>
      <c r="E388" s="154" t="s">
        <v>8612</v>
      </c>
      <c r="F388" s="154" t="s">
        <v>8613</v>
      </c>
      <c r="G388" s="154" t="s">
        <v>8614</v>
      </c>
      <c r="H388" s="154" t="s">
        <v>8615</v>
      </c>
      <c r="I388" s="154" t="s">
        <v>7123</v>
      </c>
    </row>
    <row r="389" customFormat="false" ht="196" hidden="false" customHeight="true" outlineLevel="0" collapsed="false">
      <c r="A389" s="154" t="s">
        <v>6923</v>
      </c>
      <c r="B389" s="154" t="s">
        <v>7120</v>
      </c>
      <c r="C389" s="154" t="s">
        <v>4743</v>
      </c>
      <c r="D389" s="154" t="s">
        <v>7121</v>
      </c>
      <c r="E389" s="154" t="s">
        <v>8616</v>
      </c>
      <c r="F389" s="154" t="s">
        <v>6928</v>
      </c>
      <c r="G389" s="154" t="s">
        <v>6924</v>
      </c>
      <c r="H389" s="154" t="s">
        <v>6938</v>
      </c>
      <c r="I389" s="154" t="s">
        <v>7123</v>
      </c>
    </row>
    <row r="390" customFormat="false" ht="76" hidden="false" customHeight="true" outlineLevel="0" collapsed="false">
      <c r="A390" s="154" t="s">
        <v>6923</v>
      </c>
      <c r="B390" s="154" t="s">
        <v>7124</v>
      </c>
      <c r="C390" s="154" t="s">
        <v>4743</v>
      </c>
      <c r="D390" s="154" t="s">
        <v>7121</v>
      </c>
      <c r="E390" s="154" t="s">
        <v>8617</v>
      </c>
      <c r="F390" s="154" t="s">
        <v>8618</v>
      </c>
      <c r="G390" s="154" t="s">
        <v>8619</v>
      </c>
      <c r="H390" s="154" t="s">
        <v>8620</v>
      </c>
      <c r="I390" s="154" t="s">
        <v>7123</v>
      </c>
    </row>
    <row r="391" customFormat="false" ht="76" hidden="false" customHeight="true" outlineLevel="0" collapsed="false">
      <c r="A391" s="154" t="s">
        <v>6923</v>
      </c>
      <c r="B391" s="154" t="s">
        <v>7124</v>
      </c>
      <c r="C391" s="154" t="s">
        <v>4743</v>
      </c>
      <c r="D391" s="154" t="s">
        <v>7121</v>
      </c>
      <c r="E391" s="154" t="s">
        <v>7129</v>
      </c>
      <c r="F391" s="154" t="s">
        <v>8621</v>
      </c>
      <c r="G391" s="154" t="s">
        <v>8622</v>
      </c>
      <c r="H391" s="154" t="s">
        <v>7132</v>
      </c>
      <c r="I391" s="154" t="s">
        <v>7123</v>
      </c>
    </row>
    <row r="392" customFormat="false" ht="76" hidden="false" customHeight="true" outlineLevel="0" collapsed="false">
      <c r="A392" s="154" t="s">
        <v>6923</v>
      </c>
      <c r="B392" s="154" t="s">
        <v>7124</v>
      </c>
      <c r="C392" s="154" t="s">
        <v>4743</v>
      </c>
      <c r="D392" s="154" t="s">
        <v>7121</v>
      </c>
      <c r="E392" s="154" t="s">
        <v>4744</v>
      </c>
      <c r="F392" s="154" t="s">
        <v>8623</v>
      </c>
      <c r="G392" s="154" t="s">
        <v>8624</v>
      </c>
      <c r="H392" s="154" t="s">
        <v>7143</v>
      </c>
      <c r="I392" s="154" t="s">
        <v>7123</v>
      </c>
    </row>
    <row r="393" customFormat="false" ht="76" hidden="false" customHeight="true" outlineLevel="0" collapsed="false">
      <c r="A393" s="154" t="s">
        <v>6923</v>
      </c>
      <c r="B393" s="154" t="s">
        <v>7124</v>
      </c>
      <c r="C393" s="154" t="s">
        <v>4743</v>
      </c>
      <c r="D393" s="154" t="s">
        <v>7121</v>
      </c>
      <c r="E393" s="154" t="s">
        <v>4744</v>
      </c>
      <c r="F393" s="154" t="s">
        <v>8625</v>
      </c>
      <c r="G393" s="154" t="s">
        <v>8626</v>
      </c>
      <c r="H393" s="154" t="s">
        <v>7143</v>
      </c>
      <c r="I393" s="154" t="s">
        <v>7123</v>
      </c>
    </row>
    <row r="394" customFormat="false" ht="76" hidden="false" customHeight="true" outlineLevel="0" collapsed="false">
      <c r="A394" s="154" t="s">
        <v>6923</v>
      </c>
      <c r="B394" s="154" t="s">
        <v>7124</v>
      </c>
      <c r="C394" s="154" t="s">
        <v>4743</v>
      </c>
      <c r="D394" s="154" t="s">
        <v>7121</v>
      </c>
      <c r="E394" s="154" t="s">
        <v>8627</v>
      </c>
      <c r="F394" s="154" t="s">
        <v>8628</v>
      </c>
      <c r="G394" s="154" t="s">
        <v>8629</v>
      </c>
      <c r="H394" s="154" t="s">
        <v>8630</v>
      </c>
      <c r="I394" s="154" t="s">
        <v>7123</v>
      </c>
    </row>
    <row r="395" customFormat="false" ht="76" hidden="false" customHeight="true" outlineLevel="0" collapsed="false">
      <c r="A395" s="154" t="s">
        <v>6923</v>
      </c>
      <c r="B395" s="154" t="s">
        <v>7124</v>
      </c>
      <c r="C395" s="154" t="s">
        <v>4743</v>
      </c>
      <c r="D395" s="154" t="s">
        <v>7121</v>
      </c>
      <c r="E395" s="154" t="s">
        <v>8631</v>
      </c>
      <c r="F395" s="154" t="s">
        <v>8632</v>
      </c>
      <c r="G395" s="154" t="s">
        <v>8633</v>
      </c>
      <c r="H395" s="154" t="s">
        <v>8634</v>
      </c>
      <c r="I395" s="154" t="s">
        <v>7123</v>
      </c>
    </row>
    <row r="396" customFormat="false" ht="76" hidden="false" customHeight="true" outlineLevel="0" collapsed="false">
      <c r="A396" s="154" t="s">
        <v>6923</v>
      </c>
      <c r="B396" s="154" t="s">
        <v>7124</v>
      </c>
      <c r="C396" s="154" t="s">
        <v>4743</v>
      </c>
      <c r="D396" s="154" t="s">
        <v>7121</v>
      </c>
      <c r="E396" s="154" t="s">
        <v>8635</v>
      </c>
      <c r="F396" s="154" t="s">
        <v>8636</v>
      </c>
      <c r="G396" s="154" t="s">
        <v>8637</v>
      </c>
      <c r="H396" s="154" t="s">
        <v>8638</v>
      </c>
      <c r="I396" s="154" t="s">
        <v>7123</v>
      </c>
    </row>
    <row r="397" customFormat="false" ht="76" hidden="false" customHeight="true" outlineLevel="0" collapsed="false">
      <c r="A397" s="154" t="s">
        <v>6923</v>
      </c>
      <c r="B397" s="154" t="s">
        <v>7124</v>
      </c>
      <c r="C397" s="154" t="s">
        <v>4743</v>
      </c>
      <c r="D397" s="154" t="s">
        <v>7121</v>
      </c>
      <c r="E397" s="154" t="s">
        <v>8639</v>
      </c>
      <c r="F397" s="154" t="s">
        <v>8640</v>
      </c>
      <c r="G397" s="154" t="s">
        <v>8641</v>
      </c>
      <c r="H397" s="154" t="s">
        <v>8642</v>
      </c>
      <c r="I397" s="154" t="s">
        <v>7123</v>
      </c>
    </row>
    <row r="398" customFormat="false" ht="76" hidden="false" customHeight="true" outlineLevel="0" collapsed="false">
      <c r="A398" s="154" t="s">
        <v>6923</v>
      </c>
      <c r="B398" s="154" t="s">
        <v>7124</v>
      </c>
      <c r="C398" s="154" t="s">
        <v>4743</v>
      </c>
      <c r="D398" s="154" t="s">
        <v>7121</v>
      </c>
      <c r="E398" s="154" t="s">
        <v>8643</v>
      </c>
      <c r="F398" s="154" t="s">
        <v>8644</v>
      </c>
      <c r="G398" s="154" t="s">
        <v>8645</v>
      </c>
      <c r="H398" s="154" t="s">
        <v>8646</v>
      </c>
      <c r="I398" s="154" t="s">
        <v>7123</v>
      </c>
    </row>
    <row r="399" customFormat="false" ht="76" hidden="false" customHeight="true" outlineLevel="0" collapsed="false">
      <c r="A399" s="154" t="s">
        <v>6923</v>
      </c>
      <c r="B399" s="154" t="s">
        <v>7124</v>
      </c>
      <c r="C399" s="154" t="s">
        <v>4743</v>
      </c>
      <c r="D399" s="154" t="s">
        <v>7121</v>
      </c>
      <c r="E399" s="154" t="s">
        <v>8647</v>
      </c>
      <c r="F399" s="154" t="s">
        <v>8648</v>
      </c>
      <c r="G399" s="154" t="s">
        <v>8649</v>
      </c>
      <c r="H399" s="154" t="s">
        <v>8650</v>
      </c>
      <c r="I399" s="154" t="s">
        <v>7123</v>
      </c>
    </row>
    <row r="400" customFormat="false" ht="76" hidden="false" customHeight="true" outlineLevel="0" collapsed="false">
      <c r="A400" s="154" t="s">
        <v>6923</v>
      </c>
      <c r="B400" s="154" t="s">
        <v>7124</v>
      </c>
      <c r="C400" s="154" t="s">
        <v>4743</v>
      </c>
      <c r="D400" s="154" t="s">
        <v>7121</v>
      </c>
      <c r="E400" s="154" t="s">
        <v>8651</v>
      </c>
      <c r="F400" s="154" t="s">
        <v>8652</v>
      </c>
      <c r="G400" s="154" t="s">
        <v>8653</v>
      </c>
      <c r="H400" s="154" t="s">
        <v>8654</v>
      </c>
      <c r="I400" s="154" t="s">
        <v>7123</v>
      </c>
    </row>
    <row r="401" customFormat="false" ht="76" hidden="false" customHeight="true" outlineLevel="0" collapsed="false">
      <c r="A401" s="154" t="s">
        <v>6923</v>
      </c>
      <c r="B401" s="154" t="s">
        <v>7124</v>
      </c>
      <c r="C401" s="154" t="s">
        <v>4743</v>
      </c>
      <c r="D401" s="154" t="s">
        <v>7121</v>
      </c>
      <c r="E401" s="154" t="s">
        <v>8655</v>
      </c>
      <c r="F401" s="154" t="s">
        <v>8656</v>
      </c>
      <c r="G401" s="154" t="s">
        <v>8657</v>
      </c>
      <c r="H401" s="154" t="s">
        <v>8658</v>
      </c>
      <c r="I401" s="154" t="s">
        <v>7123</v>
      </c>
    </row>
    <row r="402" customFormat="false" ht="84" hidden="false" customHeight="true" outlineLevel="0" collapsed="false">
      <c r="A402" s="154" t="s">
        <v>6923</v>
      </c>
      <c r="B402" s="154" t="s">
        <v>7124</v>
      </c>
      <c r="C402" s="154" t="s">
        <v>4743</v>
      </c>
      <c r="D402" s="154" t="s">
        <v>7121</v>
      </c>
      <c r="E402" s="154" t="s">
        <v>8659</v>
      </c>
      <c r="F402" s="154" t="s">
        <v>8660</v>
      </c>
      <c r="G402" s="154" t="s">
        <v>8661</v>
      </c>
      <c r="H402" s="154" t="s">
        <v>8662</v>
      </c>
      <c r="I402" s="154" t="s">
        <v>7123</v>
      </c>
    </row>
    <row r="403" customFormat="false" ht="76" hidden="false" customHeight="true" outlineLevel="0" collapsed="false">
      <c r="A403" s="154" t="s">
        <v>6923</v>
      </c>
      <c r="B403" s="154" t="s">
        <v>7124</v>
      </c>
      <c r="C403" s="154" t="s">
        <v>4743</v>
      </c>
      <c r="D403" s="154" t="s">
        <v>7121</v>
      </c>
      <c r="E403" s="154" t="s">
        <v>8663</v>
      </c>
      <c r="F403" s="154" t="s">
        <v>8664</v>
      </c>
      <c r="G403" s="154" t="s">
        <v>8665</v>
      </c>
      <c r="H403" s="154" t="s">
        <v>8666</v>
      </c>
      <c r="I403" s="154" t="s">
        <v>7123</v>
      </c>
    </row>
    <row r="404" customFormat="false" ht="76" hidden="false" customHeight="true" outlineLevel="0" collapsed="false">
      <c r="A404" s="154" t="s">
        <v>6923</v>
      </c>
      <c r="B404" s="154" t="s">
        <v>7124</v>
      </c>
      <c r="C404" s="154" t="s">
        <v>4743</v>
      </c>
      <c r="D404" s="154" t="s">
        <v>7121</v>
      </c>
      <c r="E404" s="154" t="s">
        <v>8667</v>
      </c>
      <c r="F404" s="154" t="s">
        <v>8668</v>
      </c>
      <c r="G404" s="154" t="s">
        <v>8669</v>
      </c>
      <c r="H404" s="154" t="s">
        <v>8670</v>
      </c>
      <c r="I404" s="154" t="s">
        <v>7123</v>
      </c>
    </row>
    <row r="405" customFormat="false" ht="76" hidden="false" customHeight="true" outlineLevel="0" collapsed="false">
      <c r="A405" s="154" t="s">
        <v>6923</v>
      </c>
      <c r="B405" s="154" t="s">
        <v>7124</v>
      </c>
      <c r="C405" s="154" t="s">
        <v>4743</v>
      </c>
      <c r="D405" s="154" t="s">
        <v>7121</v>
      </c>
      <c r="E405" s="154" t="s">
        <v>8671</v>
      </c>
      <c r="F405" s="154" t="s">
        <v>8672</v>
      </c>
      <c r="G405" s="154" t="s">
        <v>8673</v>
      </c>
      <c r="H405" s="154" t="s">
        <v>8674</v>
      </c>
      <c r="I405" s="154" t="s">
        <v>7123</v>
      </c>
    </row>
    <row r="406" customFormat="false" ht="76" hidden="false" customHeight="true" outlineLevel="0" collapsed="false">
      <c r="A406" s="154" t="s">
        <v>6923</v>
      </c>
      <c r="B406" s="154" t="s">
        <v>7124</v>
      </c>
      <c r="C406" s="154" t="s">
        <v>4743</v>
      </c>
      <c r="D406" s="154" t="s">
        <v>7121</v>
      </c>
      <c r="E406" s="154" t="s">
        <v>8675</v>
      </c>
      <c r="F406" s="154" t="s">
        <v>8676</v>
      </c>
      <c r="G406" s="154" t="s">
        <v>8677</v>
      </c>
      <c r="H406" s="154" t="s">
        <v>8678</v>
      </c>
      <c r="I406" s="154" t="s">
        <v>7123</v>
      </c>
    </row>
    <row r="407" customFormat="false" ht="76" hidden="false" customHeight="true" outlineLevel="0" collapsed="false">
      <c r="A407" s="154" t="s">
        <v>6923</v>
      </c>
      <c r="B407" s="154" t="s">
        <v>7124</v>
      </c>
      <c r="C407" s="154" t="s">
        <v>4743</v>
      </c>
      <c r="D407" s="154" t="s">
        <v>7121</v>
      </c>
      <c r="E407" s="154" t="s">
        <v>8679</v>
      </c>
      <c r="F407" s="154" t="s">
        <v>8680</v>
      </c>
      <c r="G407" s="154" t="s">
        <v>8681</v>
      </c>
      <c r="H407" s="154" t="s">
        <v>8682</v>
      </c>
      <c r="I407" s="154" t="s">
        <v>7123</v>
      </c>
    </row>
    <row r="408" customFormat="false" ht="76" hidden="false" customHeight="true" outlineLevel="0" collapsed="false">
      <c r="A408" s="154" t="s">
        <v>6923</v>
      </c>
      <c r="B408" s="154" t="s">
        <v>7124</v>
      </c>
      <c r="C408" s="154" t="s">
        <v>4743</v>
      </c>
      <c r="D408" s="154" t="s">
        <v>7121</v>
      </c>
      <c r="E408" s="154" t="s">
        <v>8683</v>
      </c>
      <c r="F408" s="154" t="s">
        <v>8684</v>
      </c>
      <c r="G408" s="154" t="s">
        <v>8685</v>
      </c>
      <c r="H408" s="154" t="s">
        <v>8686</v>
      </c>
      <c r="I408" s="154" t="s">
        <v>7123</v>
      </c>
    </row>
    <row r="409" customFormat="false" ht="76" hidden="false" customHeight="true" outlineLevel="0" collapsed="false">
      <c r="A409" s="154" t="s">
        <v>6923</v>
      </c>
      <c r="B409" s="154" t="s">
        <v>7124</v>
      </c>
      <c r="C409" s="154" t="s">
        <v>4743</v>
      </c>
      <c r="D409" s="154" t="s">
        <v>7121</v>
      </c>
      <c r="E409" s="154" t="s">
        <v>8687</v>
      </c>
      <c r="F409" s="154" t="s">
        <v>8688</v>
      </c>
      <c r="G409" s="154" t="s">
        <v>8689</v>
      </c>
      <c r="H409" s="154" t="s">
        <v>8690</v>
      </c>
      <c r="I409" s="154" t="s">
        <v>7123</v>
      </c>
    </row>
    <row r="410" customFormat="false" ht="76" hidden="false" customHeight="true" outlineLevel="0" collapsed="false">
      <c r="A410" s="154" t="s">
        <v>6923</v>
      </c>
      <c r="B410" s="154" t="s">
        <v>7124</v>
      </c>
      <c r="C410" s="154" t="s">
        <v>4743</v>
      </c>
      <c r="D410" s="154" t="s">
        <v>7121</v>
      </c>
      <c r="E410" s="154" t="s">
        <v>8691</v>
      </c>
      <c r="F410" s="154" t="s">
        <v>8692</v>
      </c>
      <c r="G410" s="154" t="s">
        <v>8693</v>
      </c>
      <c r="H410" s="154" t="s">
        <v>8694</v>
      </c>
      <c r="I410" s="154" t="s">
        <v>7123</v>
      </c>
    </row>
    <row r="411" customFormat="false" ht="76" hidden="false" customHeight="true" outlineLevel="0" collapsed="false">
      <c r="A411" s="154" t="s">
        <v>6923</v>
      </c>
      <c r="B411" s="154" t="s">
        <v>7124</v>
      </c>
      <c r="C411" s="154" t="s">
        <v>4743</v>
      </c>
      <c r="D411" s="154" t="s">
        <v>7121</v>
      </c>
      <c r="E411" s="154" t="s">
        <v>8695</v>
      </c>
      <c r="F411" s="154" t="s">
        <v>8696</v>
      </c>
      <c r="G411" s="154" t="s">
        <v>8697</v>
      </c>
      <c r="H411" s="154" t="s">
        <v>8698</v>
      </c>
      <c r="I411" s="154" t="s">
        <v>7123</v>
      </c>
    </row>
    <row r="412" customFormat="false" ht="76" hidden="false" customHeight="true" outlineLevel="0" collapsed="false">
      <c r="A412" s="154" t="s">
        <v>6923</v>
      </c>
      <c r="B412" s="154" t="s">
        <v>7124</v>
      </c>
      <c r="C412" s="154" t="s">
        <v>4743</v>
      </c>
      <c r="D412" s="154" t="s">
        <v>7121</v>
      </c>
      <c r="E412" s="154" t="s">
        <v>8627</v>
      </c>
      <c r="F412" s="154" t="s">
        <v>8699</v>
      </c>
      <c r="G412" s="154" t="s">
        <v>8700</v>
      </c>
      <c r="H412" s="154" t="s">
        <v>8630</v>
      </c>
      <c r="I412" s="154" t="s">
        <v>7123</v>
      </c>
    </row>
    <row r="413" customFormat="false" ht="76" hidden="false" customHeight="true" outlineLevel="0" collapsed="false">
      <c r="A413" s="154" t="s">
        <v>6923</v>
      </c>
      <c r="B413" s="154" t="s">
        <v>7124</v>
      </c>
      <c r="C413" s="154" t="s">
        <v>4743</v>
      </c>
      <c r="D413" s="154" t="s">
        <v>7121</v>
      </c>
      <c r="E413" s="154" t="s">
        <v>8631</v>
      </c>
      <c r="F413" s="154" t="s">
        <v>8701</v>
      </c>
      <c r="G413" s="154" t="s">
        <v>8702</v>
      </c>
      <c r="H413" s="154" t="s">
        <v>8634</v>
      </c>
      <c r="I413" s="154" t="s">
        <v>7123</v>
      </c>
    </row>
    <row r="414" customFormat="false" ht="76" hidden="false" customHeight="true" outlineLevel="0" collapsed="false">
      <c r="A414" s="154" t="s">
        <v>6923</v>
      </c>
      <c r="B414" s="154" t="s">
        <v>7124</v>
      </c>
      <c r="C414" s="154" t="s">
        <v>4743</v>
      </c>
      <c r="D414" s="154" t="s">
        <v>7121</v>
      </c>
      <c r="E414" s="154" t="s">
        <v>8635</v>
      </c>
      <c r="F414" s="154" t="s">
        <v>8703</v>
      </c>
      <c r="G414" s="154" t="s">
        <v>8704</v>
      </c>
      <c r="H414" s="154" t="s">
        <v>8638</v>
      </c>
      <c r="I414" s="154" t="s">
        <v>7123</v>
      </c>
    </row>
    <row r="415" customFormat="false" ht="76" hidden="false" customHeight="true" outlineLevel="0" collapsed="false">
      <c r="A415" s="154" t="s">
        <v>6923</v>
      </c>
      <c r="B415" s="154" t="s">
        <v>7124</v>
      </c>
      <c r="C415" s="154" t="s">
        <v>4743</v>
      </c>
      <c r="D415" s="154" t="s">
        <v>7121</v>
      </c>
      <c r="E415" s="154" t="s">
        <v>8639</v>
      </c>
      <c r="F415" s="154" t="s">
        <v>8705</v>
      </c>
      <c r="G415" s="154" t="s">
        <v>8706</v>
      </c>
      <c r="H415" s="154" t="s">
        <v>8642</v>
      </c>
      <c r="I415" s="154" t="s">
        <v>7123</v>
      </c>
    </row>
    <row r="416" customFormat="false" ht="76" hidden="false" customHeight="true" outlineLevel="0" collapsed="false">
      <c r="A416" s="154" t="s">
        <v>6923</v>
      </c>
      <c r="B416" s="154" t="s">
        <v>7124</v>
      </c>
      <c r="C416" s="154" t="s">
        <v>4743</v>
      </c>
      <c r="D416" s="154" t="s">
        <v>7121</v>
      </c>
      <c r="E416" s="154" t="s">
        <v>8643</v>
      </c>
      <c r="F416" s="154" t="s">
        <v>8707</v>
      </c>
      <c r="G416" s="154" t="s">
        <v>8708</v>
      </c>
      <c r="H416" s="154" t="s">
        <v>8646</v>
      </c>
      <c r="I416" s="154" t="s">
        <v>7123</v>
      </c>
    </row>
    <row r="417" customFormat="false" ht="76" hidden="false" customHeight="true" outlineLevel="0" collapsed="false">
      <c r="A417" s="154" t="s">
        <v>6923</v>
      </c>
      <c r="B417" s="154" t="s">
        <v>7124</v>
      </c>
      <c r="C417" s="154" t="s">
        <v>4743</v>
      </c>
      <c r="D417" s="154" t="s">
        <v>7121</v>
      </c>
      <c r="E417" s="154" t="s">
        <v>8647</v>
      </c>
      <c r="F417" s="154" t="s">
        <v>8709</v>
      </c>
      <c r="G417" s="154" t="s">
        <v>8710</v>
      </c>
      <c r="H417" s="154" t="s">
        <v>8650</v>
      </c>
      <c r="I417" s="154" t="s">
        <v>7123</v>
      </c>
    </row>
    <row r="418" customFormat="false" ht="76" hidden="false" customHeight="true" outlineLevel="0" collapsed="false">
      <c r="A418" s="154" t="s">
        <v>6923</v>
      </c>
      <c r="B418" s="154" t="s">
        <v>7124</v>
      </c>
      <c r="C418" s="154" t="s">
        <v>4743</v>
      </c>
      <c r="D418" s="154" t="s">
        <v>7121</v>
      </c>
      <c r="E418" s="154" t="s">
        <v>8651</v>
      </c>
      <c r="F418" s="154" t="s">
        <v>8711</v>
      </c>
      <c r="G418" s="154" t="s">
        <v>8712</v>
      </c>
      <c r="H418" s="154" t="s">
        <v>8654</v>
      </c>
      <c r="I418" s="154" t="s">
        <v>7123</v>
      </c>
    </row>
    <row r="419" customFormat="false" ht="76" hidden="false" customHeight="true" outlineLevel="0" collapsed="false">
      <c r="A419" s="154" t="s">
        <v>6923</v>
      </c>
      <c r="B419" s="154" t="s">
        <v>7124</v>
      </c>
      <c r="C419" s="154" t="s">
        <v>4743</v>
      </c>
      <c r="D419" s="154" t="s">
        <v>7121</v>
      </c>
      <c r="E419" s="154" t="s">
        <v>8655</v>
      </c>
      <c r="F419" s="154" t="s">
        <v>8713</v>
      </c>
      <c r="G419" s="154" t="s">
        <v>8714</v>
      </c>
      <c r="H419" s="154" t="s">
        <v>8658</v>
      </c>
      <c r="I419" s="154" t="s">
        <v>7123</v>
      </c>
    </row>
    <row r="420" customFormat="false" ht="84" hidden="false" customHeight="true" outlineLevel="0" collapsed="false">
      <c r="A420" s="154" t="s">
        <v>6923</v>
      </c>
      <c r="B420" s="154" t="s">
        <v>7124</v>
      </c>
      <c r="C420" s="154" t="s">
        <v>4743</v>
      </c>
      <c r="D420" s="154" t="s">
        <v>7121</v>
      </c>
      <c r="E420" s="154" t="s">
        <v>8659</v>
      </c>
      <c r="F420" s="154" t="s">
        <v>8715</v>
      </c>
      <c r="G420" s="154" t="s">
        <v>8716</v>
      </c>
      <c r="H420" s="154" t="s">
        <v>8662</v>
      </c>
      <c r="I420" s="154" t="s">
        <v>7123</v>
      </c>
    </row>
    <row r="421" customFormat="false" ht="76" hidden="false" customHeight="true" outlineLevel="0" collapsed="false">
      <c r="A421" s="154" t="s">
        <v>6923</v>
      </c>
      <c r="B421" s="154" t="s">
        <v>7124</v>
      </c>
      <c r="C421" s="154" t="s">
        <v>4743</v>
      </c>
      <c r="D421" s="154" t="s">
        <v>7121</v>
      </c>
      <c r="E421" s="154" t="s">
        <v>8663</v>
      </c>
      <c r="F421" s="154" t="s">
        <v>8717</v>
      </c>
      <c r="G421" s="154" t="s">
        <v>8718</v>
      </c>
      <c r="H421" s="154" t="s">
        <v>8666</v>
      </c>
      <c r="I421" s="154" t="s">
        <v>7123</v>
      </c>
    </row>
    <row r="422" customFormat="false" ht="76" hidden="false" customHeight="true" outlineLevel="0" collapsed="false">
      <c r="A422" s="154" t="s">
        <v>6923</v>
      </c>
      <c r="B422" s="154" t="s">
        <v>7124</v>
      </c>
      <c r="C422" s="154" t="s">
        <v>4743</v>
      </c>
      <c r="D422" s="154" t="s">
        <v>7121</v>
      </c>
      <c r="E422" s="154" t="s">
        <v>8667</v>
      </c>
      <c r="F422" s="154" t="s">
        <v>8719</v>
      </c>
      <c r="G422" s="154" t="s">
        <v>8720</v>
      </c>
      <c r="H422" s="154" t="s">
        <v>8670</v>
      </c>
      <c r="I422" s="154" t="s">
        <v>7123</v>
      </c>
    </row>
    <row r="423" customFormat="false" ht="76" hidden="false" customHeight="true" outlineLevel="0" collapsed="false">
      <c r="A423" s="154" t="s">
        <v>6923</v>
      </c>
      <c r="B423" s="154" t="s">
        <v>7124</v>
      </c>
      <c r="C423" s="154" t="s">
        <v>4743</v>
      </c>
      <c r="D423" s="154" t="s">
        <v>7121</v>
      </c>
      <c r="E423" s="154" t="s">
        <v>8671</v>
      </c>
      <c r="F423" s="154" t="s">
        <v>8721</v>
      </c>
      <c r="G423" s="154" t="s">
        <v>8722</v>
      </c>
      <c r="H423" s="154" t="s">
        <v>8674</v>
      </c>
      <c r="I423" s="154" t="s">
        <v>7123</v>
      </c>
    </row>
    <row r="424" customFormat="false" ht="76" hidden="false" customHeight="true" outlineLevel="0" collapsed="false">
      <c r="A424" s="154" t="s">
        <v>6923</v>
      </c>
      <c r="B424" s="154" t="s">
        <v>7124</v>
      </c>
      <c r="C424" s="154" t="s">
        <v>4743</v>
      </c>
      <c r="D424" s="154" t="s">
        <v>7121</v>
      </c>
      <c r="E424" s="154" t="s">
        <v>8675</v>
      </c>
      <c r="F424" s="154" t="s">
        <v>8723</v>
      </c>
      <c r="G424" s="154" t="s">
        <v>8724</v>
      </c>
      <c r="H424" s="154" t="s">
        <v>8678</v>
      </c>
      <c r="I424" s="154" t="s">
        <v>7123</v>
      </c>
    </row>
    <row r="425" customFormat="false" ht="76" hidden="false" customHeight="true" outlineLevel="0" collapsed="false">
      <c r="A425" s="154" t="s">
        <v>6923</v>
      </c>
      <c r="B425" s="154" t="s">
        <v>7124</v>
      </c>
      <c r="C425" s="154" t="s">
        <v>4743</v>
      </c>
      <c r="D425" s="154" t="s">
        <v>7121</v>
      </c>
      <c r="E425" s="154" t="s">
        <v>8679</v>
      </c>
      <c r="F425" s="154" t="s">
        <v>8725</v>
      </c>
      <c r="G425" s="154" t="s">
        <v>8726</v>
      </c>
      <c r="H425" s="154" t="s">
        <v>8682</v>
      </c>
      <c r="I425" s="154" t="s">
        <v>7123</v>
      </c>
    </row>
    <row r="426" customFormat="false" ht="76" hidden="false" customHeight="true" outlineLevel="0" collapsed="false">
      <c r="A426" s="154" t="s">
        <v>6923</v>
      </c>
      <c r="B426" s="154" t="s">
        <v>7124</v>
      </c>
      <c r="C426" s="154" t="s">
        <v>4743</v>
      </c>
      <c r="D426" s="154" t="s">
        <v>7121</v>
      </c>
      <c r="E426" s="154" t="s">
        <v>8683</v>
      </c>
      <c r="F426" s="154" t="s">
        <v>8727</v>
      </c>
      <c r="G426" s="154" t="s">
        <v>8728</v>
      </c>
      <c r="H426" s="154" t="s">
        <v>8686</v>
      </c>
      <c r="I426" s="154" t="s">
        <v>7123</v>
      </c>
    </row>
    <row r="427" customFormat="false" ht="76" hidden="false" customHeight="true" outlineLevel="0" collapsed="false">
      <c r="A427" s="154" t="s">
        <v>6923</v>
      </c>
      <c r="B427" s="154" t="s">
        <v>7124</v>
      </c>
      <c r="C427" s="154" t="s">
        <v>4743</v>
      </c>
      <c r="D427" s="154" t="s">
        <v>7121</v>
      </c>
      <c r="E427" s="154" t="s">
        <v>8687</v>
      </c>
      <c r="F427" s="154" t="s">
        <v>8729</v>
      </c>
      <c r="G427" s="154" t="s">
        <v>8730</v>
      </c>
      <c r="H427" s="154" t="s">
        <v>8690</v>
      </c>
      <c r="I427" s="154" t="s">
        <v>7123</v>
      </c>
    </row>
    <row r="428" customFormat="false" ht="76" hidden="false" customHeight="true" outlineLevel="0" collapsed="false">
      <c r="A428" s="154" t="s">
        <v>6923</v>
      </c>
      <c r="B428" s="154" t="s">
        <v>7124</v>
      </c>
      <c r="C428" s="154" t="s">
        <v>4743</v>
      </c>
      <c r="D428" s="154" t="s">
        <v>7121</v>
      </c>
      <c r="E428" s="154" t="s">
        <v>8691</v>
      </c>
      <c r="F428" s="154" t="s">
        <v>8731</v>
      </c>
      <c r="G428" s="154" t="s">
        <v>8732</v>
      </c>
      <c r="H428" s="154" t="s">
        <v>8694</v>
      </c>
      <c r="I428" s="154" t="s">
        <v>7123</v>
      </c>
    </row>
    <row r="429" customFormat="false" ht="76" hidden="false" customHeight="true" outlineLevel="0" collapsed="false">
      <c r="A429" s="154" t="s">
        <v>6923</v>
      </c>
      <c r="B429" s="154" t="s">
        <v>7124</v>
      </c>
      <c r="C429" s="154" t="s">
        <v>4743</v>
      </c>
      <c r="D429" s="154" t="s">
        <v>7121</v>
      </c>
      <c r="E429" s="154" t="s">
        <v>8695</v>
      </c>
      <c r="F429" s="154" t="s">
        <v>8733</v>
      </c>
      <c r="G429" s="154" t="s">
        <v>8734</v>
      </c>
      <c r="H429" s="154" t="s">
        <v>8698</v>
      </c>
      <c r="I429" s="154" t="s">
        <v>7123</v>
      </c>
    </row>
    <row r="430" customFormat="false" ht="76" hidden="false" customHeight="true" outlineLevel="0" collapsed="false">
      <c r="A430" s="154" t="s">
        <v>6923</v>
      </c>
      <c r="B430" s="154" t="s">
        <v>7124</v>
      </c>
      <c r="C430" s="154" t="s">
        <v>4743</v>
      </c>
      <c r="D430" s="154" t="s">
        <v>7121</v>
      </c>
      <c r="E430" s="154" t="s">
        <v>8735</v>
      </c>
      <c r="F430" s="154" t="s">
        <v>8736</v>
      </c>
      <c r="G430" s="154" t="s">
        <v>8737</v>
      </c>
      <c r="H430" s="154" t="s">
        <v>8738</v>
      </c>
      <c r="I430" s="154" t="s">
        <v>7123</v>
      </c>
    </row>
    <row r="431" customFormat="false" ht="76" hidden="false" customHeight="true" outlineLevel="0" collapsed="false">
      <c r="A431" s="154" t="s">
        <v>6923</v>
      </c>
      <c r="B431" s="154" t="s">
        <v>7152</v>
      </c>
      <c r="C431" s="154" t="s">
        <v>4743</v>
      </c>
      <c r="D431" s="154" t="s">
        <v>7121</v>
      </c>
      <c r="E431" s="154" t="s">
        <v>8739</v>
      </c>
      <c r="F431" s="154" t="s">
        <v>8740</v>
      </c>
      <c r="G431" s="154" t="s">
        <v>8741</v>
      </c>
      <c r="H431" s="154" t="s">
        <v>8742</v>
      </c>
      <c r="I431" s="154" t="s">
        <v>7123</v>
      </c>
    </row>
    <row r="432" customFormat="false" ht="84" hidden="false" customHeight="true" outlineLevel="0" collapsed="false">
      <c r="A432" s="154" t="s">
        <v>6923</v>
      </c>
      <c r="B432" s="154" t="s">
        <v>7152</v>
      </c>
      <c r="C432" s="154" t="s">
        <v>4743</v>
      </c>
      <c r="D432" s="154" t="s">
        <v>7121</v>
      </c>
      <c r="E432" s="154" t="s">
        <v>8743</v>
      </c>
      <c r="F432" s="154" t="s">
        <v>8744</v>
      </c>
      <c r="G432" s="154" t="s">
        <v>8745</v>
      </c>
      <c r="H432" s="154" t="s">
        <v>8746</v>
      </c>
      <c r="I432" s="154" t="s">
        <v>7123</v>
      </c>
    </row>
    <row r="433" customFormat="false" ht="76" hidden="false" customHeight="true" outlineLevel="0" collapsed="false">
      <c r="A433" s="154" t="s">
        <v>6923</v>
      </c>
      <c r="B433" s="154" t="s">
        <v>7152</v>
      </c>
      <c r="C433" s="154" t="s">
        <v>4743</v>
      </c>
      <c r="D433" s="154" t="s">
        <v>7121</v>
      </c>
      <c r="E433" s="154" t="s">
        <v>7907</v>
      </c>
      <c r="F433" s="154" t="s">
        <v>8747</v>
      </c>
      <c r="G433" s="154" t="s">
        <v>8748</v>
      </c>
      <c r="H433" s="154" t="s">
        <v>7910</v>
      </c>
      <c r="I433" s="154" t="s">
        <v>7123</v>
      </c>
    </row>
    <row r="434" customFormat="false" ht="168" hidden="false" customHeight="true" outlineLevel="0" collapsed="false">
      <c r="A434" s="154" t="s">
        <v>6923</v>
      </c>
      <c r="B434" s="154" t="s">
        <v>7152</v>
      </c>
      <c r="C434" s="154" t="s">
        <v>4743</v>
      </c>
      <c r="D434" s="154" t="s">
        <v>7121</v>
      </c>
      <c r="E434" s="154" t="s">
        <v>8749</v>
      </c>
      <c r="F434" s="154" t="s">
        <v>8750</v>
      </c>
      <c r="G434" s="154" t="s">
        <v>8751</v>
      </c>
      <c r="H434" s="154" t="s">
        <v>8752</v>
      </c>
      <c r="I434" s="154" t="s">
        <v>7123</v>
      </c>
    </row>
    <row r="435" customFormat="false" ht="98" hidden="false" customHeight="true" outlineLevel="0" collapsed="false">
      <c r="A435" s="154" t="s">
        <v>6923</v>
      </c>
      <c r="B435" s="154" t="s">
        <v>7152</v>
      </c>
      <c r="C435" s="154" t="s">
        <v>4743</v>
      </c>
      <c r="D435" s="154" t="s">
        <v>7121</v>
      </c>
      <c r="E435" s="154" t="s">
        <v>8753</v>
      </c>
      <c r="F435" s="154" t="s">
        <v>8754</v>
      </c>
      <c r="G435" s="154" t="s">
        <v>8755</v>
      </c>
      <c r="H435" s="154" t="s">
        <v>8756</v>
      </c>
      <c r="I435" s="154" t="s">
        <v>7123</v>
      </c>
    </row>
    <row r="436" customFormat="false" ht="266" hidden="false" customHeight="true" outlineLevel="0" collapsed="false">
      <c r="A436" s="154" t="s">
        <v>6923</v>
      </c>
      <c r="B436" s="154" t="s">
        <v>7152</v>
      </c>
      <c r="C436" s="154" t="s">
        <v>4743</v>
      </c>
      <c r="D436" s="154" t="s">
        <v>7121</v>
      </c>
      <c r="E436" s="154" t="s">
        <v>8757</v>
      </c>
      <c r="F436" s="154" t="s">
        <v>8758</v>
      </c>
      <c r="G436" s="154" t="s">
        <v>8759</v>
      </c>
      <c r="H436" s="154" t="s">
        <v>8760</v>
      </c>
      <c r="I436" s="154" t="s">
        <v>7123</v>
      </c>
    </row>
    <row r="437" customFormat="false" ht="76" hidden="false" customHeight="true" outlineLevel="0" collapsed="false">
      <c r="A437" s="154" t="s">
        <v>6923</v>
      </c>
      <c r="B437" s="154" t="s">
        <v>7152</v>
      </c>
      <c r="C437" s="154" t="s">
        <v>4743</v>
      </c>
      <c r="D437" s="154" t="s">
        <v>7121</v>
      </c>
      <c r="E437" s="154" t="s">
        <v>8761</v>
      </c>
      <c r="F437" s="154" t="s">
        <v>8762</v>
      </c>
      <c r="G437" s="154" t="s">
        <v>8763</v>
      </c>
      <c r="H437" s="154" t="s">
        <v>8764</v>
      </c>
      <c r="I437" s="154" t="s">
        <v>7123</v>
      </c>
    </row>
    <row r="438" customFormat="false" ht="76" hidden="false" customHeight="true" outlineLevel="0" collapsed="false">
      <c r="A438" s="154" t="s">
        <v>6923</v>
      </c>
      <c r="B438" s="154" t="s">
        <v>7152</v>
      </c>
      <c r="C438" s="154" t="s">
        <v>4743</v>
      </c>
      <c r="D438" s="154" t="s">
        <v>7121</v>
      </c>
      <c r="E438" s="154" t="s">
        <v>8765</v>
      </c>
      <c r="F438" s="154" t="s">
        <v>8766</v>
      </c>
      <c r="G438" s="154" t="s">
        <v>8767</v>
      </c>
      <c r="H438" s="154" t="s">
        <v>8768</v>
      </c>
      <c r="I438" s="154" t="s">
        <v>7123</v>
      </c>
    </row>
    <row r="439" customFormat="false" ht="76" hidden="false" customHeight="true" outlineLevel="0" collapsed="false">
      <c r="A439" s="154" t="s">
        <v>6923</v>
      </c>
      <c r="B439" s="154" t="s">
        <v>7152</v>
      </c>
      <c r="C439" s="154" t="s">
        <v>4743</v>
      </c>
      <c r="D439" s="154" t="s">
        <v>7121</v>
      </c>
      <c r="E439" s="154" t="s">
        <v>7931</v>
      </c>
      <c r="F439" s="154" t="s">
        <v>8769</v>
      </c>
      <c r="G439" s="154" t="s">
        <v>8770</v>
      </c>
      <c r="H439" s="154" t="s">
        <v>7934</v>
      </c>
      <c r="I439" s="154" t="s">
        <v>7123</v>
      </c>
    </row>
    <row r="440" customFormat="false" ht="76" hidden="false" customHeight="true" outlineLevel="0" collapsed="false">
      <c r="A440" s="154" t="s">
        <v>6923</v>
      </c>
      <c r="B440" s="154" t="s">
        <v>7152</v>
      </c>
      <c r="C440" s="154" t="s">
        <v>4743</v>
      </c>
      <c r="D440" s="154" t="s">
        <v>7121</v>
      </c>
      <c r="E440" s="154" t="s">
        <v>7935</v>
      </c>
      <c r="F440" s="154" t="s">
        <v>8771</v>
      </c>
      <c r="G440" s="154" t="s">
        <v>8772</v>
      </c>
      <c r="H440" s="154" t="s">
        <v>7938</v>
      </c>
      <c r="I440" s="154" t="s">
        <v>7123</v>
      </c>
    </row>
    <row r="441" customFormat="false" ht="154" hidden="false" customHeight="true" outlineLevel="0" collapsed="false">
      <c r="A441" s="154" t="s">
        <v>6923</v>
      </c>
      <c r="B441" s="154" t="s">
        <v>7185</v>
      </c>
      <c r="C441" s="154" t="s">
        <v>4743</v>
      </c>
      <c r="D441" s="154" t="s">
        <v>7121</v>
      </c>
      <c r="E441" s="154" t="s">
        <v>8773</v>
      </c>
      <c r="F441" s="154" t="s">
        <v>8774</v>
      </c>
      <c r="G441" s="154" t="s">
        <v>8775</v>
      </c>
      <c r="H441" s="154" t="s">
        <v>8776</v>
      </c>
      <c r="I441" s="154" t="s">
        <v>7123</v>
      </c>
    </row>
    <row r="442" customFormat="false" ht="196" hidden="false" customHeight="true" outlineLevel="0" collapsed="false">
      <c r="A442" s="154" t="s">
        <v>6941</v>
      </c>
      <c r="B442" s="154" t="s">
        <v>7120</v>
      </c>
      <c r="C442" s="154" t="s">
        <v>4743</v>
      </c>
      <c r="D442" s="154" t="s">
        <v>7121</v>
      </c>
      <c r="E442" s="154" t="s">
        <v>8777</v>
      </c>
      <c r="F442" s="154" t="s">
        <v>6946</v>
      </c>
      <c r="G442" s="154" t="s">
        <v>6942</v>
      </c>
      <c r="H442" s="154" t="s">
        <v>6957</v>
      </c>
      <c r="I442" s="154" t="s">
        <v>7123</v>
      </c>
    </row>
    <row r="443" customFormat="false" ht="76" hidden="false" customHeight="true" outlineLevel="0" collapsed="false">
      <c r="A443" s="154" t="s">
        <v>6941</v>
      </c>
      <c r="B443" s="154" t="s">
        <v>7124</v>
      </c>
      <c r="C443" s="154" t="s">
        <v>4743</v>
      </c>
      <c r="D443" s="154" t="s">
        <v>7121</v>
      </c>
      <c r="E443" s="154" t="s">
        <v>8778</v>
      </c>
      <c r="F443" s="154" t="s">
        <v>8779</v>
      </c>
      <c r="G443" s="154" t="s">
        <v>8780</v>
      </c>
      <c r="H443" s="154" t="s">
        <v>8781</v>
      </c>
      <c r="I443" s="154" t="s">
        <v>7123</v>
      </c>
    </row>
    <row r="444" customFormat="false" ht="76" hidden="false" customHeight="true" outlineLevel="0" collapsed="false">
      <c r="A444" s="154" t="s">
        <v>6941</v>
      </c>
      <c r="B444" s="154" t="s">
        <v>7124</v>
      </c>
      <c r="C444" s="154" t="s">
        <v>4743</v>
      </c>
      <c r="D444" s="154" t="s">
        <v>7121</v>
      </c>
      <c r="E444" s="154" t="s">
        <v>7129</v>
      </c>
      <c r="F444" s="154" t="s">
        <v>8782</v>
      </c>
      <c r="G444" s="154" t="s">
        <v>8783</v>
      </c>
      <c r="H444" s="154" t="s">
        <v>7132</v>
      </c>
      <c r="I444" s="154" t="s">
        <v>7123</v>
      </c>
    </row>
    <row r="445" customFormat="false" ht="224" hidden="false" customHeight="true" outlineLevel="0" collapsed="false">
      <c r="A445" s="154" t="s">
        <v>6941</v>
      </c>
      <c r="B445" s="154" t="s">
        <v>7124</v>
      </c>
      <c r="C445" s="154" t="s">
        <v>4743</v>
      </c>
      <c r="D445" s="154" t="s">
        <v>7121</v>
      </c>
      <c r="E445" s="154" t="s">
        <v>8784</v>
      </c>
      <c r="F445" s="154" t="s">
        <v>8785</v>
      </c>
      <c r="G445" s="154" t="s">
        <v>8786</v>
      </c>
      <c r="H445" s="154" t="s">
        <v>8787</v>
      </c>
      <c r="I445" s="154" t="s">
        <v>7123</v>
      </c>
    </row>
    <row r="446" customFormat="false" ht="76" hidden="false" customHeight="true" outlineLevel="0" collapsed="false">
      <c r="A446" s="154" t="s">
        <v>6941</v>
      </c>
      <c r="B446" s="154" t="s">
        <v>7124</v>
      </c>
      <c r="C446" s="154" t="s">
        <v>8788</v>
      </c>
      <c r="D446" s="154" t="s">
        <v>8789</v>
      </c>
      <c r="E446" s="154" t="s">
        <v>8790</v>
      </c>
      <c r="F446" s="154" t="s">
        <v>8791</v>
      </c>
      <c r="G446" s="154" t="s">
        <v>8792</v>
      </c>
      <c r="H446" s="154" t="s">
        <v>8793</v>
      </c>
      <c r="I446" s="154" t="s">
        <v>7123</v>
      </c>
    </row>
    <row r="447" customFormat="false" ht="76" hidden="false" customHeight="true" outlineLevel="0" collapsed="false">
      <c r="A447" s="154" t="s">
        <v>6941</v>
      </c>
      <c r="B447" s="154" t="s">
        <v>7124</v>
      </c>
      <c r="C447" s="154" t="s">
        <v>8788</v>
      </c>
      <c r="D447" s="154" t="s">
        <v>8789</v>
      </c>
      <c r="E447" s="154" t="s">
        <v>8794</v>
      </c>
      <c r="F447" s="154" t="s">
        <v>8795</v>
      </c>
      <c r="G447" s="154" t="s">
        <v>8796</v>
      </c>
      <c r="H447" s="154" t="s">
        <v>8797</v>
      </c>
      <c r="I447" s="154" t="s">
        <v>7123</v>
      </c>
    </row>
    <row r="448" customFormat="false" ht="154" hidden="false" customHeight="true" outlineLevel="0" collapsed="false">
      <c r="A448" s="154" t="s">
        <v>6941</v>
      </c>
      <c r="B448" s="154" t="s">
        <v>7124</v>
      </c>
      <c r="C448" s="154" t="s">
        <v>8788</v>
      </c>
      <c r="D448" s="154" t="s">
        <v>8789</v>
      </c>
      <c r="E448" s="154" t="s">
        <v>8798</v>
      </c>
      <c r="F448" s="154" t="s">
        <v>8799</v>
      </c>
      <c r="G448" s="154" t="s">
        <v>8800</v>
      </c>
      <c r="H448" s="154" t="s">
        <v>8801</v>
      </c>
      <c r="I448" s="154" t="s">
        <v>7123</v>
      </c>
    </row>
    <row r="449" customFormat="false" ht="154" hidden="false" customHeight="true" outlineLevel="0" collapsed="false">
      <c r="A449" s="154" t="s">
        <v>6941</v>
      </c>
      <c r="B449" s="154" t="s">
        <v>7124</v>
      </c>
      <c r="C449" s="154" t="s">
        <v>8788</v>
      </c>
      <c r="D449" s="154" t="s">
        <v>8789</v>
      </c>
      <c r="E449" s="154" t="s">
        <v>8802</v>
      </c>
      <c r="F449" s="154" t="s">
        <v>8803</v>
      </c>
      <c r="G449" s="154" t="s">
        <v>8804</v>
      </c>
      <c r="H449" s="154" t="s">
        <v>8805</v>
      </c>
      <c r="I449" s="154" t="s">
        <v>7123</v>
      </c>
    </row>
    <row r="450" customFormat="false" ht="126" hidden="false" customHeight="true" outlineLevel="0" collapsed="false">
      <c r="A450" s="154" t="s">
        <v>6941</v>
      </c>
      <c r="B450" s="154" t="s">
        <v>7124</v>
      </c>
      <c r="C450" s="154" t="s">
        <v>8788</v>
      </c>
      <c r="D450" s="154" t="s">
        <v>8789</v>
      </c>
      <c r="E450" s="154" t="s">
        <v>8806</v>
      </c>
      <c r="F450" s="154" t="s">
        <v>8807</v>
      </c>
      <c r="G450" s="154" t="s">
        <v>8808</v>
      </c>
      <c r="H450" s="154" t="s">
        <v>8809</v>
      </c>
      <c r="I450" s="154" t="s">
        <v>7123</v>
      </c>
    </row>
    <row r="451" customFormat="false" ht="76" hidden="false" customHeight="true" outlineLevel="0" collapsed="false">
      <c r="A451" s="154" t="s">
        <v>6941</v>
      </c>
      <c r="B451" s="154" t="s">
        <v>7124</v>
      </c>
      <c r="C451" s="154" t="s">
        <v>8788</v>
      </c>
      <c r="D451" s="154" t="s">
        <v>8789</v>
      </c>
      <c r="E451" s="154" t="s">
        <v>8789</v>
      </c>
      <c r="F451" s="154" t="s">
        <v>8810</v>
      </c>
      <c r="G451" s="154" t="s">
        <v>8811</v>
      </c>
      <c r="H451" s="154" t="s">
        <v>8812</v>
      </c>
      <c r="I451" s="154" t="s">
        <v>7123</v>
      </c>
    </row>
    <row r="452" customFormat="false" ht="76" hidden="false" customHeight="true" outlineLevel="0" collapsed="false">
      <c r="A452" s="154" t="s">
        <v>6941</v>
      </c>
      <c r="B452" s="154" t="s">
        <v>7124</v>
      </c>
      <c r="C452" s="154" t="s">
        <v>8788</v>
      </c>
      <c r="D452" s="154" t="s">
        <v>8789</v>
      </c>
      <c r="E452" s="154" t="s">
        <v>8813</v>
      </c>
      <c r="F452" s="154" t="s">
        <v>8814</v>
      </c>
      <c r="G452" s="154" t="s">
        <v>8815</v>
      </c>
      <c r="H452" s="154" t="s">
        <v>8816</v>
      </c>
      <c r="I452" s="154" t="s">
        <v>7123</v>
      </c>
    </row>
    <row r="453" customFormat="false" ht="84" hidden="false" customHeight="true" outlineLevel="0" collapsed="false">
      <c r="A453" s="154" t="s">
        <v>6941</v>
      </c>
      <c r="B453" s="154" t="s">
        <v>7124</v>
      </c>
      <c r="C453" s="154" t="s">
        <v>8817</v>
      </c>
      <c r="D453" s="154" t="s">
        <v>8818</v>
      </c>
      <c r="E453" s="154" t="s">
        <v>8819</v>
      </c>
      <c r="F453" s="154" t="s">
        <v>8820</v>
      </c>
      <c r="G453" s="154" t="s">
        <v>8821</v>
      </c>
      <c r="H453" s="154" t="s">
        <v>8822</v>
      </c>
      <c r="I453" s="154" t="s">
        <v>7123</v>
      </c>
    </row>
    <row r="454" customFormat="false" ht="76" hidden="false" customHeight="true" outlineLevel="0" collapsed="false">
      <c r="A454" s="154" t="s">
        <v>6941</v>
      </c>
      <c r="B454" s="154" t="s">
        <v>7124</v>
      </c>
      <c r="C454" s="154" t="s">
        <v>8823</v>
      </c>
      <c r="D454" s="154" t="s">
        <v>8824</v>
      </c>
      <c r="E454" s="154" t="s">
        <v>8825</v>
      </c>
      <c r="F454" s="154" t="s">
        <v>8826</v>
      </c>
      <c r="G454" s="154" t="s">
        <v>8827</v>
      </c>
      <c r="H454" s="154" t="s">
        <v>8828</v>
      </c>
      <c r="I454" s="154" t="s">
        <v>7123</v>
      </c>
    </row>
    <row r="455" customFormat="false" ht="76" hidden="false" customHeight="true" outlineLevel="0" collapsed="false">
      <c r="A455" s="154" t="s">
        <v>6941</v>
      </c>
      <c r="B455" s="154" t="s">
        <v>7124</v>
      </c>
      <c r="C455" s="154" t="s">
        <v>4743</v>
      </c>
      <c r="D455" s="154" t="s">
        <v>7121</v>
      </c>
      <c r="E455" s="154" t="s">
        <v>4744</v>
      </c>
      <c r="F455" s="154" t="s">
        <v>8829</v>
      </c>
      <c r="G455" s="154" t="s">
        <v>8830</v>
      </c>
      <c r="H455" s="154" t="s">
        <v>7143</v>
      </c>
      <c r="I455" s="154" t="s">
        <v>7123</v>
      </c>
    </row>
    <row r="456" customFormat="false" ht="76" hidden="false" customHeight="true" outlineLevel="0" collapsed="false">
      <c r="A456" s="154" t="s">
        <v>6941</v>
      </c>
      <c r="B456" s="154" t="s">
        <v>7124</v>
      </c>
      <c r="C456" s="154" t="s">
        <v>4743</v>
      </c>
      <c r="D456" s="154" t="s">
        <v>7121</v>
      </c>
      <c r="E456" s="154" t="s">
        <v>8831</v>
      </c>
      <c r="F456" s="154" t="s">
        <v>8832</v>
      </c>
      <c r="G456" s="154" t="s">
        <v>8833</v>
      </c>
      <c r="H456" s="154" t="s">
        <v>8834</v>
      </c>
      <c r="I456" s="154" t="s">
        <v>7123</v>
      </c>
    </row>
    <row r="457" customFormat="false" ht="76" hidden="false" customHeight="true" outlineLevel="0" collapsed="false">
      <c r="A457" s="154" t="s">
        <v>6941</v>
      </c>
      <c r="B457" s="154" t="s">
        <v>7124</v>
      </c>
      <c r="C457" s="154" t="s">
        <v>4743</v>
      </c>
      <c r="D457" s="154" t="s">
        <v>7121</v>
      </c>
      <c r="E457" s="154" t="s">
        <v>8835</v>
      </c>
      <c r="F457" s="154" t="s">
        <v>8836</v>
      </c>
      <c r="G457" s="154" t="s">
        <v>8837</v>
      </c>
      <c r="H457" s="154" t="s">
        <v>8838</v>
      </c>
      <c r="I457" s="154" t="s">
        <v>7123</v>
      </c>
    </row>
    <row r="458" customFormat="false" ht="76" hidden="false" customHeight="true" outlineLevel="0" collapsed="false">
      <c r="A458" s="154" t="s">
        <v>6941</v>
      </c>
      <c r="B458" s="154" t="s">
        <v>7152</v>
      </c>
      <c r="C458" s="154" t="s">
        <v>4743</v>
      </c>
      <c r="D458" s="154" t="s">
        <v>7121</v>
      </c>
      <c r="E458" s="154" t="s">
        <v>8839</v>
      </c>
      <c r="F458" s="154" t="s">
        <v>8840</v>
      </c>
      <c r="G458" s="154" t="s">
        <v>8841</v>
      </c>
      <c r="H458" s="154" t="s">
        <v>8842</v>
      </c>
      <c r="I458" s="154" t="s">
        <v>7123</v>
      </c>
    </row>
    <row r="459" customFormat="false" ht="76" hidden="false" customHeight="true" outlineLevel="0" collapsed="false">
      <c r="A459" s="154" t="s">
        <v>6941</v>
      </c>
      <c r="B459" s="154" t="s">
        <v>7152</v>
      </c>
      <c r="C459" s="154" t="s">
        <v>4743</v>
      </c>
      <c r="D459" s="154" t="s">
        <v>7121</v>
      </c>
      <c r="E459" s="154" t="s">
        <v>8843</v>
      </c>
      <c r="F459" s="154" t="s">
        <v>8844</v>
      </c>
      <c r="G459" s="154" t="s">
        <v>8845</v>
      </c>
      <c r="H459" s="154" t="s">
        <v>8846</v>
      </c>
      <c r="I459" s="154" t="s">
        <v>7123</v>
      </c>
    </row>
    <row r="460" customFormat="false" ht="98" hidden="false" customHeight="true" outlineLevel="0" collapsed="false">
      <c r="A460" s="154" t="s">
        <v>6941</v>
      </c>
      <c r="B460" s="154" t="s">
        <v>7152</v>
      </c>
      <c r="C460" s="154" t="s">
        <v>4743</v>
      </c>
      <c r="D460" s="154" t="s">
        <v>7121</v>
      </c>
      <c r="E460" s="154" t="s">
        <v>8847</v>
      </c>
      <c r="F460" s="154" t="s">
        <v>8848</v>
      </c>
      <c r="G460" s="154" t="s">
        <v>8849</v>
      </c>
      <c r="H460" s="154" t="s">
        <v>8850</v>
      </c>
      <c r="I460" s="154" t="s">
        <v>7123</v>
      </c>
    </row>
    <row r="461" customFormat="false" ht="168" hidden="false" customHeight="true" outlineLevel="0" collapsed="false">
      <c r="A461" s="154" t="s">
        <v>6941</v>
      </c>
      <c r="B461" s="154" t="s">
        <v>7152</v>
      </c>
      <c r="C461" s="154" t="s">
        <v>4743</v>
      </c>
      <c r="D461" s="154" t="s">
        <v>7121</v>
      </c>
      <c r="E461" s="154" t="s">
        <v>8851</v>
      </c>
      <c r="F461" s="154" t="s">
        <v>8852</v>
      </c>
      <c r="G461" s="154" t="s">
        <v>8853</v>
      </c>
      <c r="H461" s="154" t="s">
        <v>8854</v>
      </c>
      <c r="I461" s="154" t="s">
        <v>7123</v>
      </c>
    </row>
    <row r="462" customFormat="false" ht="210" hidden="false" customHeight="true" outlineLevel="0" collapsed="false">
      <c r="A462" s="154" t="s">
        <v>6941</v>
      </c>
      <c r="B462" s="154" t="s">
        <v>7152</v>
      </c>
      <c r="C462" s="154" t="s">
        <v>4743</v>
      </c>
      <c r="D462" s="154" t="s">
        <v>7121</v>
      </c>
      <c r="E462" s="154" t="s">
        <v>8855</v>
      </c>
      <c r="F462" s="154" t="s">
        <v>8856</v>
      </c>
      <c r="G462" s="154" t="s">
        <v>8857</v>
      </c>
      <c r="H462" s="154" t="s">
        <v>8858</v>
      </c>
      <c r="I462" s="154" t="s">
        <v>7123</v>
      </c>
    </row>
    <row r="463" customFormat="false" ht="76" hidden="false" customHeight="true" outlineLevel="0" collapsed="false">
      <c r="A463" s="154" t="s">
        <v>6941</v>
      </c>
      <c r="B463" s="154" t="s">
        <v>7152</v>
      </c>
      <c r="C463" s="154" t="s">
        <v>4743</v>
      </c>
      <c r="D463" s="154" t="s">
        <v>7121</v>
      </c>
      <c r="E463" s="154" t="s">
        <v>8859</v>
      </c>
      <c r="F463" s="154" t="s">
        <v>8860</v>
      </c>
      <c r="G463" s="154" t="s">
        <v>8861</v>
      </c>
      <c r="H463" s="154" t="s">
        <v>8862</v>
      </c>
      <c r="I463" s="154" t="s">
        <v>7123</v>
      </c>
    </row>
    <row r="464" customFormat="false" ht="76" hidden="false" customHeight="true" outlineLevel="0" collapsed="false">
      <c r="A464" s="154" t="s">
        <v>6941</v>
      </c>
      <c r="B464" s="154" t="s">
        <v>7152</v>
      </c>
      <c r="C464" s="154" t="s">
        <v>4743</v>
      </c>
      <c r="D464" s="154" t="s">
        <v>7121</v>
      </c>
      <c r="E464" s="154" t="s">
        <v>8863</v>
      </c>
      <c r="F464" s="154" t="s">
        <v>8864</v>
      </c>
      <c r="G464" s="154" t="s">
        <v>8865</v>
      </c>
      <c r="H464" s="154" t="s">
        <v>8866</v>
      </c>
      <c r="I464" s="154" t="s">
        <v>7123</v>
      </c>
    </row>
    <row r="465" customFormat="false" ht="76" hidden="false" customHeight="true" outlineLevel="0" collapsed="false">
      <c r="A465" s="154" t="s">
        <v>6941</v>
      </c>
      <c r="B465" s="154" t="s">
        <v>7152</v>
      </c>
      <c r="C465" s="154" t="s">
        <v>4743</v>
      </c>
      <c r="D465" s="154" t="s">
        <v>7121</v>
      </c>
      <c r="E465" s="154" t="s">
        <v>8867</v>
      </c>
      <c r="F465" s="154" t="s">
        <v>8868</v>
      </c>
      <c r="G465" s="154" t="s">
        <v>8869</v>
      </c>
      <c r="H465" s="154" t="s">
        <v>8870</v>
      </c>
      <c r="I465" s="154" t="s">
        <v>7123</v>
      </c>
    </row>
    <row r="466" customFormat="false" ht="154" hidden="false" customHeight="true" outlineLevel="0" collapsed="false">
      <c r="A466" s="154" t="s">
        <v>6941</v>
      </c>
      <c r="B466" s="154" t="s">
        <v>7185</v>
      </c>
      <c r="C466" s="154" t="s">
        <v>4743</v>
      </c>
      <c r="D466" s="154" t="s">
        <v>7121</v>
      </c>
      <c r="E466" s="154" t="s">
        <v>8871</v>
      </c>
      <c r="F466" s="154" t="s">
        <v>8872</v>
      </c>
      <c r="G466" s="154" t="s">
        <v>8873</v>
      </c>
      <c r="H466" s="154" t="s">
        <v>8874</v>
      </c>
      <c r="I466" s="154" t="s">
        <v>7123</v>
      </c>
    </row>
    <row r="467" customFormat="false" ht="196" hidden="false" customHeight="true" outlineLevel="0" collapsed="false">
      <c r="A467" s="154" t="s">
        <v>6960</v>
      </c>
      <c r="B467" s="154" t="s">
        <v>7120</v>
      </c>
      <c r="C467" s="154" t="s">
        <v>4743</v>
      </c>
      <c r="D467" s="154" t="s">
        <v>7121</v>
      </c>
      <c r="E467" s="154" t="s">
        <v>8875</v>
      </c>
      <c r="F467" s="154" t="s">
        <v>6965</v>
      </c>
      <c r="G467" s="154" t="s">
        <v>6961</v>
      </c>
      <c r="H467" s="154" t="s">
        <v>6978</v>
      </c>
      <c r="I467" s="154" t="s">
        <v>7123</v>
      </c>
    </row>
    <row r="468" customFormat="false" ht="76" hidden="false" customHeight="true" outlineLevel="0" collapsed="false">
      <c r="A468" s="154" t="s">
        <v>6960</v>
      </c>
      <c r="B468" s="154" t="s">
        <v>7124</v>
      </c>
      <c r="C468" s="154" t="s">
        <v>4743</v>
      </c>
      <c r="D468" s="154" t="s">
        <v>7121</v>
      </c>
      <c r="E468" s="154" t="s">
        <v>8876</v>
      </c>
      <c r="F468" s="154" t="s">
        <v>8877</v>
      </c>
      <c r="G468" s="154" t="s">
        <v>8878</v>
      </c>
      <c r="H468" s="154" t="s">
        <v>8879</v>
      </c>
      <c r="I468" s="154" t="s">
        <v>7123</v>
      </c>
    </row>
    <row r="469" customFormat="false" ht="76" hidden="false" customHeight="true" outlineLevel="0" collapsed="false">
      <c r="A469" s="154" t="s">
        <v>6960</v>
      </c>
      <c r="B469" s="154" t="s">
        <v>7124</v>
      </c>
      <c r="C469" s="154" t="s">
        <v>4743</v>
      </c>
      <c r="D469" s="154" t="s">
        <v>7121</v>
      </c>
      <c r="E469" s="154" t="s">
        <v>7129</v>
      </c>
      <c r="F469" s="154" t="s">
        <v>8880</v>
      </c>
      <c r="G469" s="154" t="s">
        <v>8881</v>
      </c>
      <c r="H469" s="154" t="s">
        <v>7132</v>
      </c>
      <c r="I469" s="154" t="s">
        <v>7123</v>
      </c>
    </row>
    <row r="470" customFormat="false" ht="76" hidden="false" customHeight="true" outlineLevel="0" collapsed="false">
      <c r="A470" s="154" t="s">
        <v>6960</v>
      </c>
      <c r="B470" s="154" t="s">
        <v>7124</v>
      </c>
      <c r="C470" s="154" t="s">
        <v>8882</v>
      </c>
      <c r="D470" s="154" t="s">
        <v>8883</v>
      </c>
      <c r="E470" s="154" t="s">
        <v>8884</v>
      </c>
      <c r="F470" s="154" t="s">
        <v>8885</v>
      </c>
      <c r="G470" s="154" t="s">
        <v>8886</v>
      </c>
      <c r="H470" s="154" t="s">
        <v>8887</v>
      </c>
      <c r="I470" s="154" t="s">
        <v>7123</v>
      </c>
    </row>
    <row r="471" customFormat="false" ht="76" hidden="false" customHeight="true" outlineLevel="0" collapsed="false">
      <c r="A471" s="154" t="s">
        <v>6960</v>
      </c>
      <c r="B471" s="154" t="s">
        <v>7124</v>
      </c>
      <c r="C471" s="154" t="s">
        <v>8888</v>
      </c>
      <c r="D471" s="154" t="s">
        <v>8889</v>
      </c>
      <c r="E471" s="154" t="s">
        <v>8890</v>
      </c>
      <c r="F471" s="154" t="s">
        <v>8891</v>
      </c>
      <c r="G471" s="154" t="s">
        <v>8892</v>
      </c>
      <c r="H471" s="154" t="s">
        <v>8893</v>
      </c>
      <c r="I471" s="154" t="s">
        <v>7123</v>
      </c>
    </row>
    <row r="472" customFormat="false" ht="76" hidden="false" customHeight="true" outlineLevel="0" collapsed="false">
      <c r="A472" s="154" t="s">
        <v>6960</v>
      </c>
      <c r="B472" s="154" t="s">
        <v>7124</v>
      </c>
      <c r="C472" s="154" t="s">
        <v>8894</v>
      </c>
      <c r="D472" s="154" t="s">
        <v>8895</v>
      </c>
      <c r="E472" s="154" t="s">
        <v>8896</v>
      </c>
      <c r="F472" s="154" t="s">
        <v>8897</v>
      </c>
      <c r="G472" s="154" t="s">
        <v>8898</v>
      </c>
      <c r="H472" s="154" t="s">
        <v>8899</v>
      </c>
      <c r="I472" s="154" t="s">
        <v>7123</v>
      </c>
    </row>
    <row r="473" customFormat="false" ht="98" hidden="false" customHeight="true" outlineLevel="0" collapsed="false">
      <c r="A473" s="154" t="s">
        <v>6960</v>
      </c>
      <c r="B473" s="154" t="s">
        <v>7124</v>
      </c>
      <c r="C473" s="154" t="s">
        <v>8900</v>
      </c>
      <c r="D473" s="154" t="s">
        <v>8901</v>
      </c>
      <c r="E473" s="154" t="s">
        <v>8902</v>
      </c>
      <c r="F473" s="154" t="s">
        <v>8903</v>
      </c>
      <c r="G473" s="154" t="s">
        <v>8904</v>
      </c>
      <c r="H473" s="154" t="s">
        <v>8905</v>
      </c>
      <c r="I473" s="154" t="s">
        <v>7123</v>
      </c>
    </row>
    <row r="474" customFormat="false" ht="98" hidden="false" customHeight="true" outlineLevel="0" collapsed="false">
      <c r="A474" s="154" t="s">
        <v>6960</v>
      </c>
      <c r="B474" s="154" t="s">
        <v>7124</v>
      </c>
      <c r="C474" s="154" t="s">
        <v>8906</v>
      </c>
      <c r="D474" s="154" t="s">
        <v>8907</v>
      </c>
      <c r="E474" s="154" t="s">
        <v>8908</v>
      </c>
      <c r="F474" s="154" t="s">
        <v>8909</v>
      </c>
      <c r="G474" s="154" t="s">
        <v>8910</v>
      </c>
      <c r="H474" s="154" t="s">
        <v>8911</v>
      </c>
      <c r="I474" s="154" t="s">
        <v>7123</v>
      </c>
    </row>
    <row r="475" customFormat="false" ht="112" hidden="false" customHeight="true" outlineLevel="0" collapsed="false">
      <c r="A475" s="154" t="s">
        <v>6960</v>
      </c>
      <c r="B475" s="154" t="s">
        <v>7124</v>
      </c>
      <c r="C475" s="154" t="s">
        <v>8912</v>
      </c>
      <c r="D475" s="154" t="s">
        <v>8913</v>
      </c>
      <c r="E475" s="154" t="s">
        <v>8914</v>
      </c>
      <c r="F475" s="154" t="s">
        <v>8915</v>
      </c>
      <c r="G475" s="154" t="s">
        <v>8916</v>
      </c>
      <c r="H475" s="154" t="s">
        <v>8917</v>
      </c>
      <c r="I475" s="154" t="s">
        <v>7123</v>
      </c>
    </row>
    <row r="476" customFormat="false" ht="112" hidden="false" customHeight="true" outlineLevel="0" collapsed="false">
      <c r="A476" s="154" t="s">
        <v>6960</v>
      </c>
      <c r="B476" s="154" t="s">
        <v>7124</v>
      </c>
      <c r="C476" s="154" t="s">
        <v>8918</v>
      </c>
      <c r="D476" s="154" t="s">
        <v>8919</v>
      </c>
      <c r="E476" s="154" t="s">
        <v>8920</v>
      </c>
      <c r="F476" s="154" t="s">
        <v>8921</v>
      </c>
      <c r="G476" s="154" t="s">
        <v>8922</v>
      </c>
      <c r="H476" s="154" t="s">
        <v>8923</v>
      </c>
      <c r="I476" s="154" t="s">
        <v>7123</v>
      </c>
    </row>
    <row r="477" customFormat="false" ht="98" hidden="false" customHeight="true" outlineLevel="0" collapsed="false">
      <c r="A477" s="154" t="s">
        <v>6960</v>
      </c>
      <c r="B477" s="154" t="s">
        <v>7124</v>
      </c>
      <c r="C477" s="154" t="s">
        <v>8924</v>
      </c>
      <c r="D477" s="154" t="s">
        <v>8925</v>
      </c>
      <c r="E477" s="154" t="s">
        <v>8926</v>
      </c>
      <c r="F477" s="154" t="s">
        <v>8927</v>
      </c>
      <c r="G477" s="154" t="s">
        <v>8928</v>
      </c>
      <c r="H477" s="154" t="s">
        <v>8929</v>
      </c>
      <c r="I477" s="154" t="s">
        <v>7123</v>
      </c>
    </row>
    <row r="478" customFormat="false" ht="76" hidden="false" customHeight="true" outlineLevel="0" collapsed="false">
      <c r="A478" s="154" t="s">
        <v>6960</v>
      </c>
      <c r="B478" s="154" t="s">
        <v>7124</v>
      </c>
      <c r="C478" s="154" t="s">
        <v>8930</v>
      </c>
      <c r="D478" s="154" t="s">
        <v>8931</v>
      </c>
      <c r="E478" s="154" t="s">
        <v>8932</v>
      </c>
      <c r="F478" s="154" t="s">
        <v>8933</v>
      </c>
      <c r="G478" s="154" t="s">
        <v>8934</v>
      </c>
      <c r="H478" s="154" t="s">
        <v>8935</v>
      </c>
      <c r="I478" s="154" t="s">
        <v>7123</v>
      </c>
    </row>
    <row r="479" customFormat="false" ht="84" hidden="false" customHeight="true" outlineLevel="0" collapsed="false">
      <c r="A479" s="154" t="s">
        <v>6960</v>
      </c>
      <c r="B479" s="154" t="s">
        <v>7124</v>
      </c>
      <c r="C479" s="154" t="s">
        <v>8936</v>
      </c>
      <c r="D479" s="154" t="s">
        <v>8937</v>
      </c>
      <c r="E479" s="154" t="s">
        <v>8938</v>
      </c>
      <c r="F479" s="154" t="s">
        <v>8939</v>
      </c>
      <c r="G479" s="154" t="s">
        <v>8940</v>
      </c>
      <c r="H479" s="154" t="s">
        <v>8941</v>
      </c>
      <c r="I479" s="154" t="s">
        <v>7123</v>
      </c>
    </row>
    <row r="480" customFormat="false" ht="98" hidden="false" customHeight="true" outlineLevel="0" collapsed="false">
      <c r="A480" s="154" t="s">
        <v>6960</v>
      </c>
      <c r="B480" s="154" t="s">
        <v>7124</v>
      </c>
      <c r="C480" s="154" t="s">
        <v>8942</v>
      </c>
      <c r="D480" s="154" t="s">
        <v>8943</v>
      </c>
      <c r="E480" s="154" t="s">
        <v>8944</v>
      </c>
      <c r="F480" s="154" t="s">
        <v>8945</v>
      </c>
      <c r="G480" s="154" t="s">
        <v>8946</v>
      </c>
      <c r="H480" s="154" t="s">
        <v>8947</v>
      </c>
      <c r="I480" s="154" t="s">
        <v>7123</v>
      </c>
    </row>
    <row r="481" customFormat="false" ht="76" hidden="false" customHeight="true" outlineLevel="0" collapsed="false">
      <c r="A481" s="154" t="s">
        <v>6960</v>
      </c>
      <c r="B481" s="154" t="s">
        <v>7124</v>
      </c>
      <c r="C481" s="154" t="s">
        <v>8948</v>
      </c>
      <c r="D481" s="154" t="s">
        <v>8949</v>
      </c>
      <c r="E481" s="154" t="s">
        <v>8950</v>
      </c>
      <c r="F481" s="154" t="s">
        <v>8951</v>
      </c>
      <c r="G481" s="154" t="s">
        <v>8952</v>
      </c>
      <c r="H481" s="154" t="s">
        <v>8953</v>
      </c>
      <c r="I481" s="154" t="s">
        <v>7123</v>
      </c>
    </row>
    <row r="482" customFormat="false" ht="182" hidden="false" customHeight="true" outlineLevel="0" collapsed="false">
      <c r="A482" s="154" t="s">
        <v>6960</v>
      </c>
      <c r="B482" s="154" t="s">
        <v>7124</v>
      </c>
      <c r="C482" s="154" t="s">
        <v>8954</v>
      </c>
      <c r="D482" s="154" t="s">
        <v>8955</v>
      </c>
      <c r="E482" s="154" t="s">
        <v>8956</v>
      </c>
      <c r="F482" s="154" t="s">
        <v>8957</v>
      </c>
      <c r="G482" s="154" t="s">
        <v>8958</v>
      </c>
      <c r="H482" s="154" t="s">
        <v>8959</v>
      </c>
      <c r="I482" s="154" t="s">
        <v>7123</v>
      </c>
    </row>
    <row r="483" customFormat="false" ht="76" hidden="false" customHeight="true" outlineLevel="0" collapsed="false">
      <c r="A483" s="154" t="s">
        <v>6960</v>
      </c>
      <c r="B483" s="154" t="s">
        <v>7124</v>
      </c>
      <c r="C483" s="154" t="s">
        <v>8960</v>
      </c>
      <c r="D483" s="154" t="s">
        <v>8961</v>
      </c>
      <c r="E483" s="154" t="s">
        <v>8962</v>
      </c>
      <c r="F483" s="154" t="s">
        <v>8963</v>
      </c>
      <c r="G483" s="154" t="s">
        <v>8964</v>
      </c>
      <c r="H483" s="154" t="s">
        <v>8965</v>
      </c>
      <c r="I483" s="154" t="s">
        <v>7123</v>
      </c>
    </row>
    <row r="484" customFormat="false" ht="76" hidden="false" customHeight="true" outlineLevel="0" collapsed="false">
      <c r="A484" s="154" t="s">
        <v>6960</v>
      </c>
      <c r="B484" s="154" t="s">
        <v>7124</v>
      </c>
      <c r="C484" s="154" t="s">
        <v>4743</v>
      </c>
      <c r="D484" s="154" t="s">
        <v>7121</v>
      </c>
      <c r="E484" s="154" t="s">
        <v>4744</v>
      </c>
      <c r="F484" s="154" t="s">
        <v>8966</v>
      </c>
      <c r="G484" s="154" t="s">
        <v>8967</v>
      </c>
      <c r="H484" s="154" t="s">
        <v>7143</v>
      </c>
      <c r="I484" s="154" t="s">
        <v>7123</v>
      </c>
    </row>
    <row r="485" customFormat="false" ht="76" hidden="false" customHeight="true" outlineLevel="0" collapsed="false">
      <c r="A485" s="154" t="s">
        <v>6960</v>
      </c>
      <c r="B485" s="154" t="s">
        <v>7124</v>
      </c>
      <c r="C485" s="154" t="s">
        <v>4743</v>
      </c>
      <c r="D485" s="154" t="s">
        <v>7121</v>
      </c>
      <c r="E485" s="154" t="s">
        <v>8968</v>
      </c>
      <c r="F485" s="154" t="s">
        <v>8969</v>
      </c>
      <c r="G485" s="154" t="s">
        <v>8970</v>
      </c>
      <c r="H485" s="154" t="s">
        <v>8971</v>
      </c>
      <c r="I485" s="154" t="s">
        <v>7123</v>
      </c>
    </row>
    <row r="486" customFormat="false" ht="76" hidden="false" customHeight="true" outlineLevel="0" collapsed="false">
      <c r="A486" s="154" t="s">
        <v>6960</v>
      </c>
      <c r="B486" s="154" t="s">
        <v>7124</v>
      </c>
      <c r="C486" s="154" t="s">
        <v>4743</v>
      </c>
      <c r="D486" s="154" t="s">
        <v>7121</v>
      </c>
      <c r="E486" s="154" t="s">
        <v>8972</v>
      </c>
      <c r="F486" s="154" t="s">
        <v>8973</v>
      </c>
      <c r="G486" s="154" t="s">
        <v>8974</v>
      </c>
      <c r="H486" s="154" t="s">
        <v>8975</v>
      </c>
      <c r="I486" s="154" t="s">
        <v>7123</v>
      </c>
    </row>
    <row r="487" customFormat="false" ht="76" hidden="false" customHeight="true" outlineLevel="0" collapsed="false">
      <c r="A487" s="154" t="s">
        <v>6960</v>
      </c>
      <c r="B487" s="154" t="s">
        <v>7152</v>
      </c>
      <c r="C487" s="154" t="s">
        <v>4743</v>
      </c>
      <c r="D487" s="154" t="s">
        <v>7121</v>
      </c>
      <c r="E487" s="154" t="s">
        <v>8976</v>
      </c>
      <c r="F487" s="154" t="s">
        <v>8977</v>
      </c>
      <c r="G487" s="154" t="s">
        <v>8978</v>
      </c>
      <c r="H487" s="154" t="s">
        <v>8979</v>
      </c>
      <c r="I487" s="154" t="s">
        <v>7123</v>
      </c>
    </row>
    <row r="488" customFormat="false" ht="154" hidden="false" customHeight="true" outlineLevel="0" collapsed="false">
      <c r="A488" s="154" t="s">
        <v>6960</v>
      </c>
      <c r="B488" s="154" t="s">
        <v>7152</v>
      </c>
      <c r="C488" s="154" t="s">
        <v>4743</v>
      </c>
      <c r="D488" s="154" t="s">
        <v>7121</v>
      </c>
      <c r="E488" s="154" t="s">
        <v>8980</v>
      </c>
      <c r="F488" s="154" t="s">
        <v>8981</v>
      </c>
      <c r="G488" s="154" t="s">
        <v>8982</v>
      </c>
      <c r="H488" s="154" t="s">
        <v>8983</v>
      </c>
      <c r="I488" s="154" t="s">
        <v>7123</v>
      </c>
    </row>
    <row r="489" customFormat="false" ht="168" hidden="false" customHeight="true" outlineLevel="0" collapsed="false">
      <c r="A489" s="154" t="s">
        <v>6960</v>
      </c>
      <c r="B489" s="154" t="s">
        <v>7152</v>
      </c>
      <c r="C489" s="154" t="s">
        <v>4743</v>
      </c>
      <c r="D489" s="154" t="s">
        <v>7121</v>
      </c>
      <c r="E489" s="154" t="s">
        <v>8984</v>
      </c>
      <c r="F489" s="154" t="s">
        <v>8985</v>
      </c>
      <c r="G489" s="154" t="s">
        <v>8986</v>
      </c>
      <c r="H489" s="154" t="s">
        <v>8987</v>
      </c>
      <c r="I489" s="154" t="s">
        <v>7123</v>
      </c>
    </row>
    <row r="490" customFormat="false" ht="168" hidden="false" customHeight="true" outlineLevel="0" collapsed="false">
      <c r="A490" s="154" t="s">
        <v>6960</v>
      </c>
      <c r="B490" s="154" t="s">
        <v>7152</v>
      </c>
      <c r="C490" s="154" t="s">
        <v>4743</v>
      </c>
      <c r="D490" s="154" t="s">
        <v>7121</v>
      </c>
      <c r="E490" s="154" t="s">
        <v>8988</v>
      </c>
      <c r="F490" s="154" t="s">
        <v>8989</v>
      </c>
      <c r="G490" s="154" t="s">
        <v>8990</v>
      </c>
      <c r="H490" s="154" t="s">
        <v>8991</v>
      </c>
      <c r="I490" s="154" t="s">
        <v>7123</v>
      </c>
    </row>
    <row r="491" customFormat="false" ht="76" hidden="false" customHeight="true" outlineLevel="0" collapsed="false">
      <c r="A491" s="154" t="s">
        <v>6960</v>
      </c>
      <c r="B491" s="154" t="s">
        <v>7152</v>
      </c>
      <c r="C491" s="154" t="s">
        <v>4743</v>
      </c>
      <c r="D491" s="154" t="s">
        <v>8992</v>
      </c>
      <c r="E491" s="154" t="s">
        <v>8993</v>
      </c>
      <c r="F491" s="154" t="s">
        <v>8994</v>
      </c>
      <c r="G491" s="154" t="s">
        <v>8995</v>
      </c>
      <c r="H491" s="154" t="s">
        <v>8996</v>
      </c>
      <c r="I491" s="154" t="s">
        <v>7123</v>
      </c>
    </row>
    <row r="492" customFormat="false" ht="76" hidden="false" customHeight="true" outlineLevel="0" collapsed="false">
      <c r="A492" s="154" t="s">
        <v>6960</v>
      </c>
      <c r="B492" s="154" t="s">
        <v>7152</v>
      </c>
      <c r="C492" s="154" t="s">
        <v>4743</v>
      </c>
      <c r="D492" s="154" t="s">
        <v>8997</v>
      </c>
      <c r="E492" s="154" t="s">
        <v>8998</v>
      </c>
      <c r="F492" s="154" t="s">
        <v>8999</v>
      </c>
      <c r="G492" s="154" t="s">
        <v>9000</v>
      </c>
      <c r="H492" s="154" t="s">
        <v>9001</v>
      </c>
      <c r="I492" s="154" t="s">
        <v>7123</v>
      </c>
    </row>
    <row r="493" customFormat="false" ht="76" hidden="false" customHeight="true" outlineLevel="0" collapsed="false">
      <c r="A493" s="154" t="s">
        <v>6960</v>
      </c>
      <c r="B493" s="154" t="s">
        <v>7152</v>
      </c>
      <c r="C493" s="154" t="s">
        <v>4743</v>
      </c>
      <c r="D493" s="154" t="s">
        <v>9002</v>
      </c>
      <c r="E493" s="154" t="s">
        <v>9003</v>
      </c>
      <c r="F493" s="154" t="s">
        <v>9004</v>
      </c>
      <c r="G493" s="154" t="s">
        <v>9005</v>
      </c>
      <c r="H493" s="154" t="s">
        <v>9006</v>
      </c>
      <c r="I493" s="154" t="s">
        <v>7123</v>
      </c>
    </row>
    <row r="494" customFormat="false" ht="76" hidden="false" customHeight="true" outlineLevel="0" collapsed="false">
      <c r="A494" s="154" t="s">
        <v>6960</v>
      </c>
      <c r="B494" s="154" t="s">
        <v>7152</v>
      </c>
      <c r="C494" s="154" t="s">
        <v>4743</v>
      </c>
      <c r="D494" s="154" t="s">
        <v>9007</v>
      </c>
      <c r="E494" s="154" t="s">
        <v>9008</v>
      </c>
      <c r="F494" s="154" t="s">
        <v>9009</v>
      </c>
      <c r="G494" s="154" t="s">
        <v>9010</v>
      </c>
      <c r="H494" s="154" t="s">
        <v>9011</v>
      </c>
      <c r="I494" s="154" t="s">
        <v>7123</v>
      </c>
    </row>
    <row r="495" customFormat="false" ht="76" hidden="false" customHeight="true" outlineLevel="0" collapsed="false">
      <c r="A495" s="154" t="s">
        <v>6960</v>
      </c>
      <c r="B495" s="154" t="s">
        <v>7152</v>
      </c>
      <c r="C495" s="154" t="s">
        <v>4743</v>
      </c>
      <c r="D495" s="154" t="s">
        <v>9012</v>
      </c>
      <c r="E495" s="154" t="s">
        <v>9013</v>
      </c>
      <c r="F495" s="154" t="s">
        <v>9014</v>
      </c>
      <c r="G495" s="154" t="s">
        <v>9015</v>
      </c>
      <c r="H495" s="154" t="s">
        <v>9016</v>
      </c>
      <c r="I495" s="154" t="s">
        <v>7123</v>
      </c>
    </row>
    <row r="496" customFormat="false" ht="76" hidden="false" customHeight="true" outlineLevel="0" collapsed="false">
      <c r="A496" s="154" t="s">
        <v>6960</v>
      </c>
      <c r="B496" s="154" t="s">
        <v>7152</v>
      </c>
      <c r="C496" s="154" t="s">
        <v>4743</v>
      </c>
      <c r="D496" s="154" t="s">
        <v>9017</v>
      </c>
      <c r="E496" s="154" t="s">
        <v>9018</v>
      </c>
      <c r="F496" s="154" t="s">
        <v>9019</v>
      </c>
      <c r="G496" s="154" t="s">
        <v>9020</v>
      </c>
      <c r="H496" s="154" t="s">
        <v>9021</v>
      </c>
      <c r="I496" s="154" t="s">
        <v>7123</v>
      </c>
    </row>
    <row r="497" customFormat="false" ht="76" hidden="false" customHeight="true" outlineLevel="0" collapsed="false">
      <c r="A497" s="154" t="s">
        <v>6960</v>
      </c>
      <c r="B497" s="154" t="s">
        <v>7152</v>
      </c>
      <c r="C497" s="154" t="s">
        <v>4743</v>
      </c>
      <c r="D497" s="154" t="s">
        <v>9022</v>
      </c>
      <c r="E497" s="154" t="s">
        <v>9023</v>
      </c>
      <c r="F497" s="154" t="s">
        <v>9024</v>
      </c>
      <c r="G497" s="154" t="s">
        <v>9025</v>
      </c>
      <c r="H497" s="154" t="s">
        <v>9026</v>
      </c>
      <c r="I497" s="154" t="s">
        <v>7123</v>
      </c>
    </row>
    <row r="498" customFormat="false" ht="76" hidden="false" customHeight="true" outlineLevel="0" collapsed="false">
      <c r="A498" s="154" t="s">
        <v>6960</v>
      </c>
      <c r="B498" s="154" t="s">
        <v>7152</v>
      </c>
      <c r="C498" s="154" t="s">
        <v>4743</v>
      </c>
      <c r="D498" s="154" t="s">
        <v>9027</v>
      </c>
      <c r="E498" s="154" t="s">
        <v>9028</v>
      </c>
      <c r="F498" s="154" t="s">
        <v>9029</v>
      </c>
      <c r="G498" s="154" t="s">
        <v>9030</v>
      </c>
      <c r="H498" s="154" t="s">
        <v>9031</v>
      </c>
      <c r="I498" s="154" t="s">
        <v>7123</v>
      </c>
    </row>
    <row r="499" customFormat="false" ht="76" hidden="false" customHeight="true" outlineLevel="0" collapsed="false">
      <c r="A499" s="154" t="s">
        <v>6960</v>
      </c>
      <c r="B499" s="154" t="s">
        <v>7152</v>
      </c>
      <c r="C499" s="154" t="s">
        <v>4743</v>
      </c>
      <c r="D499" s="154" t="s">
        <v>9032</v>
      </c>
      <c r="E499" s="154" t="s">
        <v>9033</v>
      </c>
      <c r="F499" s="154" t="s">
        <v>9034</v>
      </c>
      <c r="G499" s="154" t="s">
        <v>9035</v>
      </c>
      <c r="H499" s="154" t="s">
        <v>9036</v>
      </c>
      <c r="I499" s="154" t="s">
        <v>7123</v>
      </c>
    </row>
    <row r="500" customFormat="false" ht="76" hidden="false" customHeight="true" outlineLevel="0" collapsed="false">
      <c r="A500" s="154" t="s">
        <v>6960</v>
      </c>
      <c r="B500" s="154" t="s">
        <v>7152</v>
      </c>
      <c r="C500" s="154" t="s">
        <v>4743</v>
      </c>
      <c r="D500" s="154" t="s">
        <v>9037</v>
      </c>
      <c r="E500" s="154" t="s">
        <v>9038</v>
      </c>
      <c r="F500" s="154" t="s">
        <v>9039</v>
      </c>
      <c r="G500" s="154" t="s">
        <v>9040</v>
      </c>
      <c r="H500" s="154" t="s">
        <v>9041</v>
      </c>
      <c r="I500" s="154" t="s">
        <v>7123</v>
      </c>
    </row>
    <row r="501" customFormat="false" ht="76" hidden="false" customHeight="true" outlineLevel="0" collapsed="false">
      <c r="A501" s="154" t="s">
        <v>6960</v>
      </c>
      <c r="B501" s="154" t="s">
        <v>7152</v>
      </c>
      <c r="C501" s="154" t="s">
        <v>4743</v>
      </c>
      <c r="D501" s="154" t="s">
        <v>9042</v>
      </c>
      <c r="E501" s="154" t="s">
        <v>9043</v>
      </c>
      <c r="F501" s="154" t="s">
        <v>9044</v>
      </c>
      <c r="G501" s="154" t="s">
        <v>9045</v>
      </c>
      <c r="H501" s="154" t="s">
        <v>9046</v>
      </c>
      <c r="I501" s="154" t="s">
        <v>7123</v>
      </c>
    </row>
    <row r="502" customFormat="false" ht="76" hidden="false" customHeight="true" outlineLevel="0" collapsed="false">
      <c r="A502" s="154" t="s">
        <v>6960</v>
      </c>
      <c r="B502" s="154" t="s">
        <v>7152</v>
      </c>
      <c r="C502" s="154" t="s">
        <v>4743</v>
      </c>
      <c r="D502" s="154" t="s">
        <v>9047</v>
      </c>
      <c r="E502" s="154" t="s">
        <v>9048</v>
      </c>
      <c r="F502" s="154" t="s">
        <v>9049</v>
      </c>
      <c r="G502" s="154" t="s">
        <v>9050</v>
      </c>
      <c r="H502" s="154" t="s">
        <v>9051</v>
      </c>
      <c r="I502" s="154" t="s">
        <v>7123</v>
      </c>
    </row>
    <row r="503" customFormat="false" ht="76" hidden="false" customHeight="true" outlineLevel="0" collapsed="false">
      <c r="A503" s="154" t="s">
        <v>6960</v>
      </c>
      <c r="B503" s="154" t="s">
        <v>7152</v>
      </c>
      <c r="C503" s="154" t="s">
        <v>4743</v>
      </c>
      <c r="D503" s="154" t="s">
        <v>9052</v>
      </c>
      <c r="E503" s="154" t="s">
        <v>9053</v>
      </c>
      <c r="F503" s="154" t="s">
        <v>9054</v>
      </c>
      <c r="G503" s="154" t="s">
        <v>9055</v>
      </c>
      <c r="H503" s="154" t="s">
        <v>9056</v>
      </c>
      <c r="I503" s="154" t="s">
        <v>7123</v>
      </c>
    </row>
    <row r="504" customFormat="false" ht="76" hidden="false" customHeight="true" outlineLevel="0" collapsed="false">
      <c r="A504" s="154" t="s">
        <v>6960</v>
      </c>
      <c r="B504" s="154" t="s">
        <v>7152</v>
      </c>
      <c r="C504" s="154" t="s">
        <v>4743</v>
      </c>
      <c r="D504" s="154" t="s">
        <v>9057</v>
      </c>
      <c r="E504" s="154" t="s">
        <v>9058</v>
      </c>
      <c r="F504" s="154" t="s">
        <v>9059</v>
      </c>
      <c r="G504" s="154" t="s">
        <v>9060</v>
      </c>
      <c r="H504" s="154" t="s">
        <v>9061</v>
      </c>
      <c r="I504" s="154" t="s">
        <v>7123</v>
      </c>
    </row>
    <row r="505" customFormat="false" ht="98" hidden="false" customHeight="true" outlineLevel="0" collapsed="false">
      <c r="A505" s="154" t="s">
        <v>6960</v>
      </c>
      <c r="B505" s="154" t="s">
        <v>7152</v>
      </c>
      <c r="C505" s="154" t="s">
        <v>4743</v>
      </c>
      <c r="D505" s="154" t="s">
        <v>7121</v>
      </c>
      <c r="E505" s="154" t="s">
        <v>9062</v>
      </c>
      <c r="F505" s="154" t="s">
        <v>9063</v>
      </c>
      <c r="G505" s="154" t="s">
        <v>9064</v>
      </c>
      <c r="H505" s="154" t="s">
        <v>9065</v>
      </c>
      <c r="I505" s="154" t="s">
        <v>7123</v>
      </c>
    </row>
    <row r="506" customFormat="false" ht="76" hidden="false" customHeight="true" outlineLevel="0" collapsed="false">
      <c r="A506" s="154" t="s">
        <v>6960</v>
      </c>
      <c r="B506" s="154" t="s">
        <v>7152</v>
      </c>
      <c r="C506" s="154" t="s">
        <v>4743</v>
      </c>
      <c r="D506" s="154" t="s">
        <v>7121</v>
      </c>
      <c r="E506" s="154" t="s">
        <v>9066</v>
      </c>
      <c r="F506" s="154" t="s">
        <v>9067</v>
      </c>
      <c r="G506" s="154" t="s">
        <v>9068</v>
      </c>
      <c r="H506" s="154" t="s">
        <v>9069</v>
      </c>
      <c r="I506" s="154" t="s">
        <v>7123</v>
      </c>
    </row>
    <row r="507" customFormat="false" ht="76" hidden="false" customHeight="true" outlineLevel="0" collapsed="false">
      <c r="A507" s="154" t="s">
        <v>6960</v>
      </c>
      <c r="B507" s="154" t="s">
        <v>7152</v>
      </c>
      <c r="C507" s="154" t="s">
        <v>4743</v>
      </c>
      <c r="D507" s="154" t="s">
        <v>7121</v>
      </c>
      <c r="E507" s="154" t="s">
        <v>9070</v>
      </c>
      <c r="F507" s="154" t="s">
        <v>9071</v>
      </c>
      <c r="G507" s="154" t="s">
        <v>9072</v>
      </c>
      <c r="H507" s="154" t="s">
        <v>9073</v>
      </c>
      <c r="I507" s="154" t="s">
        <v>7123</v>
      </c>
    </row>
    <row r="508" customFormat="false" ht="76" hidden="false" customHeight="true" outlineLevel="0" collapsed="false">
      <c r="A508" s="154" t="s">
        <v>6960</v>
      </c>
      <c r="B508" s="154" t="s">
        <v>7152</v>
      </c>
      <c r="C508" s="154" t="s">
        <v>4743</v>
      </c>
      <c r="D508" s="154" t="s">
        <v>7121</v>
      </c>
      <c r="E508" s="154" t="s">
        <v>9074</v>
      </c>
      <c r="F508" s="154" t="s">
        <v>9075</v>
      </c>
      <c r="G508" s="154" t="s">
        <v>9076</v>
      </c>
      <c r="H508" s="154" t="s">
        <v>9077</v>
      </c>
      <c r="I508" s="154" t="s">
        <v>7123</v>
      </c>
    </row>
    <row r="509" customFormat="false" ht="76" hidden="false" customHeight="true" outlineLevel="0" collapsed="false">
      <c r="A509" s="154" t="s">
        <v>6960</v>
      </c>
      <c r="B509" s="154" t="s">
        <v>7152</v>
      </c>
      <c r="C509" s="154" t="s">
        <v>4743</v>
      </c>
      <c r="D509" s="154" t="s">
        <v>8992</v>
      </c>
      <c r="E509" s="154" t="s">
        <v>8993</v>
      </c>
      <c r="F509" s="154" t="s">
        <v>9078</v>
      </c>
      <c r="G509" s="154" t="s">
        <v>9079</v>
      </c>
      <c r="H509" s="154" t="s">
        <v>8996</v>
      </c>
      <c r="I509" s="154" t="s">
        <v>7123</v>
      </c>
    </row>
    <row r="510" customFormat="false" ht="76" hidden="false" customHeight="true" outlineLevel="0" collapsed="false">
      <c r="A510" s="154" t="s">
        <v>6960</v>
      </c>
      <c r="B510" s="154" t="s">
        <v>7152</v>
      </c>
      <c r="C510" s="154" t="s">
        <v>4743</v>
      </c>
      <c r="D510" s="154" t="s">
        <v>8997</v>
      </c>
      <c r="E510" s="154" t="s">
        <v>8998</v>
      </c>
      <c r="F510" s="154" t="s">
        <v>9080</v>
      </c>
      <c r="G510" s="154" t="s">
        <v>9081</v>
      </c>
      <c r="H510" s="154" t="s">
        <v>9001</v>
      </c>
      <c r="I510" s="154" t="s">
        <v>7123</v>
      </c>
    </row>
    <row r="511" customFormat="false" ht="76" hidden="false" customHeight="true" outlineLevel="0" collapsed="false">
      <c r="A511" s="154" t="s">
        <v>6960</v>
      </c>
      <c r="B511" s="154" t="s">
        <v>7152</v>
      </c>
      <c r="C511" s="154" t="s">
        <v>4743</v>
      </c>
      <c r="D511" s="154" t="s">
        <v>9002</v>
      </c>
      <c r="E511" s="154" t="s">
        <v>9003</v>
      </c>
      <c r="F511" s="154" t="s">
        <v>9082</v>
      </c>
      <c r="G511" s="154" t="s">
        <v>9083</v>
      </c>
      <c r="H511" s="154" t="s">
        <v>9006</v>
      </c>
      <c r="I511" s="154" t="s">
        <v>7123</v>
      </c>
    </row>
    <row r="512" customFormat="false" ht="76" hidden="false" customHeight="true" outlineLevel="0" collapsed="false">
      <c r="A512" s="154" t="s">
        <v>6960</v>
      </c>
      <c r="B512" s="154" t="s">
        <v>7152</v>
      </c>
      <c r="C512" s="154" t="s">
        <v>4743</v>
      </c>
      <c r="D512" s="154" t="s">
        <v>9007</v>
      </c>
      <c r="E512" s="154" t="s">
        <v>9008</v>
      </c>
      <c r="F512" s="154" t="s">
        <v>9084</v>
      </c>
      <c r="G512" s="154" t="s">
        <v>9085</v>
      </c>
      <c r="H512" s="154" t="s">
        <v>9011</v>
      </c>
      <c r="I512" s="154" t="s">
        <v>7123</v>
      </c>
    </row>
    <row r="513" customFormat="false" ht="76" hidden="false" customHeight="true" outlineLevel="0" collapsed="false">
      <c r="A513" s="154" t="s">
        <v>6960</v>
      </c>
      <c r="B513" s="154" t="s">
        <v>7152</v>
      </c>
      <c r="C513" s="154" t="s">
        <v>4743</v>
      </c>
      <c r="D513" s="154" t="s">
        <v>9012</v>
      </c>
      <c r="E513" s="154" t="s">
        <v>9013</v>
      </c>
      <c r="F513" s="154" t="s">
        <v>9086</v>
      </c>
      <c r="G513" s="154" t="s">
        <v>9087</v>
      </c>
      <c r="H513" s="154" t="s">
        <v>9016</v>
      </c>
      <c r="I513" s="154" t="s">
        <v>7123</v>
      </c>
    </row>
    <row r="514" customFormat="false" ht="76" hidden="false" customHeight="true" outlineLevel="0" collapsed="false">
      <c r="A514" s="154" t="s">
        <v>6960</v>
      </c>
      <c r="B514" s="154" t="s">
        <v>7152</v>
      </c>
      <c r="C514" s="154" t="s">
        <v>4743</v>
      </c>
      <c r="D514" s="154" t="s">
        <v>9017</v>
      </c>
      <c r="E514" s="154" t="s">
        <v>9018</v>
      </c>
      <c r="F514" s="154" t="s">
        <v>9088</v>
      </c>
      <c r="G514" s="154" t="s">
        <v>9089</v>
      </c>
      <c r="H514" s="154" t="s">
        <v>9021</v>
      </c>
      <c r="I514" s="154" t="s">
        <v>7123</v>
      </c>
    </row>
    <row r="515" customFormat="false" ht="76" hidden="false" customHeight="true" outlineLevel="0" collapsed="false">
      <c r="A515" s="154" t="s">
        <v>6960</v>
      </c>
      <c r="B515" s="154" t="s">
        <v>7152</v>
      </c>
      <c r="C515" s="154" t="s">
        <v>4743</v>
      </c>
      <c r="D515" s="154" t="s">
        <v>9022</v>
      </c>
      <c r="E515" s="154" t="s">
        <v>9023</v>
      </c>
      <c r="F515" s="154" t="s">
        <v>9090</v>
      </c>
      <c r="G515" s="154" t="s">
        <v>9091</v>
      </c>
      <c r="H515" s="154" t="s">
        <v>9026</v>
      </c>
      <c r="I515" s="154" t="s">
        <v>7123</v>
      </c>
    </row>
    <row r="516" customFormat="false" ht="76" hidden="false" customHeight="true" outlineLevel="0" collapsed="false">
      <c r="A516" s="154" t="s">
        <v>6960</v>
      </c>
      <c r="B516" s="154" t="s">
        <v>7152</v>
      </c>
      <c r="C516" s="154" t="s">
        <v>4743</v>
      </c>
      <c r="D516" s="154" t="s">
        <v>9027</v>
      </c>
      <c r="E516" s="154" t="s">
        <v>9028</v>
      </c>
      <c r="F516" s="154" t="s">
        <v>9092</v>
      </c>
      <c r="G516" s="154" t="s">
        <v>9093</v>
      </c>
      <c r="H516" s="154" t="s">
        <v>9031</v>
      </c>
      <c r="I516" s="154" t="s">
        <v>7123</v>
      </c>
    </row>
    <row r="517" customFormat="false" ht="76" hidden="false" customHeight="true" outlineLevel="0" collapsed="false">
      <c r="A517" s="154" t="s">
        <v>6960</v>
      </c>
      <c r="B517" s="154" t="s">
        <v>7152</v>
      </c>
      <c r="C517" s="154" t="s">
        <v>4743</v>
      </c>
      <c r="D517" s="154" t="s">
        <v>9032</v>
      </c>
      <c r="E517" s="154" t="s">
        <v>9033</v>
      </c>
      <c r="F517" s="154" t="s">
        <v>9094</v>
      </c>
      <c r="G517" s="154" t="s">
        <v>9095</v>
      </c>
      <c r="H517" s="154" t="s">
        <v>9036</v>
      </c>
      <c r="I517" s="154" t="s">
        <v>7123</v>
      </c>
    </row>
    <row r="518" customFormat="false" ht="76" hidden="false" customHeight="true" outlineLevel="0" collapsed="false">
      <c r="A518" s="154" t="s">
        <v>6960</v>
      </c>
      <c r="B518" s="154" t="s">
        <v>7152</v>
      </c>
      <c r="C518" s="154" t="s">
        <v>4743</v>
      </c>
      <c r="D518" s="154" t="s">
        <v>9037</v>
      </c>
      <c r="E518" s="154" t="s">
        <v>9038</v>
      </c>
      <c r="F518" s="154" t="s">
        <v>9096</v>
      </c>
      <c r="G518" s="154" t="s">
        <v>9097</v>
      </c>
      <c r="H518" s="154" t="s">
        <v>9041</v>
      </c>
      <c r="I518" s="154" t="s">
        <v>7123</v>
      </c>
    </row>
    <row r="519" customFormat="false" ht="76" hidden="false" customHeight="true" outlineLevel="0" collapsed="false">
      <c r="A519" s="154" t="s">
        <v>6960</v>
      </c>
      <c r="B519" s="154" t="s">
        <v>7152</v>
      </c>
      <c r="C519" s="154" t="s">
        <v>4743</v>
      </c>
      <c r="D519" s="154" t="s">
        <v>9042</v>
      </c>
      <c r="E519" s="154" t="s">
        <v>9043</v>
      </c>
      <c r="F519" s="154" t="s">
        <v>9098</v>
      </c>
      <c r="G519" s="154" t="s">
        <v>9099</v>
      </c>
      <c r="H519" s="154" t="s">
        <v>9046</v>
      </c>
      <c r="I519" s="154" t="s">
        <v>7123</v>
      </c>
    </row>
    <row r="520" customFormat="false" ht="76" hidden="false" customHeight="true" outlineLevel="0" collapsed="false">
      <c r="A520" s="154" t="s">
        <v>6960</v>
      </c>
      <c r="B520" s="154" t="s">
        <v>7152</v>
      </c>
      <c r="C520" s="154" t="s">
        <v>4743</v>
      </c>
      <c r="D520" s="154" t="s">
        <v>9047</v>
      </c>
      <c r="E520" s="154" t="s">
        <v>9048</v>
      </c>
      <c r="F520" s="154" t="s">
        <v>9100</v>
      </c>
      <c r="G520" s="154" t="s">
        <v>9101</v>
      </c>
      <c r="H520" s="154" t="s">
        <v>9051</v>
      </c>
      <c r="I520" s="154" t="s">
        <v>7123</v>
      </c>
    </row>
    <row r="521" customFormat="false" ht="76" hidden="false" customHeight="true" outlineLevel="0" collapsed="false">
      <c r="A521" s="154" t="s">
        <v>6960</v>
      </c>
      <c r="B521" s="154" t="s">
        <v>7152</v>
      </c>
      <c r="C521" s="154" t="s">
        <v>4743</v>
      </c>
      <c r="D521" s="154" t="s">
        <v>9052</v>
      </c>
      <c r="E521" s="154" t="s">
        <v>9053</v>
      </c>
      <c r="F521" s="154" t="s">
        <v>9102</v>
      </c>
      <c r="G521" s="154" t="s">
        <v>9103</v>
      </c>
      <c r="H521" s="154" t="s">
        <v>9056</v>
      </c>
      <c r="I521" s="154" t="s">
        <v>7123</v>
      </c>
    </row>
    <row r="522" customFormat="false" ht="76" hidden="false" customHeight="true" outlineLevel="0" collapsed="false">
      <c r="A522" s="154" t="s">
        <v>6960</v>
      </c>
      <c r="B522" s="154" t="s">
        <v>7152</v>
      </c>
      <c r="C522" s="154" t="s">
        <v>4743</v>
      </c>
      <c r="D522" s="154" t="s">
        <v>9057</v>
      </c>
      <c r="E522" s="154" t="s">
        <v>9058</v>
      </c>
      <c r="F522" s="154" t="s">
        <v>9104</v>
      </c>
      <c r="G522" s="154" t="s">
        <v>9105</v>
      </c>
      <c r="H522" s="154" t="s">
        <v>9061</v>
      </c>
      <c r="I522" s="154" t="s">
        <v>7123</v>
      </c>
    </row>
    <row r="523" customFormat="false" ht="168" hidden="false" customHeight="true" outlineLevel="0" collapsed="false">
      <c r="A523" s="154" t="s">
        <v>6960</v>
      </c>
      <c r="B523" s="154" t="s">
        <v>7152</v>
      </c>
      <c r="C523" s="154" t="s">
        <v>4743</v>
      </c>
      <c r="D523" s="154" t="s">
        <v>7121</v>
      </c>
      <c r="E523" s="154" t="s">
        <v>8984</v>
      </c>
      <c r="F523" s="154" t="s">
        <v>9106</v>
      </c>
      <c r="G523" s="154" t="s">
        <v>9107</v>
      </c>
      <c r="H523" s="154" t="s">
        <v>8987</v>
      </c>
      <c r="I523" s="154" t="s">
        <v>7123</v>
      </c>
    </row>
    <row r="524" customFormat="false" ht="76" hidden="false" customHeight="true" outlineLevel="0" collapsed="false">
      <c r="A524" s="154" t="s">
        <v>6960</v>
      </c>
      <c r="B524" s="154" t="s">
        <v>7152</v>
      </c>
      <c r="C524" s="154" t="s">
        <v>4743</v>
      </c>
      <c r="D524" s="154" t="s">
        <v>7121</v>
      </c>
      <c r="E524" s="154" t="s">
        <v>9108</v>
      </c>
      <c r="F524" s="154" t="s">
        <v>9109</v>
      </c>
      <c r="G524" s="154" t="s">
        <v>9110</v>
      </c>
      <c r="H524" s="154" t="s">
        <v>9111</v>
      </c>
      <c r="I524" s="154" t="s">
        <v>7123</v>
      </c>
    </row>
    <row r="525" customFormat="false" ht="76" hidden="false" customHeight="true" outlineLevel="0" collapsed="false">
      <c r="A525" s="154" t="s">
        <v>6960</v>
      </c>
      <c r="B525" s="154" t="s">
        <v>7152</v>
      </c>
      <c r="C525" s="154" t="s">
        <v>4743</v>
      </c>
      <c r="D525" s="154" t="s">
        <v>7121</v>
      </c>
      <c r="E525" s="154" t="s">
        <v>9112</v>
      </c>
      <c r="F525" s="154" t="s">
        <v>9113</v>
      </c>
      <c r="G525" s="154" t="s">
        <v>9114</v>
      </c>
      <c r="H525" s="154" t="s">
        <v>9115</v>
      </c>
      <c r="I525" s="154" t="s">
        <v>7123</v>
      </c>
    </row>
    <row r="526" customFormat="false" ht="76" hidden="false" customHeight="true" outlineLevel="0" collapsed="false">
      <c r="A526" s="154" t="s">
        <v>6960</v>
      </c>
      <c r="B526" s="154" t="s">
        <v>7152</v>
      </c>
      <c r="C526" s="154" t="s">
        <v>4743</v>
      </c>
      <c r="D526" s="154" t="s">
        <v>7121</v>
      </c>
      <c r="E526" s="154" t="s">
        <v>9116</v>
      </c>
      <c r="F526" s="154" t="s">
        <v>9117</v>
      </c>
      <c r="G526" s="154" t="s">
        <v>9118</v>
      </c>
      <c r="H526" s="154" t="s">
        <v>9119</v>
      </c>
      <c r="I526" s="154" t="s">
        <v>7123</v>
      </c>
    </row>
    <row r="527" customFormat="false" ht="76" hidden="false" customHeight="true" outlineLevel="0" collapsed="false">
      <c r="A527" s="154" t="s">
        <v>6960</v>
      </c>
      <c r="B527" s="154" t="s">
        <v>7152</v>
      </c>
      <c r="C527" s="154" t="s">
        <v>4743</v>
      </c>
      <c r="D527" s="154" t="s">
        <v>7121</v>
      </c>
      <c r="E527" s="154" t="s">
        <v>9120</v>
      </c>
      <c r="F527" s="154" t="s">
        <v>9121</v>
      </c>
      <c r="G527" s="154" t="s">
        <v>9122</v>
      </c>
      <c r="H527" s="154" t="s">
        <v>9123</v>
      </c>
      <c r="I527" s="154" t="s">
        <v>7123</v>
      </c>
    </row>
    <row r="528" customFormat="false" ht="154" hidden="false" customHeight="true" outlineLevel="0" collapsed="false">
      <c r="A528" s="154" t="s">
        <v>6960</v>
      </c>
      <c r="B528" s="154" t="s">
        <v>7185</v>
      </c>
      <c r="C528" s="154" t="s">
        <v>4743</v>
      </c>
      <c r="D528" s="154" t="s">
        <v>7121</v>
      </c>
      <c r="E528" s="154" t="s">
        <v>9124</v>
      </c>
      <c r="F528" s="154" t="s">
        <v>9125</v>
      </c>
      <c r="G528" s="154" t="s">
        <v>9126</v>
      </c>
      <c r="H528" s="154" t="s">
        <v>9127</v>
      </c>
      <c r="I528" s="154" t="s">
        <v>7123</v>
      </c>
    </row>
    <row r="529" customFormat="false" ht="196" hidden="false" customHeight="true" outlineLevel="0" collapsed="false">
      <c r="A529" s="154" t="s">
        <v>6981</v>
      </c>
      <c r="B529" s="154" t="s">
        <v>7120</v>
      </c>
      <c r="C529" s="154" t="s">
        <v>4743</v>
      </c>
      <c r="D529" s="154" t="s">
        <v>7121</v>
      </c>
      <c r="E529" s="154" t="s">
        <v>9128</v>
      </c>
      <c r="F529" s="154" t="s">
        <v>6986</v>
      </c>
      <c r="G529" s="154" t="s">
        <v>6982</v>
      </c>
      <c r="H529" s="154" t="s">
        <v>6995</v>
      </c>
      <c r="I529" s="154" t="s">
        <v>7123</v>
      </c>
    </row>
    <row r="530" customFormat="false" ht="76" hidden="false" customHeight="true" outlineLevel="0" collapsed="false">
      <c r="A530" s="154" t="s">
        <v>6981</v>
      </c>
      <c r="B530" s="154" t="s">
        <v>7124</v>
      </c>
      <c r="C530" s="154" t="s">
        <v>4743</v>
      </c>
      <c r="D530" s="154" t="s">
        <v>7121</v>
      </c>
      <c r="E530" s="154" t="s">
        <v>9129</v>
      </c>
      <c r="F530" s="154" t="s">
        <v>9130</v>
      </c>
      <c r="G530" s="154" t="s">
        <v>9131</v>
      </c>
      <c r="H530" s="154" t="s">
        <v>9132</v>
      </c>
      <c r="I530" s="154" t="s">
        <v>7123</v>
      </c>
    </row>
    <row r="531" customFormat="false" ht="76" hidden="false" customHeight="true" outlineLevel="0" collapsed="false">
      <c r="A531" s="154" t="s">
        <v>6981</v>
      </c>
      <c r="B531" s="154" t="s">
        <v>7124</v>
      </c>
      <c r="C531" s="154" t="s">
        <v>4743</v>
      </c>
      <c r="D531" s="154" t="s">
        <v>7121</v>
      </c>
      <c r="E531" s="154" t="s">
        <v>7129</v>
      </c>
      <c r="F531" s="154" t="s">
        <v>9133</v>
      </c>
      <c r="G531" s="154" t="s">
        <v>9134</v>
      </c>
      <c r="H531" s="154" t="s">
        <v>7132</v>
      </c>
      <c r="I531" s="154" t="s">
        <v>7123</v>
      </c>
    </row>
    <row r="532" customFormat="false" ht="76" hidden="false" customHeight="true" outlineLevel="0" collapsed="false">
      <c r="A532" s="154" t="s">
        <v>6981</v>
      </c>
      <c r="B532" s="154" t="s">
        <v>7124</v>
      </c>
      <c r="C532" s="154" t="s">
        <v>9135</v>
      </c>
      <c r="D532" s="154" t="s">
        <v>9136</v>
      </c>
      <c r="E532" s="154" t="s">
        <v>9137</v>
      </c>
      <c r="F532" s="154" t="s">
        <v>9138</v>
      </c>
      <c r="G532" s="154" t="s">
        <v>9139</v>
      </c>
      <c r="H532" s="154" t="s">
        <v>9140</v>
      </c>
      <c r="I532" s="154" t="s">
        <v>7123</v>
      </c>
    </row>
    <row r="533" customFormat="false" ht="84" hidden="false" customHeight="true" outlineLevel="0" collapsed="false">
      <c r="A533" s="154" t="s">
        <v>6981</v>
      </c>
      <c r="B533" s="154" t="s">
        <v>7124</v>
      </c>
      <c r="C533" s="154" t="s">
        <v>9141</v>
      </c>
      <c r="D533" s="154" t="s">
        <v>9142</v>
      </c>
      <c r="E533" s="154" t="s">
        <v>9143</v>
      </c>
      <c r="F533" s="154" t="s">
        <v>9144</v>
      </c>
      <c r="G533" s="154" t="s">
        <v>9145</v>
      </c>
      <c r="H533" s="154" t="s">
        <v>9146</v>
      </c>
      <c r="I533" s="154" t="s">
        <v>7123</v>
      </c>
    </row>
    <row r="534" customFormat="false" ht="76" hidden="false" customHeight="true" outlineLevel="0" collapsed="false">
      <c r="A534" s="154" t="s">
        <v>6981</v>
      </c>
      <c r="B534" s="154" t="s">
        <v>7124</v>
      </c>
      <c r="C534" s="154" t="s">
        <v>9147</v>
      </c>
      <c r="D534" s="154" t="s">
        <v>9148</v>
      </c>
      <c r="E534" s="154" t="s">
        <v>9149</v>
      </c>
      <c r="F534" s="154" t="s">
        <v>9150</v>
      </c>
      <c r="G534" s="154" t="s">
        <v>9151</v>
      </c>
      <c r="H534" s="154" t="s">
        <v>9152</v>
      </c>
      <c r="I534" s="154" t="s">
        <v>7123</v>
      </c>
    </row>
    <row r="535" customFormat="false" ht="98" hidden="false" customHeight="true" outlineLevel="0" collapsed="false">
      <c r="A535" s="154" t="s">
        <v>6981</v>
      </c>
      <c r="B535" s="154" t="s">
        <v>7124</v>
      </c>
      <c r="C535" s="154" t="s">
        <v>9153</v>
      </c>
      <c r="D535" s="154" t="s">
        <v>9154</v>
      </c>
      <c r="E535" s="154" t="s">
        <v>9155</v>
      </c>
      <c r="F535" s="154" t="s">
        <v>9156</v>
      </c>
      <c r="G535" s="154" t="s">
        <v>9157</v>
      </c>
      <c r="H535" s="154" t="s">
        <v>9158</v>
      </c>
      <c r="I535" s="154" t="s">
        <v>7123</v>
      </c>
    </row>
    <row r="536" customFormat="false" ht="126" hidden="false" customHeight="true" outlineLevel="0" collapsed="false">
      <c r="A536" s="154" t="s">
        <v>6981</v>
      </c>
      <c r="B536" s="154" t="s">
        <v>7124</v>
      </c>
      <c r="C536" s="154" t="s">
        <v>9159</v>
      </c>
      <c r="D536" s="154" t="s">
        <v>9160</v>
      </c>
      <c r="E536" s="154" t="s">
        <v>9161</v>
      </c>
      <c r="F536" s="154" t="s">
        <v>9162</v>
      </c>
      <c r="G536" s="154" t="s">
        <v>9163</v>
      </c>
      <c r="H536" s="154" t="s">
        <v>9164</v>
      </c>
      <c r="I536" s="154" t="s">
        <v>7123</v>
      </c>
    </row>
    <row r="537" customFormat="false" ht="140" hidden="false" customHeight="true" outlineLevel="0" collapsed="false">
      <c r="A537" s="154" t="s">
        <v>6981</v>
      </c>
      <c r="B537" s="154" t="s">
        <v>7124</v>
      </c>
      <c r="C537" s="154" t="s">
        <v>9165</v>
      </c>
      <c r="D537" s="154" t="s">
        <v>9166</v>
      </c>
      <c r="E537" s="154" t="s">
        <v>9167</v>
      </c>
      <c r="F537" s="154" t="s">
        <v>9168</v>
      </c>
      <c r="G537" s="154" t="s">
        <v>9169</v>
      </c>
      <c r="H537" s="154" t="s">
        <v>9170</v>
      </c>
      <c r="I537" s="154" t="s">
        <v>7123</v>
      </c>
    </row>
    <row r="538" customFormat="false" ht="140" hidden="false" customHeight="true" outlineLevel="0" collapsed="false">
      <c r="A538" s="154" t="s">
        <v>6981</v>
      </c>
      <c r="B538" s="154" t="s">
        <v>7124</v>
      </c>
      <c r="C538" s="154" t="s">
        <v>9171</v>
      </c>
      <c r="D538" s="154" t="s">
        <v>9172</v>
      </c>
      <c r="E538" s="154" t="s">
        <v>9173</v>
      </c>
      <c r="F538" s="154" t="s">
        <v>9174</v>
      </c>
      <c r="G538" s="154" t="s">
        <v>9175</v>
      </c>
      <c r="H538" s="154" t="s">
        <v>9176</v>
      </c>
      <c r="I538" s="154" t="s">
        <v>7123</v>
      </c>
    </row>
    <row r="539" customFormat="false" ht="112" hidden="false" customHeight="true" outlineLevel="0" collapsed="false">
      <c r="A539" s="154" t="s">
        <v>6981</v>
      </c>
      <c r="B539" s="154" t="s">
        <v>7124</v>
      </c>
      <c r="C539" s="154" t="s">
        <v>9177</v>
      </c>
      <c r="D539" s="154" t="s">
        <v>9178</v>
      </c>
      <c r="E539" s="154" t="s">
        <v>9179</v>
      </c>
      <c r="F539" s="154" t="s">
        <v>9180</v>
      </c>
      <c r="G539" s="154" t="s">
        <v>9181</v>
      </c>
      <c r="H539" s="154" t="s">
        <v>9182</v>
      </c>
      <c r="I539" s="154" t="s">
        <v>7123</v>
      </c>
    </row>
    <row r="540" customFormat="false" ht="112" hidden="false" customHeight="true" outlineLevel="0" collapsed="false">
      <c r="A540" s="154" t="s">
        <v>6981</v>
      </c>
      <c r="B540" s="154" t="s">
        <v>7124</v>
      </c>
      <c r="C540" s="154" t="s">
        <v>9183</v>
      </c>
      <c r="D540" s="154" t="s">
        <v>9184</v>
      </c>
      <c r="E540" s="154" t="s">
        <v>9185</v>
      </c>
      <c r="F540" s="154" t="s">
        <v>9186</v>
      </c>
      <c r="G540" s="154" t="s">
        <v>9187</v>
      </c>
      <c r="H540" s="154" t="s">
        <v>9188</v>
      </c>
      <c r="I540" s="154" t="s">
        <v>7123</v>
      </c>
    </row>
    <row r="541" customFormat="false" ht="224" hidden="false" customHeight="true" outlineLevel="0" collapsed="false">
      <c r="A541" s="154" t="s">
        <v>6981</v>
      </c>
      <c r="B541" s="154" t="s">
        <v>7124</v>
      </c>
      <c r="C541" s="154" t="s">
        <v>9189</v>
      </c>
      <c r="D541" s="154" t="s">
        <v>9190</v>
      </c>
      <c r="E541" s="154" t="s">
        <v>9191</v>
      </c>
      <c r="F541" s="154" t="s">
        <v>9192</v>
      </c>
      <c r="G541" s="154" t="s">
        <v>9193</v>
      </c>
      <c r="H541" s="154" t="s">
        <v>9194</v>
      </c>
      <c r="I541" s="154" t="s">
        <v>7123</v>
      </c>
    </row>
    <row r="542" customFormat="false" ht="140" hidden="false" customHeight="true" outlineLevel="0" collapsed="false">
      <c r="A542" s="154" t="s">
        <v>6981</v>
      </c>
      <c r="B542" s="154" t="s">
        <v>7124</v>
      </c>
      <c r="C542" s="154" t="s">
        <v>9195</v>
      </c>
      <c r="D542" s="154" t="s">
        <v>9196</v>
      </c>
      <c r="E542" s="154" t="s">
        <v>9197</v>
      </c>
      <c r="F542" s="154" t="s">
        <v>9198</v>
      </c>
      <c r="G542" s="154" t="s">
        <v>9199</v>
      </c>
      <c r="H542" s="154" t="s">
        <v>9200</v>
      </c>
      <c r="I542" s="154" t="s">
        <v>7123</v>
      </c>
    </row>
    <row r="543" customFormat="false" ht="84" hidden="false" customHeight="true" outlineLevel="0" collapsed="false">
      <c r="A543" s="154" t="s">
        <v>6981</v>
      </c>
      <c r="B543" s="154" t="s">
        <v>7124</v>
      </c>
      <c r="C543" s="154" t="s">
        <v>9201</v>
      </c>
      <c r="D543" s="154" t="s">
        <v>9202</v>
      </c>
      <c r="E543" s="154" t="s">
        <v>9203</v>
      </c>
      <c r="F543" s="154" t="s">
        <v>9204</v>
      </c>
      <c r="G543" s="154" t="s">
        <v>9205</v>
      </c>
      <c r="H543" s="154" t="s">
        <v>9206</v>
      </c>
      <c r="I543" s="154" t="s">
        <v>7123</v>
      </c>
    </row>
    <row r="544" customFormat="false" ht="84" hidden="false" customHeight="true" outlineLevel="0" collapsed="false">
      <c r="A544" s="154" t="s">
        <v>6981</v>
      </c>
      <c r="B544" s="154" t="s">
        <v>7124</v>
      </c>
      <c r="C544" s="154" t="s">
        <v>9207</v>
      </c>
      <c r="D544" s="154" t="s">
        <v>9208</v>
      </c>
      <c r="E544" s="154" t="s">
        <v>9209</v>
      </c>
      <c r="F544" s="154" t="s">
        <v>9210</v>
      </c>
      <c r="G544" s="154" t="s">
        <v>9211</v>
      </c>
      <c r="H544" s="154" t="s">
        <v>9212</v>
      </c>
      <c r="I544" s="154" t="s">
        <v>7123</v>
      </c>
    </row>
    <row r="545" customFormat="false" ht="154" hidden="false" customHeight="true" outlineLevel="0" collapsed="false">
      <c r="A545" s="154" t="s">
        <v>6981</v>
      </c>
      <c r="B545" s="154" t="s">
        <v>7124</v>
      </c>
      <c r="C545" s="154" t="s">
        <v>9213</v>
      </c>
      <c r="D545" s="154" t="s">
        <v>9214</v>
      </c>
      <c r="E545" s="154" t="s">
        <v>9215</v>
      </c>
      <c r="F545" s="154" t="s">
        <v>9216</v>
      </c>
      <c r="G545" s="154" t="s">
        <v>9217</v>
      </c>
      <c r="H545" s="154" t="s">
        <v>9218</v>
      </c>
      <c r="I545" s="154" t="s">
        <v>7123</v>
      </c>
    </row>
    <row r="546" customFormat="false" ht="76" hidden="false" customHeight="true" outlineLevel="0" collapsed="false">
      <c r="A546" s="154" t="s">
        <v>6981</v>
      </c>
      <c r="B546" s="154" t="s">
        <v>7124</v>
      </c>
      <c r="C546" s="154" t="s">
        <v>4743</v>
      </c>
      <c r="D546" s="154" t="s">
        <v>7121</v>
      </c>
      <c r="E546" s="154" t="s">
        <v>4744</v>
      </c>
      <c r="F546" s="154" t="s">
        <v>9219</v>
      </c>
      <c r="G546" s="154" t="s">
        <v>9220</v>
      </c>
      <c r="H546" s="154" t="s">
        <v>7143</v>
      </c>
      <c r="I546" s="154" t="s">
        <v>7123</v>
      </c>
    </row>
    <row r="547" customFormat="false" ht="76" hidden="false" customHeight="true" outlineLevel="0" collapsed="false">
      <c r="A547" s="154" t="s">
        <v>6981</v>
      </c>
      <c r="B547" s="154" t="s">
        <v>7124</v>
      </c>
      <c r="C547" s="154" t="s">
        <v>4743</v>
      </c>
      <c r="D547" s="154" t="s">
        <v>7121</v>
      </c>
      <c r="E547" s="154" t="s">
        <v>9221</v>
      </c>
      <c r="F547" s="154" t="s">
        <v>9222</v>
      </c>
      <c r="G547" s="154" t="s">
        <v>9223</v>
      </c>
      <c r="H547" s="154" t="s">
        <v>9224</v>
      </c>
      <c r="I547" s="154" t="s">
        <v>7123</v>
      </c>
    </row>
    <row r="548" customFormat="false" ht="76" hidden="false" customHeight="true" outlineLevel="0" collapsed="false">
      <c r="A548" s="154" t="s">
        <v>6981</v>
      </c>
      <c r="B548" s="154" t="s">
        <v>7124</v>
      </c>
      <c r="C548" s="154" t="s">
        <v>4743</v>
      </c>
      <c r="D548" s="154" t="s">
        <v>7121</v>
      </c>
      <c r="E548" s="154" t="s">
        <v>9225</v>
      </c>
      <c r="F548" s="154" t="s">
        <v>9226</v>
      </c>
      <c r="G548" s="154" t="s">
        <v>9227</v>
      </c>
      <c r="H548" s="154" t="s">
        <v>9228</v>
      </c>
      <c r="I548" s="154" t="s">
        <v>7123</v>
      </c>
    </row>
    <row r="549" customFormat="false" ht="76" hidden="false" customHeight="true" outlineLevel="0" collapsed="false">
      <c r="A549" s="154" t="s">
        <v>6981</v>
      </c>
      <c r="B549" s="154" t="s">
        <v>7152</v>
      </c>
      <c r="C549" s="154" t="s">
        <v>4743</v>
      </c>
      <c r="D549" s="154" t="s">
        <v>7121</v>
      </c>
      <c r="E549" s="154" t="s">
        <v>9229</v>
      </c>
      <c r="F549" s="154" t="s">
        <v>9230</v>
      </c>
      <c r="G549" s="154" t="s">
        <v>9231</v>
      </c>
      <c r="H549" s="154" t="s">
        <v>9232</v>
      </c>
      <c r="I549" s="154" t="s">
        <v>7123</v>
      </c>
    </row>
    <row r="550" customFormat="false" ht="126" hidden="false" customHeight="true" outlineLevel="0" collapsed="false">
      <c r="A550" s="154" t="s">
        <v>6981</v>
      </c>
      <c r="B550" s="154" t="s">
        <v>7152</v>
      </c>
      <c r="C550" s="154" t="s">
        <v>4743</v>
      </c>
      <c r="D550" s="154" t="s">
        <v>7121</v>
      </c>
      <c r="E550" s="154" t="s">
        <v>9233</v>
      </c>
      <c r="F550" s="154" t="s">
        <v>9234</v>
      </c>
      <c r="G550" s="154" t="s">
        <v>9235</v>
      </c>
      <c r="H550" s="154" t="s">
        <v>9236</v>
      </c>
      <c r="I550" s="154" t="s">
        <v>7123</v>
      </c>
    </row>
    <row r="551" customFormat="false" ht="252" hidden="false" customHeight="true" outlineLevel="0" collapsed="false">
      <c r="A551" s="154" t="s">
        <v>6981</v>
      </c>
      <c r="B551" s="154" t="s">
        <v>7152</v>
      </c>
      <c r="C551" s="154" t="s">
        <v>4743</v>
      </c>
      <c r="D551" s="154" t="s">
        <v>7121</v>
      </c>
      <c r="E551" s="154" t="s">
        <v>9237</v>
      </c>
      <c r="F551" s="154" t="s">
        <v>9238</v>
      </c>
      <c r="G551" s="154" t="s">
        <v>9239</v>
      </c>
      <c r="H551" s="154" t="s">
        <v>9240</v>
      </c>
      <c r="I551" s="154" t="s">
        <v>7123</v>
      </c>
    </row>
    <row r="552" customFormat="false" ht="182" hidden="false" customHeight="true" outlineLevel="0" collapsed="false">
      <c r="A552" s="154" t="s">
        <v>6981</v>
      </c>
      <c r="B552" s="154" t="s">
        <v>7152</v>
      </c>
      <c r="C552" s="154" t="s">
        <v>4743</v>
      </c>
      <c r="D552" s="154" t="s">
        <v>7121</v>
      </c>
      <c r="E552" s="154" t="s">
        <v>9241</v>
      </c>
      <c r="F552" s="154" t="s">
        <v>9242</v>
      </c>
      <c r="G552" s="154" t="s">
        <v>9243</v>
      </c>
      <c r="H552" s="154" t="s">
        <v>9244</v>
      </c>
      <c r="I552" s="154" t="s">
        <v>7123</v>
      </c>
    </row>
    <row r="553" customFormat="false" ht="308" hidden="false" customHeight="true" outlineLevel="0" collapsed="false">
      <c r="A553" s="154" t="s">
        <v>6981</v>
      </c>
      <c r="B553" s="154" t="s">
        <v>7152</v>
      </c>
      <c r="C553" s="154" t="s">
        <v>4743</v>
      </c>
      <c r="D553" s="154" t="s">
        <v>7121</v>
      </c>
      <c r="E553" s="154" t="s">
        <v>9245</v>
      </c>
      <c r="F553" s="154" t="s">
        <v>9246</v>
      </c>
      <c r="G553" s="154" t="s">
        <v>9247</v>
      </c>
      <c r="H553" s="154" t="s">
        <v>9248</v>
      </c>
      <c r="I553" s="154" t="s">
        <v>7123</v>
      </c>
    </row>
    <row r="554" customFormat="false" ht="76" hidden="false" customHeight="true" outlineLevel="0" collapsed="false">
      <c r="A554" s="154" t="s">
        <v>6981</v>
      </c>
      <c r="B554" s="154" t="s">
        <v>7152</v>
      </c>
      <c r="C554" s="154" t="s">
        <v>4743</v>
      </c>
      <c r="D554" s="154" t="s">
        <v>7121</v>
      </c>
      <c r="E554" s="154" t="s">
        <v>9249</v>
      </c>
      <c r="F554" s="154" t="s">
        <v>9250</v>
      </c>
      <c r="G554" s="154" t="s">
        <v>9251</v>
      </c>
      <c r="H554" s="154" t="s">
        <v>9252</v>
      </c>
      <c r="I554" s="154" t="s">
        <v>7123</v>
      </c>
    </row>
    <row r="555" customFormat="false" ht="76" hidden="false" customHeight="true" outlineLevel="0" collapsed="false">
      <c r="A555" s="154" t="s">
        <v>6981</v>
      </c>
      <c r="B555" s="154" t="s">
        <v>7152</v>
      </c>
      <c r="C555" s="154" t="s">
        <v>4743</v>
      </c>
      <c r="D555" s="154" t="s">
        <v>7121</v>
      </c>
      <c r="E555" s="154" t="s">
        <v>9253</v>
      </c>
      <c r="F555" s="154" t="s">
        <v>9254</v>
      </c>
      <c r="G555" s="154" t="s">
        <v>9255</v>
      </c>
      <c r="H555" s="154" t="s">
        <v>9256</v>
      </c>
      <c r="I555" s="154" t="s">
        <v>7123</v>
      </c>
    </row>
    <row r="556" customFormat="false" ht="76" hidden="false" customHeight="true" outlineLevel="0" collapsed="false">
      <c r="A556" s="154" t="s">
        <v>6981</v>
      </c>
      <c r="B556" s="154" t="s">
        <v>7152</v>
      </c>
      <c r="C556" s="154" t="s">
        <v>4743</v>
      </c>
      <c r="D556" s="154" t="s">
        <v>7121</v>
      </c>
      <c r="E556" s="154" t="s">
        <v>9257</v>
      </c>
      <c r="F556" s="154" t="s">
        <v>9258</v>
      </c>
      <c r="G556" s="154" t="s">
        <v>9259</v>
      </c>
      <c r="H556" s="154" t="s">
        <v>9260</v>
      </c>
      <c r="I556" s="154" t="s">
        <v>7123</v>
      </c>
    </row>
    <row r="557" customFormat="false" ht="154" hidden="false" customHeight="true" outlineLevel="0" collapsed="false">
      <c r="A557" s="154" t="s">
        <v>6981</v>
      </c>
      <c r="B557" s="154" t="s">
        <v>7185</v>
      </c>
      <c r="C557" s="154" t="s">
        <v>4743</v>
      </c>
      <c r="D557" s="154" t="s">
        <v>7121</v>
      </c>
      <c r="E557" s="154" t="s">
        <v>9261</v>
      </c>
      <c r="F557" s="154" t="s">
        <v>9262</v>
      </c>
      <c r="G557" s="154" t="s">
        <v>9263</v>
      </c>
      <c r="H557" s="154" t="s">
        <v>9264</v>
      </c>
      <c r="I557" s="154" t="s">
        <v>7123</v>
      </c>
    </row>
    <row r="558" customFormat="false" ht="196" hidden="false" customHeight="true" outlineLevel="0" collapsed="false">
      <c r="A558" s="154" t="s">
        <v>6998</v>
      </c>
      <c r="B558" s="154" t="s">
        <v>7120</v>
      </c>
      <c r="C558" s="154" t="s">
        <v>4743</v>
      </c>
      <c r="D558" s="154" t="s">
        <v>7121</v>
      </c>
      <c r="E558" s="154" t="s">
        <v>9265</v>
      </c>
      <c r="F558" s="154" t="s">
        <v>7003</v>
      </c>
      <c r="G558" s="154" t="s">
        <v>6999</v>
      </c>
      <c r="H558" s="154" t="s">
        <v>7015</v>
      </c>
      <c r="I558" s="154" t="s">
        <v>7123</v>
      </c>
    </row>
    <row r="559" customFormat="false" ht="112" hidden="false" customHeight="true" outlineLevel="0" collapsed="false">
      <c r="A559" s="154" t="s">
        <v>6998</v>
      </c>
      <c r="B559" s="154" t="s">
        <v>9266</v>
      </c>
      <c r="C559" s="154" t="s">
        <v>4743</v>
      </c>
      <c r="D559" s="154" t="s">
        <v>7121</v>
      </c>
      <c r="E559" s="154" t="s">
        <v>9267</v>
      </c>
      <c r="F559" s="154" t="s">
        <v>9268</v>
      </c>
      <c r="G559" s="154" t="s">
        <v>9269</v>
      </c>
      <c r="H559" s="154" t="s">
        <v>9270</v>
      </c>
      <c r="I559" s="154" t="s">
        <v>7123</v>
      </c>
    </row>
    <row r="560" customFormat="false" ht="154" hidden="false" customHeight="true" outlineLevel="0" collapsed="false">
      <c r="A560" s="154" t="s">
        <v>6998</v>
      </c>
      <c r="B560" s="154" t="s">
        <v>9266</v>
      </c>
      <c r="C560" s="154" t="s">
        <v>4743</v>
      </c>
      <c r="D560" s="154" t="s">
        <v>7121</v>
      </c>
      <c r="E560" s="154" t="s">
        <v>9271</v>
      </c>
      <c r="F560" s="154" t="s">
        <v>9272</v>
      </c>
      <c r="G560" s="154" t="s">
        <v>9273</v>
      </c>
      <c r="H560" s="154" t="s">
        <v>9274</v>
      </c>
      <c r="I560" s="154" t="s">
        <v>7123</v>
      </c>
    </row>
    <row r="561" customFormat="false" ht="182" hidden="false" customHeight="true" outlineLevel="0" collapsed="false">
      <c r="A561" s="154" t="s">
        <v>6998</v>
      </c>
      <c r="B561" s="154" t="s">
        <v>9266</v>
      </c>
      <c r="C561" s="154" t="s">
        <v>4743</v>
      </c>
      <c r="D561" s="154" t="s">
        <v>7121</v>
      </c>
      <c r="E561" s="154" t="s">
        <v>9275</v>
      </c>
      <c r="F561" s="154" t="s">
        <v>9276</v>
      </c>
      <c r="G561" s="154" t="s">
        <v>9277</v>
      </c>
      <c r="H561" s="154" t="s">
        <v>9278</v>
      </c>
      <c r="I561" s="154" t="s">
        <v>7123</v>
      </c>
    </row>
    <row r="562" customFormat="false" ht="98" hidden="false" customHeight="true" outlineLevel="0" collapsed="false">
      <c r="A562" s="154" t="s">
        <v>6998</v>
      </c>
      <c r="B562" s="154" t="s">
        <v>9266</v>
      </c>
      <c r="C562" s="154" t="s">
        <v>4743</v>
      </c>
      <c r="D562" s="154" t="s">
        <v>7121</v>
      </c>
      <c r="E562" s="154" t="s">
        <v>9279</v>
      </c>
      <c r="F562" s="154" t="s">
        <v>9280</v>
      </c>
      <c r="G562" s="154" t="s">
        <v>9281</v>
      </c>
      <c r="H562" s="154" t="s">
        <v>9282</v>
      </c>
      <c r="I562" s="154" t="s">
        <v>7123</v>
      </c>
    </row>
    <row r="563" customFormat="false" ht="98" hidden="false" customHeight="true" outlineLevel="0" collapsed="false">
      <c r="A563" s="154" t="s">
        <v>6998</v>
      </c>
      <c r="B563" s="154" t="s">
        <v>9266</v>
      </c>
      <c r="C563" s="154" t="s">
        <v>4743</v>
      </c>
      <c r="D563" s="154" t="s">
        <v>7121</v>
      </c>
      <c r="E563" s="154" t="s">
        <v>9283</v>
      </c>
      <c r="F563" s="154" t="s">
        <v>9284</v>
      </c>
      <c r="G563" s="154" t="s">
        <v>9285</v>
      </c>
      <c r="H563" s="154" t="s">
        <v>9286</v>
      </c>
      <c r="I563" s="154" t="s">
        <v>7123</v>
      </c>
    </row>
    <row r="564" customFormat="false" ht="126" hidden="false" customHeight="true" outlineLevel="0" collapsed="false">
      <c r="A564" s="154" t="s">
        <v>6998</v>
      </c>
      <c r="B564" s="154" t="s">
        <v>9266</v>
      </c>
      <c r="C564" s="154" t="s">
        <v>4743</v>
      </c>
      <c r="D564" s="154" t="s">
        <v>7121</v>
      </c>
      <c r="E564" s="154" t="s">
        <v>9287</v>
      </c>
      <c r="F564" s="154" t="s">
        <v>9288</v>
      </c>
      <c r="G564" s="154" t="s">
        <v>9289</v>
      </c>
      <c r="H564" s="154" t="s">
        <v>9290</v>
      </c>
      <c r="I564" s="154" t="s">
        <v>7123</v>
      </c>
    </row>
    <row r="565" customFormat="false" ht="76" hidden="false" customHeight="true" outlineLevel="0" collapsed="false">
      <c r="A565" s="154" t="s">
        <v>6998</v>
      </c>
      <c r="B565" s="154" t="s">
        <v>7152</v>
      </c>
      <c r="C565" s="154" t="s">
        <v>4743</v>
      </c>
      <c r="D565" s="154" t="s">
        <v>7121</v>
      </c>
      <c r="E565" s="154" t="s">
        <v>9291</v>
      </c>
      <c r="F565" s="154" t="s">
        <v>9292</v>
      </c>
      <c r="G565" s="154" t="s">
        <v>9293</v>
      </c>
      <c r="H565" s="154" t="s">
        <v>9294</v>
      </c>
      <c r="I565" s="154" t="s">
        <v>7123</v>
      </c>
    </row>
    <row r="566" customFormat="false" ht="238" hidden="false" customHeight="true" outlineLevel="0" collapsed="false">
      <c r="A566" s="154" t="s">
        <v>6998</v>
      </c>
      <c r="B566" s="154" t="s">
        <v>7152</v>
      </c>
      <c r="C566" s="154" t="s">
        <v>4743</v>
      </c>
      <c r="D566" s="154" t="s">
        <v>7121</v>
      </c>
      <c r="E566" s="154" t="s">
        <v>9295</v>
      </c>
      <c r="F566" s="154" t="s">
        <v>9296</v>
      </c>
      <c r="G566" s="154" t="s">
        <v>9297</v>
      </c>
      <c r="H566" s="154" t="s">
        <v>9298</v>
      </c>
      <c r="I566" s="154" t="s">
        <v>7123</v>
      </c>
    </row>
    <row r="567" customFormat="false" ht="238" hidden="false" customHeight="true" outlineLevel="0" collapsed="false">
      <c r="A567" s="154" t="s">
        <v>6998</v>
      </c>
      <c r="B567" s="154" t="s">
        <v>7152</v>
      </c>
      <c r="C567" s="154" t="s">
        <v>4743</v>
      </c>
      <c r="D567" s="154" t="s">
        <v>7121</v>
      </c>
      <c r="E567" s="154" t="s">
        <v>9299</v>
      </c>
      <c r="F567" s="154" t="s">
        <v>9300</v>
      </c>
      <c r="G567" s="154" t="s">
        <v>9301</v>
      </c>
      <c r="H567" s="154" t="s">
        <v>9302</v>
      </c>
      <c r="I567" s="154" t="s">
        <v>7123</v>
      </c>
    </row>
    <row r="568" customFormat="false" ht="126" hidden="false" customHeight="true" outlineLevel="0" collapsed="false">
      <c r="A568" s="154" t="s">
        <v>6998</v>
      </c>
      <c r="B568" s="154" t="s">
        <v>7152</v>
      </c>
      <c r="C568" s="154" t="s">
        <v>4743</v>
      </c>
      <c r="D568" s="154" t="s">
        <v>7121</v>
      </c>
      <c r="E568" s="154" t="s">
        <v>9303</v>
      </c>
      <c r="F568" s="154" t="s">
        <v>9304</v>
      </c>
      <c r="G568" s="154" t="s">
        <v>9305</v>
      </c>
      <c r="H568" s="154" t="s">
        <v>9306</v>
      </c>
      <c r="I568" s="154" t="s">
        <v>7123</v>
      </c>
    </row>
    <row r="569" customFormat="false" ht="76" hidden="false" customHeight="true" outlineLevel="0" collapsed="false">
      <c r="A569" s="154" t="s">
        <v>6998</v>
      </c>
      <c r="B569" s="154" t="s">
        <v>7152</v>
      </c>
      <c r="C569" s="154" t="s">
        <v>4743</v>
      </c>
      <c r="D569" s="154" t="s">
        <v>7121</v>
      </c>
      <c r="E569" s="154" t="s">
        <v>9307</v>
      </c>
      <c r="F569" s="154" t="s">
        <v>9308</v>
      </c>
      <c r="G569" s="154" t="s">
        <v>9309</v>
      </c>
      <c r="H569" s="154" t="s">
        <v>9310</v>
      </c>
      <c r="I569" s="154" t="s">
        <v>7123</v>
      </c>
    </row>
    <row r="570" customFormat="false" ht="182" hidden="false" customHeight="true" outlineLevel="0" collapsed="false">
      <c r="A570" s="154" t="s">
        <v>6998</v>
      </c>
      <c r="B570" s="154" t="s">
        <v>7152</v>
      </c>
      <c r="C570" s="154" t="s">
        <v>4743</v>
      </c>
      <c r="D570" s="154" t="s">
        <v>7121</v>
      </c>
      <c r="E570" s="154" t="s">
        <v>9311</v>
      </c>
      <c r="F570" s="154" t="s">
        <v>9312</v>
      </c>
      <c r="G570" s="154" t="s">
        <v>9313</v>
      </c>
      <c r="H570" s="154" t="s">
        <v>9314</v>
      </c>
      <c r="I570" s="154" t="s">
        <v>7123</v>
      </c>
    </row>
    <row r="571" customFormat="false" ht="210" hidden="false" customHeight="true" outlineLevel="0" collapsed="false">
      <c r="A571" s="154" t="s">
        <v>6998</v>
      </c>
      <c r="B571" s="154" t="s">
        <v>7152</v>
      </c>
      <c r="C571" s="154" t="s">
        <v>4743</v>
      </c>
      <c r="D571" s="154" t="s">
        <v>9315</v>
      </c>
      <c r="E571" s="154" t="s">
        <v>9316</v>
      </c>
      <c r="F571" s="154" t="s">
        <v>9317</v>
      </c>
      <c r="G571" s="154" t="s">
        <v>9318</v>
      </c>
      <c r="H571" s="154" t="s">
        <v>9319</v>
      </c>
      <c r="I571" s="154" t="s">
        <v>7123</v>
      </c>
    </row>
    <row r="572" customFormat="false" ht="140" hidden="false" customHeight="true" outlineLevel="0" collapsed="false">
      <c r="A572" s="154" t="s">
        <v>6998</v>
      </c>
      <c r="B572" s="154" t="s">
        <v>7185</v>
      </c>
      <c r="C572" s="154" t="s">
        <v>4743</v>
      </c>
      <c r="D572" s="154" t="s">
        <v>9320</v>
      </c>
      <c r="E572" s="154" t="s">
        <v>9321</v>
      </c>
      <c r="F572" s="154" t="s">
        <v>9322</v>
      </c>
      <c r="G572" s="154" t="s">
        <v>9323</v>
      </c>
      <c r="H572" s="154" t="s">
        <v>9324</v>
      </c>
      <c r="I572" s="154" t="s">
        <v>7123</v>
      </c>
    </row>
    <row r="573" customFormat="false" ht="210" hidden="false" customHeight="true" outlineLevel="0" collapsed="false">
      <c r="A573" s="154" t="s">
        <v>7020</v>
      </c>
      <c r="B573" s="154" t="s">
        <v>7120</v>
      </c>
      <c r="C573" s="154" t="s">
        <v>4743</v>
      </c>
      <c r="D573" s="154" t="s">
        <v>7121</v>
      </c>
      <c r="E573" s="154" t="s">
        <v>9325</v>
      </c>
      <c r="F573" s="154" t="s">
        <v>7025</v>
      </c>
      <c r="G573" s="154" t="s">
        <v>7021</v>
      </c>
      <c r="H573" s="154" t="s">
        <v>7032</v>
      </c>
      <c r="I573" s="154" t="s">
        <v>7123</v>
      </c>
    </row>
    <row r="574" customFormat="false" ht="140" hidden="false" customHeight="true" outlineLevel="0" collapsed="false">
      <c r="A574" s="154" t="s">
        <v>7020</v>
      </c>
      <c r="B574" s="154" t="s">
        <v>9266</v>
      </c>
      <c r="C574" s="154" t="s">
        <v>4743</v>
      </c>
      <c r="D574" s="154" t="s">
        <v>7121</v>
      </c>
      <c r="E574" s="154" t="s">
        <v>9326</v>
      </c>
      <c r="F574" s="154" t="s">
        <v>9327</v>
      </c>
      <c r="G574" s="154" t="s">
        <v>9328</v>
      </c>
      <c r="H574" s="154" t="s">
        <v>9329</v>
      </c>
      <c r="I574" s="154" t="s">
        <v>7123</v>
      </c>
    </row>
    <row r="575" customFormat="false" ht="154" hidden="false" customHeight="true" outlineLevel="0" collapsed="false">
      <c r="A575" s="154" t="s">
        <v>7020</v>
      </c>
      <c r="B575" s="154" t="s">
        <v>9266</v>
      </c>
      <c r="C575" s="154" t="s">
        <v>4743</v>
      </c>
      <c r="D575" s="154" t="s">
        <v>7121</v>
      </c>
      <c r="E575" s="154" t="s">
        <v>9330</v>
      </c>
      <c r="F575" s="154" t="s">
        <v>9331</v>
      </c>
      <c r="G575" s="154" t="s">
        <v>9332</v>
      </c>
      <c r="H575" s="154" t="s">
        <v>9333</v>
      </c>
      <c r="I575" s="154" t="s">
        <v>7123</v>
      </c>
    </row>
    <row r="576" customFormat="false" ht="112" hidden="false" customHeight="true" outlineLevel="0" collapsed="false">
      <c r="A576" s="154" t="s">
        <v>7020</v>
      </c>
      <c r="B576" s="154" t="s">
        <v>9266</v>
      </c>
      <c r="C576" s="154" t="s">
        <v>4743</v>
      </c>
      <c r="D576" s="154" t="s">
        <v>7121</v>
      </c>
      <c r="E576" s="154" t="s">
        <v>9334</v>
      </c>
      <c r="F576" s="154" t="s">
        <v>9335</v>
      </c>
      <c r="G576" s="154" t="s">
        <v>9336</v>
      </c>
      <c r="H576" s="154" t="s">
        <v>9337</v>
      </c>
      <c r="I576" s="154" t="s">
        <v>7123</v>
      </c>
    </row>
    <row r="577" customFormat="false" ht="112" hidden="false" customHeight="true" outlineLevel="0" collapsed="false">
      <c r="A577" s="154" t="s">
        <v>7020</v>
      </c>
      <c r="B577" s="154" t="s">
        <v>9266</v>
      </c>
      <c r="C577" s="154" t="s">
        <v>4743</v>
      </c>
      <c r="D577" s="154" t="s">
        <v>7121</v>
      </c>
      <c r="E577" s="154" t="s">
        <v>9338</v>
      </c>
      <c r="F577" s="154" t="s">
        <v>9339</v>
      </c>
      <c r="G577" s="154" t="s">
        <v>9340</v>
      </c>
      <c r="H577" s="154" t="s">
        <v>9341</v>
      </c>
      <c r="I577" s="154" t="s">
        <v>7123</v>
      </c>
    </row>
    <row r="578" customFormat="false" ht="98" hidden="false" customHeight="true" outlineLevel="0" collapsed="false">
      <c r="A578" s="154" t="s">
        <v>7020</v>
      </c>
      <c r="B578" s="154" t="s">
        <v>9266</v>
      </c>
      <c r="C578" s="154" t="s">
        <v>4743</v>
      </c>
      <c r="D578" s="154" t="s">
        <v>7121</v>
      </c>
      <c r="E578" s="154" t="s">
        <v>9342</v>
      </c>
      <c r="F578" s="154" t="s">
        <v>9343</v>
      </c>
      <c r="G578" s="154" t="s">
        <v>9344</v>
      </c>
      <c r="H578" s="154" t="s">
        <v>9345</v>
      </c>
      <c r="I578" s="154" t="s">
        <v>7123</v>
      </c>
    </row>
    <row r="579" customFormat="false" ht="112" hidden="false" customHeight="true" outlineLevel="0" collapsed="false">
      <c r="A579" s="154" t="s">
        <v>7020</v>
      </c>
      <c r="B579" s="154" t="s">
        <v>9266</v>
      </c>
      <c r="C579" s="154" t="s">
        <v>4743</v>
      </c>
      <c r="D579" s="154" t="s">
        <v>7121</v>
      </c>
      <c r="E579" s="154" t="s">
        <v>9346</v>
      </c>
      <c r="F579" s="154" t="s">
        <v>9347</v>
      </c>
      <c r="G579" s="154" t="s">
        <v>9348</v>
      </c>
      <c r="H579" s="154" t="s">
        <v>9349</v>
      </c>
      <c r="I579" s="154" t="s">
        <v>7123</v>
      </c>
    </row>
    <row r="580" customFormat="false" ht="154" hidden="false" customHeight="true" outlineLevel="0" collapsed="false">
      <c r="A580" s="154" t="s">
        <v>7020</v>
      </c>
      <c r="B580" s="154" t="s">
        <v>9266</v>
      </c>
      <c r="C580" s="154" t="s">
        <v>4743</v>
      </c>
      <c r="D580" s="154" t="s">
        <v>7121</v>
      </c>
      <c r="E580" s="154" t="s">
        <v>9350</v>
      </c>
      <c r="F580" s="154" t="s">
        <v>9351</v>
      </c>
      <c r="G580" s="154" t="s">
        <v>9352</v>
      </c>
      <c r="H580" s="154" t="s">
        <v>9353</v>
      </c>
      <c r="I580" s="154" t="s">
        <v>7123</v>
      </c>
    </row>
    <row r="581" customFormat="false" ht="98" hidden="false" customHeight="true" outlineLevel="0" collapsed="false">
      <c r="A581" s="154" t="s">
        <v>7020</v>
      </c>
      <c r="B581" s="154" t="s">
        <v>9266</v>
      </c>
      <c r="C581" s="154" t="s">
        <v>4743</v>
      </c>
      <c r="D581" s="154" t="s">
        <v>7121</v>
      </c>
      <c r="E581" s="154" t="s">
        <v>9354</v>
      </c>
      <c r="F581" s="154" t="s">
        <v>9355</v>
      </c>
      <c r="G581" s="154" t="s">
        <v>9356</v>
      </c>
      <c r="H581" s="154" t="s">
        <v>9357</v>
      </c>
      <c r="I581" s="154" t="s">
        <v>7123</v>
      </c>
    </row>
    <row r="582" customFormat="false" ht="126" hidden="false" customHeight="true" outlineLevel="0" collapsed="false">
      <c r="A582" s="154" t="s">
        <v>7020</v>
      </c>
      <c r="B582" s="154" t="s">
        <v>9266</v>
      </c>
      <c r="C582" s="154" t="s">
        <v>4743</v>
      </c>
      <c r="D582" s="154" t="s">
        <v>7121</v>
      </c>
      <c r="E582" s="154" t="s">
        <v>9358</v>
      </c>
      <c r="F582" s="154" t="s">
        <v>9359</v>
      </c>
      <c r="G582" s="154" t="s">
        <v>9360</v>
      </c>
      <c r="H582" s="154" t="s">
        <v>9361</v>
      </c>
      <c r="I582" s="154" t="s">
        <v>7123</v>
      </c>
    </row>
    <row r="583" customFormat="false" ht="84" hidden="false" customHeight="true" outlineLevel="0" collapsed="false">
      <c r="A583" s="154" t="s">
        <v>7020</v>
      </c>
      <c r="B583" s="154" t="s">
        <v>7152</v>
      </c>
      <c r="C583" s="154" t="s">
        <v>4743</v>
      </c>
      <c r="D583" s="154" t="s">
        <v>7121</v>
      </c>
      <c r="E583" s="154" t="s">
        <v>9362</v>
      </c>
      <c r="F583" s="154" t="s">
        <v>9363</v>
      </c>
      <c r="G583" s="154" t="s">
        <v>9364</v>
      </c>
      <c r="H583" s="154" t="s">
        <v>9365</v>
      </c>
      <c r="I583" s="154" t="s">
        <v>7123</v>
      </c>
    </row>
    <row r="584" customFormat="false" ht="252" hidden="false" customHeight="true" outlineLevel="0" collapsed="false">
      <c r="A584" s="154" t="s">
        <v>7020</v>
      </c>
      <c r="B584" s="154" t="s">
        <v>7152</v>
      </c>
      <c r="C584" s="154" t="s">
        <v>4743</v>
      </c>
      <c r="D584" s="154" t="s">
        <v>7121</v>
      </c>
      <c r="E584" s="154" t="s">
        <v>9366</v>
      </c>
      <c r="F584" s="154" t="s">
        <v>9367</v>
      </c>
      <c r="G584" s="154" t="s">
        <v>9368</v>
      </c>
      <c r="H584" s="154" t="s">
        <v>9369</v>
      </c>
      <c r="I584" s="154" t="s">
        <v>7123</v>
      </c>
    </row>
    <row r="585" customFormat="false" ht="168" hidden="false" customHeight="true" outlineLevel="0" collapsed="false">
      <c r="A585" s="154" t="s">
        <v>7020</v>
      </c>
      <c r="B585" s="154" t="s">
        <v>7152</v>
      </c>
      <c r="C585" s="154" t="s">
        <v>4743</v>
      </c>
      <c r="D585" s="154" t="s">
        <v>7121</v>
      </c>
      <c r="E585" s="154" t="s">
        <v>9370</v>
      </c>
      <c r="F585" s="154" t="s">
        <v>9371</v>
      </c>
      <c r="G585" s="154" t="s">
        <v>9372</v>
      </c>
      <c r="H585" s="154" t="s">
        <v>9373</v>
      </c>
      <c r="I585" s="154" t="s">
        <v>7123</v>
      </c>
    </row>
    <row r="586" customFormat="false" ht="336" hidden="false" customHeight="true" outlineLevel="0" collapsed="false">
      <c r="A586" s="154" t="s">
        <v>7020</v>
      </c>
      <c r="B586" s="154" t="s">
        <v>7152</v>
      </c>
      <c r="C586" s="154" t="s">
        <v>4743</v>
      </c>
      <c r="D586" s="154" t="s">
        <v>7121</v>
      </c>
      <c r="E586" s="154" t="s">
        <v>9374</v>
      </c>
      <c r="F586" s="154" t="s">
        <v>9375</v>
      </c>
      <c r="G586" s="154" t="s">
        <v>9376</v>
      </c>
      <c r="H586" s="154" t="s">
        <v>9377</v>
      </c>
      <c r="I586" s="154" t="s">
        <v>7123</v>
      </c>
    </row>
    <row r="587" customFormat="false" ht="76" hidden="false" customHeight="true" outlineLevel="0" collapsed="false">
      <c r="A587" s="154" t="s">
        <v>7020</v>
      </c>
      <c r="B587" s="154" t="s">
        <v>7152</v>
      </c>
      <c r="C587" s="154" t="s">
        <v>4743</v>
      </c>
      <c r="D587" s="154" t="s">
        <v>7121</v>
      </c>
      <c r="E587" s="154" t="s">
        <v>9378</v>
      </c>
      <c r="F587" s="154" t="s">
        <v>9379</v>
      </c>
      <c r="G587" s="154" t="s">
        <v>9380</v>
      </c>
      <c r="H587" s="154" t="s">
        <v>9381</v>
      </c>
      <c r="I587" s="154" t="s">
        <v>7123</v>
      </c>
    </row>
    <row r="588" customFormat="false" ht="140" hidden="false" customHeight="true" outlineLevel="0" collapsed="false">
      <c r="A588" s="154" t="s">
        <v>7020</v>
      </c>
      <c r="B588" s="154" t="s">
        <v>7185</v>
      </c>
      <c r="C588" s="154" t="s">
        <v>4743</v>
      </c>
      <c r="D588" s="154" t="s">
        <v>9382</v>
      </c>
      <c r="E588" s="154" t="s">
        <v>9383</v>
      </c>
      <c r="F588" s="154" t="s">
        <v>9384</v>
      </c>
      <c r="G588" s="154" t="s">
        <v>9385</v>
      </c>
      <c r="H588" s="154" t="s">
        <v>9386</v>
      </c>
      <c r="I588" s="154" t="s">
        <v>7123</v>
      </c>
    </row>
    <row r="589" customFormat="false" ht="266" hidden="false" customHeight="true" outlineLevel="0" collapsed="false">
      <c r="A589" s="154" t="s">
        <v>7035</v>
      </c>
      <c r="B589" s="154" t="s">
        <v>7120</v>
      </c>
      <c r="C589" s="154" t="s">
        <v>4743</v>
      </c>
      <c r="D589" s="154" t="s">
        <v>7121</v>
      </c>
      <c r="E589" s="154" t="s">
        <v>9387</v>
      </c>
      <c r="F589" s="154" t="s">
        <v>7040</v>
      </c>
      <c r="G589" s="154" t="s">
        <v>7036</v>
      </c>
      <c r="H589" s="154" t="s">
        <v>7052</v>
      </c>
      <c r="I589" s="154" t="s">
        <v>7123</v>
      </c>
    </row>
    <row r="590" customFormat="false" ht="182" hidden="false" customHeight="true" outlineLevel="0" collapsed="false">
      <c r="A590" s="154" t="s">
        <v>7035</v>
      </c>
      <c r="B590" s="154" t="s">
        <v>9388</v>
      </c>
      <c r="C590" s="154" t="s">
        <v>4743</v>
      </c>
      <c r="D590" s="154" t="s">
        <v>7121</v>
      </c>
      <c r="E590" s="154" t="s">
        <v>9389</v>
      </c>
      <c r="F590" s="154" t="s">
        <v>9390</v>
      </c>
      <c r="G590" s="154" t="s">
        <v>9391</v>
      </c>
      <c r="H590" s="154" t="s">
        <v>9392</v>
      </c>
      <c r="I590" s="154" t="s">
        <v>7123</v>
      </c>
    </row>
    <row r="591" customFormat="false" ht="76" hidden="false" customHeight="true" outlineLevel="0" collapsed="false">
      <c r="A591" s="154" t="s">
        <v>7035</v>
      </c>
      <c r="B591" s="154" t="s">
        <v>9388</v>
      </c>
      <c r="C591" s="154" t="s">
        <v>4743</v>
      </c>
      <c r="D591" s="154" t="s">
        <v>7121</v>
      </c>
      <c r="E591" s="154" t="s">
        <v>9393</v>
      </c>
      <c r="F591" s="154" t="s">
        <v>9394</v>
      </c>
      <c r="G591" s="154" t="s">
        <v>9395</v>
      </c>
      <c r="H591" s="154" t="s">
        <v>9396</v>
      </c>
      <c r="I591" s="154" t="s">
        <v>7123</v>
      </c>
    </row>
    <row r="592" customFormat="false" ht="182" hidden="false" customHeight="true" outlineLevel="0" collapsed="false">
      <c r="A592" s="154" t="s">
        <v>7035</v>
      </c>
      <c r="B592" s="154" t="s">
        <v>9388</v>
      </c>
      <c r="C592" s="154" t="s">
        <v>4743</v>
      </c>
      <c r="D592" s="154" t="s">
        <v>7121</v>
      </c>
      <c r="E592" s="154" t="s">
        <v>9397</v>
      </c>
      <c r="F592" s="154" t="s">
        <v>9398</v>
      </c>
      <c r="G592" s="154" t="s">
        <v>9399</v>
      </c>
      <c r="H592" s="154" t="s">
        <v>9400</v>
      </c>
      <c r="I592" s="154" t="s">
        <v>7123</v>
      </c>
    </row>
    <row r="593" customFormat="false" ht="76" hidden="false" customHeight="true" outlineLevel="0" collapsed="false">
      <c r="A593" s="154" t="s">
        <v>7035</v>
      </c>
      <c r="B593" s="154" t="s">
        <v>9388</v>
      </c>
      <c r="C593" s="154" t="s">
        <v>4743</v>
      </c>
      <c r="D593" s="154" t="s">
        <v>7121</v>
      </c>
      <c r="E593" s="154" t="s">
        <v>9401</v>
      </c>
      <c r="F593" s="154" t="s">
        <v>9402</v>
      </c>
      <c r="G593" s="154" t="s">
        <v>9403</v>
      </c>
      <c r="H593" s="154" t="s">
        <v>9404</v>
      </c>
      <c r="I593" s="154" t="s">
        <v>7123</v>
      </c>
    </row>
    <row r="594" customFormat="false" ht="76" hidden="false" customHeight="true" outlineLevel="0" collapsed="false">
      <c r="A594" s="154" t="s">
        <v>7035</v>
      </c>
      <c r="B594" s="154" t="s">
        <v>9388</v>
      </c>
      <c r="C594" s="154" t="s">
        <v>4743</v>
      </c>
      <c r="D594" s="154" t="s">
        <v>7121</v>
      </c>
      <c r="E594" s="154" t="s">
        <v>9405</v>
      </c>
      <c r="F594" s="154" t="s">
        <v>9406</v>
      </c>
      <c r="G594" s="154" t="s">
        <v>9407</v>
      </c>
      <c r="H594" s="154" t="s">
        <v>9408</v>
      </c>
      <c r="I594" s="154" t="s">
        <v>7123</v>
      </c>
    </row>
    <row r="595" customFormat="false" ht="76" hidden="false" customHeight="true" outlineLevel="0" collapsed="false">
      <c r="A595" s="154" t="s">
        <v>7035</v>
      </c>
      <c r="B595" s="154" t="s">
        <v>9388</v>
      </c>
      <c r="C595" s="154" t="s">
        <v>4743</v>
      </c>
      <c r="D595" s="154" t="s">
        <v>7121</v>
      </c>
      <c r="E595" s="154" t="s">
        <v>9409</v>
      </c>
      <c r="F595" s="154" t="s">
        <v>9410</v>
      </c>
      <c r="G595" s="154" t="s">
        <v>9411</v>
      </c>
      <c r="H595" s="154" t="s">
        <v>9412</v>
      </c>
      <c r="I595" s="154" t="s">
        <v>7123</v>
      </c>
    </row>
    <row r="596" customFormat="false" ht="308" hidden="false" customHeight="true" outlineLevel="0" collapsed="false">
      <c r="A596" s="154" t="s">
        <v>7035</v>
      </c>
      <c r="B596" s="154" t="s">
        <v>9388</v>
      </c>
      <c r="C596" s="154" t="s">
        <v>9413</v>
      </c>
      <c r="D596" s="154" t="s">
        <v>9414</v>
      </c>
      <c r="E596" s="154" t="s">
        <v>9415</v>
      </c>
      <c r="F596" s="154" t="s">
        <v>9416</v>
      </c>
      <c r="G596" s="154" t="s">
        <v>9417</v>
      </c>
      <c r="H596" s="154" t="s">
        <v>9418</v>
      </c>
      <c r="I596" s="154" t="s">
        <v>7123</v>
      </c>
    </row>
    <row r="597" customFormat="false" ht="168" hidden="false" customHeight="true" outlineLevel="0" collapsed="false">
      <c r="A597" s="154" t="s">
        <v>7035</v>
      </c>
      <c r="B597" s="154" t="s">
        <v>9388</v>
      </c>
      <c r="C597" s="154" t="s">
        <v>9419</v>
      </c>
      <c r="D597" s="154" t="s">
        <v>9420</v>
      </c>
      <c r="E597" s="154" t="s">
        <v>9421</v>
      </c>
      <c r="F597" s="154" t="s">
        <v>9422</v>
      </c>
      <c r="G597" s="154" t="s">
        <v>9423</v>
      </c>
      <c r="H597" s="154" t="s">
        <v>9424</v>
      </c>
      <c r="I597" s="154" t="s">
        <v>7123</v>
      </c>
    </row>
    <row r="598" customFormat="false" ht="98" hidden="false" customHeight="true" outlineLevel="0" collapsed="false">
      <c r="A598" s="154" t="s">
        <v>7035</v>
      </c>
      <c r="B598" s="154" t="s">
        <v>9388</v>
      </c>
      <c r="C598" s="154" t="s">
        <v>9425</v>
      </c>
      <c r="D598" s="154" t="s">
        <v>9426</v>
      </c>
      <c r="E598" s="154" t="s">
        <v>9427</v>
      </c>
      <c r="F598" s="154" t="s">
        <v>9428</v>
      </c>
      <c r="G598" s="154" t="s">
        <v>9429</v>
      </c>
      <c r="H598" s="154" t="s">
        <v>9430</v>
      </c>
      <c r="I598" s="154" t="s">
        <v>7123</v>
      </c>
    </row>
    <row r="599" customFormat="false" ht="98" hidden="false" customHeight="true" outlineLevel="0" collapsed="false">
      <c r="A599" s="154" t="s">
        <v>7035</v>
      </c>
      <c r="B599" s="154" t="s">
        <v>7152</v>
      </c>
      <c r="C599" s="154" t="s">
        <v>4743</v>
      </c>
      <c r="D599" s="154" t="s">
        <v>7121</v>
      </c>
      <c r="E599" s="154" t="s">
        <v>9431</v>
      </c>
      <c r="F599" s="154" t="s">
        <v>9432</v>
      </c>
      <c r="G599" s="154" t="s">
        <v>9433</v>
      </c>
      <c r="H599" s="154" t="s">
        <v>9434</v>
      </c>
      <c r="I599" s="154" t="s">
        <v>7123</v>
      </c>
    </row>
    <row r="600" customFormat="false" ht="266" hidden="false" customHeight="true" outlineLevel="0" collapsed="false">
      <c r="A600" s="154" t="s">
        <v>7035</v>
      </c>
      <c r="B600" s="154" t="s">
        <v>7152</v>
      </c>
      <c r="C600" s="154" t="s">
        <v>4743</v>
      </c>
      <c r="D600" s="154" t="s">
        <v>7121</v>
      </c>
      <c r="E600" s="154" t="s">
        <v>9435</v>
      </c>
      <c r="F600" s="154" t="s">
        <v>9436</v>
      </c>
      <c r="G600" s="154" t="s">
        <v>9437</v>
      </c>
      <c r="H600" s="154" t="s">
        <v>9438</v>
      </c>
      <c r="I600" s="154" t="s">
        <v>7123</v>
      </c>
    </row>
    <row r="601" customFormat="false" ht="182" hidden="false" customHeight="true" outlineLevel="0" collapsed="false">
      <c r="A601" s="154" t="s">
        <v>7035</v>
      </c>
      <c r="B601" s="154" t="s">
        <v>7152</v>
      </c>
      <c r="C601" s="154" t="s">
        <v>4743</v>
      </c>
      <c r="D601" s="154" t="s">
        <v>7121</v>
      </c>
      <c r="E601" s="154" t="s">
        <v>9397</v>
      </c>
      <c r="F601" s="154" t="s">
        <v>9439</v>
      </c>
      <c r="G601" s="154" t="s">
        <v>9440</v>
      </c>
      <c r="H601" s="154" t="s">
        <v>9400</v>
      </c>
      <c r="I601" s="154" t="s">
        <v>7123</v>
      </c>
    </row>
    <row r="602" customFormat="false" ht="182" hidden="false" customHeight="true" outlineLevel="0" collapsed="false">
      <c r="A602" s="154" t="s">
        <v>7035</v>
      </c>
      <c r="B602" s="154" t="s">
        <v>7152</v>
      </c>
      <c r="C602" s="154" t="s">
        <v>4743</v>
      </c>
      <c r="D602" s="154" t="s">
        <v>7121</v>
      </c>
      <c r="E602" s="154" t="s">
        <v>9389</v>
      </c>
      <c r="F602" s="154" t="s">
        <v>9441</v>
      </c>
      <c r="G602" s="154" t="s">
        <v>9442</v>
      </c>
      <c r="H602" s="154" t="s">
        <v>9392</v>
      </c>
      <c r="I602" s="154" t="s">
        <v>7123</v>
      </c>
    </row>
    <row r="603" customFormat="false" ht="84" hidden="false" customHeight="true" outlineLevel="0" collapsed="false">
      <c r="A603" s="154" t="s">
        <v>7035</v>
      </c>
      <c r="B603" s="154" t="s">
        <v>7152</v>
      </c>
      <c r="C603" s="154" t="s">
        <v>4743</v>
      </c>
      <c r="D603" s="154" t="s">
        <v>7121</v>
      </c>
      <c r="E603" s="154" t="s">
        <v>9443</v>
      </c>
      <c r="F603" s="154" t="s">
        <v>9444</v>
      </c>
      <c r="G603" s="154" t="s">
        <v>9445</v>
      </c>
      <c r="H603" s="154" t="s">
        <v>9446</v>
      </c>
      <c r="I603" s="154" t="s">
        <v>7123</v>
      </c>
    </row>
    <row r="604" customFormat="false" ht="112" hidden="false" customHeight="true" outlineLevel="0" collapsed="false">
      <c r="A604" s="154" t="s">
        <v>7035</v>
      </c>
      <c r="B604" s="154" t="s">
        <v>7152</v>
      </c>
      <c r="C604" s="154" t="s">
        <v>4743</v>
      </c>
      <c r="D604" s="154" t="s">
        <v>7121</v>
      </c>
      <c r="E604" s="154" t="s">
        <v>9447</v>
      </c>
      <c r="F604" s="154" t="s">
        <v>9448</v>
      </c>
      <c r="G604" s="154" t="s">
        <v>9449</v>
      </c>
      <c r="H604" s="154" t="s">
        <v>9450</v>
      </c>
      <c r="I604" s="154" t="s">
        <v>7123</v>
      </c>
    </row>
    <row r="605" customFormat="false" ht="140" hidden="false" customHeight="true" outlineLevel="0" collapsed="false">
      <c r="A605" s="154" t="s">
        <v>7035</v>
      </c>
      <c r="B605" s="154" t="s">
        <v>7185</v>
      </c>
      <c r="C605" s="154" t="s">
        <v>4743</v>
      </c>
      <c r="D605" s="154" t="s">
        <v>9451</v>
      </c>
      <c r="E605" s="154" t="s">
        <v>9452</v>
      </c>
      <c r="F605" s="154" t="s">
        <v>9453</v>
      </c>
      <c r="G605" s="154" t="s">
        <v>9454</v>
      </c>
      <c r="H605" s="154" t="s">
        <v>9455</v>
      </c>
      <c r="I605" s="154" t="s">
        <v>7123</v>
      </c>
    </row>
    <row r="606" customFormat="false" ht="252" hidden="false" customHeight="true" outlineLevel="0" collapsed="false">
      <c r="A606" s="154" t="s">
        <v>7055</v>
      </c>
      <c r="B606" s="154" t="s">
        <v>7120</v>
      </c>
      <c r="C606" s="154" t="s">
        <v>4743</v>
      </c>
      <c r="D606" s="154" t="s">
        <v>7121</v>
      </c>
      <c r="E606" s="154" t="s">
        <v>9456</v>
      </c>
      <c r="F606" s="154" t="s">
        <v>7060</v>
      </c>
      <c r="G606" s="154" t="s">
        <v>7056</v>
      </c>
      <c r="H606" s="154" t="s">
        <v>7072</v>
      </c>
      <c r="I606" s="154" t="s">
        <v>7123</v>
      </c>
    </row>
    <row r="607" customFormat="false" ht="322" hidden="false" customHeight="true" outlineLevel="0" collapsed="false">
      <c r="A607" s="154" t="s">
        <v>7055</v>
      </c>
      <c r="B607" s="154" t="s">
        <v>9388</v>
      </c>
      <c r="C607" s="154" t="s">
        <v>4743</v>
      </c>
      <c r="D607" s="154" t="s">
        <v>7121</v>
      </c>
      <c r="E607" s="154" t="s">
        <v>9457</v>
      </c>
      <c r="F607" s="154" t="s">
        <v>9458</v>
      </c>
      <c r="G607" s="154" t="s">
        <v>9459</v>
      </c>
      <c r="H607" s="154" t="s">
        <v>9460</v>
      </c>
      <c r="I607" s="154" t="s">
        <v>7123</v>
      </c>
    </row>
    <row r="608" customFormat="false" ht="196" hidden="false" customHeight="true" outlineLevel="0" collapsed="false">
      <c r="A608" s="154" t="s">
        <v>7055</v>
      </c>
      <c r="B608" s="154" t="s">
        <v>9388</v>
      </c>
      <c r="C608" s="154" t="s">
        <v>7062</v>
      </c>
      <c r="D608" s="154" t="s">
        <v>9461</v>
      </c>
      <c r="E608" s="154" t="s">
        <v>9462</v>
      </c>
      <c r="F608" s="154" t="s">
        <v>9463</v>
      </c>
      <c r="G608" s="154" t="s">
        <v>9464</v>
      </c>
      <c r="H608" s="154" t="s">
        <v>9465</v>
      </c>
      <c r="I608" s="154" t="s">
        <v>7123</v>
      </c>
    </row>
    <row r="609" customFormat="false" ht="112" hidden="false" customHeight="true" outlineLevel="0" collapsed="false">
      <c r="A609" s="154" t="s">
        <v>7055</v>
      </c>
      <c r="B609" s="154" t="s">
        <v>7152</v>
      </c>
      <c r="C609" s="154" t="s">
        <v>4743</v>
      </c>
      <c r="D609" s="154" t="s">
        <v>7121</v>
      </c>
      <c r="E609" s="154" t="s">
        <v>9466</v>
      </c>
      <c r="F609" s="154" t="s">
        <v>9467</v>
      </c>
      <c r="G609" s="154" t="s">
        <v>9468</v>
      </c>
      <c r="H609" s="154" t="s">
        <v>9469</v>
      </c>
      <c r="I609" s="154" t="s">
        <v>7123</v>
      </c>
    </row>
    <row r="610" customFormat="false" ht="140" hidden="false" customHeight="true" outlineLevel="0" collapsed="false">
      <c r="A610" s="154" t="s">
        <v>7055</v>
      </c>
      <c r="B610" s="154" t="s">
        <v>7152</v>
      </c>
      <c r="C610" s="154" t="s">
        <v>4743</v>
      </c>
      <c r="D610" s="154" t="s">
        <v>7121</v>
      </c>
      <c r="E610" s="154" t="s">
        <v>9470</v>
      </c>
      <c r="F610" s="154" t="s">
        <v>9471</v>
      </c>
      <c r="G610" s="154" t="s">
        <v>9472</v>
      </c>
      <c r="H610" s="154" t="s">
        <v>9473</v>
      </c>
      <c r="I610" s="154" t="s">
        <v>7123</v>
      </c>
    </row>
    <row r="611" customFormat="false" ht="140" hidden="false" customHeight="true" outlineLevel="0" collapsed="false">
      <c r="A611" s="154" t="s">
        <v>7055</v>
      </c>
      <c r="B611" s="154" t="s">
        <v>7152</v>
      </c>
      <c r="C611" s="154" t="s">
        <v>4743</v>
      </c>
      <c r="D611" s="154" t="s">
        <v>7121</v>
      </c>
      <c r="E611" s="154" t="s">
        <v>9474</v>
      </c>
      <c r="F611" s="154" t="s">
        <v>9475</v>
      </c>
      <c r="G611" s="154" t="s">
        <v>9476</v>
      </c>
      <c r="H611" s="154" t="s">
        <v>9477</v>
      </c>
      <c r="I611" s="154" t="s">
        <v>7123</v>
      </c>
    </row>
    <row r="612" customFormat="false" ht="98" hidden="false" customHeight="true" outlineLevel="0" collapsed="false">
      <c r="A612" s="154" t="s">
        <v>7055</v>
      </c>
      <c r="B612" s="154" t="s">
        <v>7152</v>
      </c>
      <c r="C612" s="154" t="s">
        <v>4743</v>
      </c>
      <c r="D612" s="154" t="s">
        <v>7121</v>
      </c>
      <c r="E612" s="154" t="s">
        <v>9478</v>
      </c>
      <c r="F612" s="154" t="s">
        <v>9479</v>
      </c>
      <c r="G612" s="154" t="s">
        <v>9480</v>
      </c>
      <c r="H612" s="154" t="s">
        <v>9481</v>
      </c>
      <c r="I612" s="154" t="s">
        <v>7123</v>
      </c>
    </row>
    <row r="613" customFormat="false" ht="196" hidden="false" customHeight="true" outlineLevel="0" collapsed="false">
      <c r="A613" s="154" t="s">
        <v>7055</v>
      </c>
      <c r="B613" s="154" t="s">
        <v>7152</v>
      </c>
      <c r="C613" s="154" t="s">
        <v>4743</v>
      </c>
      <c r="D613" s="154" t="s">
        <v>7121</v>
      </c>
      <c r="E613" s="154" t="s">
        <v>9482</v>
      </c>
      <c r="F613" s="154" t="s">
        <v>9483</v>
      </c>
      <c r="G613" s="154" t="s">
        <v>9484</v>
      </c>
      <c r="H613" s="154" t="s">
        <v>9485</v>
      </c>
      <c r="I613" s="154" t="s">
        <v>7123</v>
      </c>
    </row>
    <row r="614" customFormat="false" ht="76" hidden="false" customHeight="true" outlineLevel="0" collapsed="false">
      <c r="A614" s="154" t="s">
        <v>7055</v>
      </c>
      <c r="B614" s="154" t="s">
        <v>7152</v>
      </c>
      <c r="C614" s="154" t="s">
        <v>4743</v>
      </c>
      <c r="D614" s="154" t="s">
        <v>7121</v>
      </c>
      <c r="E614" s="154" t="s">
        <v>9486</v>
      </c>
      <c r="F614" s="154" t="s">
        <v>9487</v>
      </c>
      <c r="G614" s="154" t="s">
        <v>9488</v>
      </c>
      <c r="H614" s="154" t="s">
        <v>9489</v>
      </c>
      <c r="I614" s="154" t="s">
        <v>7123</v>
      </c>
    </row>
    <row r="615" customFormat="false" ht="98" hidden="false" customHeight="true" outlineLevel="0" collapsed="false">
      <c r="A615" s="154" t="s">
        <v>7055</v>
      </c>
      <c r="B615" s="154" t="s">
        <v>7152</v>
      </c>
      <c r="C615" s="154" t="s">
        <v>4743</v>
      </c>
      <c r="D615" s="154" t="s">
        <v>7121</v>
      </c>
      <c r="E615" s="154" t="s">
        <v>9490</v>
      </c>
      <c r="F615" s="154" t="s">
        <v>9491</v>
      </c>
      <c r="G615" s="154" t="s">
        <v>9492</v>
      </c>
      <c r="H615" s="154" t="s">
        <v>9493</v>
      </c>
      <c r="I615" s="154" t="s">
        <v>7123</v>
      </c>
    </row>
    <row r="616" customFormat="false" ht="140" hidden="false" customHeight="true" outlineLevel="0" collapsed="false">
      <c r="A616" s="154" t="s">
        <v>7055</v>
      </c>
      <c r="B616" s="154" t="s">
        <v>7185</v>
      </c>
      <c r="C616" s="154" t="s">
        <v>4743</v>
      </c>
      <c r="D616" s="154" t="s">
        <v>9494</v>
      </c>
      <c r="E616" s="154" t="s">
        <v>9495</v>
      </c>
      <c r="F616" s="154" t="s">
        <v>9496</v>
      </c>
      <c r="G616" s="154" t="s">
        <v>9497</v>
      </c>
      <c r="H616" s="154" t="s">
        <v>9498</v>
      </c>
      <c r="I616" s="154" t="s">
        <v>7123</v>
      </c>
    </row>
    <row r="617" customFormat="false" ht="294" hidden="false" customHeight="true" outlineLevel="0" collapsed="false">
      <c r="A617" s="154" t="s">
        <v>7076</v>
      </c>
      <c r="B617" s="154" t="s">
        <v>7120</v>
      </c>
      <c r="C617" s="154" t="s">
        <v>4743</v>
      </c>
      <c r="D617" s="154" t="s">
        <v>7121</v>
      </c>
      <c r="E617" s="154" t="s">
        <v>9499</v>
      </c>
      <c r="F617" s="154" t="s">
        <v>7081</v>
      </c>
      <c r="G617" s="154" t="s">
        <v>7077</v>
      </c>
      <c r="H617" s="154" t="s">
        <v>7091</v>
      </c>
      <c r="I617" s="154" t="s">
        <v>7123</v>
      </c>
    </row>
    <row r="618" customFormat="false" ht="252" hidden="false" customHeight="true" outlineLevel="0" collapsed="false">
      <c r="A618" s="154" t="s">
        <v>7076</v>
      </c>
      <c r="B618" s="154" t="s">
        <v>9388</v>
      </c>
      <c r="C618" s="154" t="s">
        <v>4743</v>
      </c>
      <c r="D618" s="154" t="s">
        <v>7121</v>
      </c>
      <c r="E618" s="154" t="s">
        <v>9500</v>
      </c>
      <c r="F618" s="154" t="s">
        <v>9501</v>
      </c>
      <c r="G618" s="154" t="s">
        <v>9502</v>
      </c>
      <c r="H618" s="154" t="s">
        <v>9503</v>
      </c>
      <c r="I618" s="154" t="s">
        <v>7123</v>
      </c>
    </row>
    <row r="619" customFormat="false" ht="76" hidden="false" customHeight="true" outlineLevel="0" collapsed="false">
      <c r="A619" s="154" t="s">
        <v>7076</v>
      </c>
      <c r="B619" s="154" t="s">
        <v>9388</v>
      </c>
      <c r="C619" s="154" t="s">
        <v>4743</v>
      </c>
      <c r="D619" s="154" t="s">
        <v>7121</v>
      </c>
      <c r="E619" s="154" t="s">
        <v>9504</v>
      </c>
      <c r="F619" s="154" t="s">
        <v>9505</v>
      </c>
      <c r="G619" s="154" t="s">
        <v>9506</v>
      </c>
      <c r="H619" s="154" t="s">
        <v>9507</v>
      </c>
      <c r="I619" s="154" t="s">
        <v>7123</v>
      </c>
    </row>
    <row r="620" customFormat="false" ht="140" hidden="false" customHeight="true" outlineLevel="0" collapsed="false">
      <c r="A620" s="154" t="s">
        <v>7076</v>
      </c>
      <c r="B620" s="154" t="s">
        <v>9388</v>
      </c>
      <c r="C620" s="154" t="s">
        <v>4743</v>
      </c>
      <c r="D620" s="154" t="s">
        <v>7121</v>
      </c>
      <c r="E620" s="154" t="s">
        <v>9508</v>
      </c>
      <c r="F620" s="154" t="s">
        <v>9509</v>
      </c>
      <c r="G620" s="154" t="s">
        <v>9510</v>
      </c>
      <c r="H620" s="154" t="s">
        <v>9511</v>
      </c>
      <c r="I620" s="154" t="s">
        <v>7123</v>
      </c>
    </row>
    <row r="621" customFormat="false" ht="76" hidden="false" customHeight="true" outlineLevel="0" collapsed="false">
      <c r="A621" s="154" t="s">
        <v>7076</v>
      </c>
      <c r="B621" s="154" t="s">
        <v>9388</v>
      </c>
      <c r="C621" s="154" t="s">
        <v>4743</v>
      </c>
      <c r="D621" s="154" t="s">
        <v>7121</v>
      </c>
      <c r="E621" s="154" t="s">
        <v>9401</v>
      </c>
      <c r="F621" s="154" t="s">
        <v>9512</v>
      </c>
      <c r="G621" s="154" t="s">
        <v>9513</v>
      </c>
      <c r="H621" s="154" t="s">
        <v>9404</v>
      </c>
      <c r="I621" s="154" t="s">
        <v>7123</v>
      </c>
    </row>
    <row r="622" customFormat="false" ht="76" hidden="false" customHeight="true" outlineLevel="0" collapsed="false">
      <c r="A622" s="154" t="s">
        <v>7076</v>
      </c>
      <c r="B622" s="154" t="s">
        <v>9388</v>
      </c>
      <c r="C622" s="154" t="s">
        <v>4743</v>
      </c>
      <c r="D622" s="154" t="s">
        <v>7121</v>
      </c>
      <c r="E622" s="154" t="s">
        <v>9514</v>
      </c>
      <c r="F622" s="154" t="s">
        <v>9515</v>
      </c>
      <c r="G622" s="154" t="s">
        <v>9516</v>
      </c>
      <c r="H622" s="154" t="s">
        <v>9517</v>
      </c>
      <c r="I622" s="154" t="s">
        <v>7123</v>
      </c>
    </row>
    <row r="623" customFormat="false" ht="76" hidden="false" customHeight="true" outlineLevel="0" collapsed="false">
      <c r="A623" s="154" t="s">
        <v>7076</v>
      </c>
      <c r="B623" s="154" t="s">
        <v>9388</v>
      </c>
      <c r="C623" s="154" t="s">
        <v>4743</v>
      </c>
      <c r="D623" s="154" t="s">
        <v>7121</v>
      </c>
      <c r="E623" s="154" t="s">
        <v>9518</v>
      </c>
      <c r="F623" s="154" t="s">
        <v>9519</v>
      </c>
      <c r="G623" s="154" t="s">
        <v>9520</v>
      </c>
      <c r="H623" s="154" t="s">
        <v>9521</v>
      </c>
      <c r="I623" s="154" t="s">
        <v>7123</v>
      </c>
    </row>
    <row r="624" customFormat="false" ht="112" hidden="false" customHeight="true" outlineLevel="0" collapsed="false">
      <c r="A624" s="154" t="s">
        <v>7076</v>
      </c>
      <c r="B624" s="154" t="s">
        <v>9388</v>
      </c>
      <c r="C624" s="154" t="s">
        <v>9522</v>
      </c>
      <c r="D624" s="154" t="s">
        <v>9523</v>
      </c>
      <c r="E624" s="154" t="s">
        <v>9524</v>
      </c>
      <c r="F624" s="154" t="s">
        <v>9525</v>
      </c>
      <c r="G624" s="154" t="s">
        <v>9526</v>
      </c>
      <c r="H624" s="154" t="s">
        <v>9527</v>
      </c>
      <c r="I624" s="154" t="s">
        <v>7123</v>
      </c>
    </row>
    <row r="625" customFormat="false" ht="182" hidden="false" customHeight="true" outlineLevel="0" collapsed="false">
      <c r="A625" s="154" t="s">
        <v>7076</v>
      </c>
      <c r="B625" s="154" t="s">
        <v>9388</v>
      </c>
      <c r="C625" s="154" t="s">
        <v>9528</v>
      </c>
      <c r="D625" s="154" t="s">
        <v>9529</v>
      </c>
      <c r="E625" s="154" t="s">
        <v>9530</v>
      </c>
      <c r="F625" s="154" t="s">
        <v>9531</v>
      </c>
      <c r="G625" s="154" t="s">
        <v>9532</v>
      </c>
      <c r="H625" s="154" t="s">
        <v>9533</v>
      </c>
      <c r="I625" s="154" t="s">
        <v>7123</v>
      </c>
    </row>
    <row r="626" customFormat="false" ht="168" hidden="false" customHeight="true" outlineLevel="0" collapsed="false">
      <c r="A626" s="154" t="s">
        <v>7076</v>
      </c>
      <c r="B626" s="154" t="s">
        <v>9388</v>
      </c>
      <c r="C626" s="154" t="s">
        <v>9534</v>
      </c>
      <c r="D626" s="154" t="s">
        <v>9535</v>
      </c>
      <c r="E626" s="154" t="s">
        <v>9536</v>
      </c>
      <c r="F626" s="154" t="s">
        <v>9537</v>
      </c>
      <c r="G626" s="154" t="s">
        <v>9538</v>
      </c>
      <c r="H626" s="154" t="s">
        <v>9539</v>
      </c>
      <c r="I626" s="154" t="s">
        <v>7123</v>
      </c>
    </row>
    <row r="627" customFormat="false" ht="182" hidden="false" customHeight="true" outlineLevel="0" collapsed="false">
      <c r="A627" s="154" t="s">
        <v>7076</v>
      </c>
      <c r="B627" s="154" t="s">
        <v>9388</v>
      </c>
      <c r="C627" s="154" t="s">
        <v>9540</v>
      </c>
      <c r="D627" s="154" t="s">
        <v>9541</v>
      </c>
      <c r="E627" s="154" t="s">
        <v>9542</v>
      </c>
      <c r="F627" s="154" t="s">
        <v>9543</v>
      </c>
      <c r="G627" s="154" t="s">
        <v>9544</v>
      </c>
      <c r="H627" s="154" t="s">
        <v>9545</v>
      </c>
      <c r="I627" s="154" t="s">
        <v>7123</v>
      </c>
    </row>
    <row r="628" customFormat="false" ht="98" hidden="false" customHeight="true" outlineLevel="0" collapsed="false">
      <c r="A628" s="154" t="s">
        <v>7076</v>
      </c>
      <c r="B628" s="154" t="s">
        <v>9388</v>
      </c>
      <c r="C628" s="154" t="s">
        <v>9546</v>
      </c>
      <c r="D628" s="154" t="s">
        <v>9547</v>
      </c>
      <c r="E628" s="154" t="s">
        <v>9548</v>
      </c>
      <c r="F628" s="154" t="s">
        <v>9549</v>
      </c>
      <c r="G628" s="154" t="s">
        <v>9550</v>
      </c>
      <c r="H628" s="154" t="s">
        <v>9551</v>
      </c>
      <c r="I628" s="154" t="s">
        <v>7123</v>
      </c>
    </row>
    <row r="629" customFormat="false" ht="140" hidden="false" customHeight="true" outlineLevel="0" collapsed="false">
      <c r="A629" s="154" t="s">
        <v>7076</v>
      </c>
      <c r="B629" s="154" t="s">
        <v>7152</v>
      </c>
      <c r="C629" s="154" t="s">
        <v>4743</v>
      </c>
      <c r="D629" s="154" t="s">
        <v>7121</v>
      </c>
      <c r="E629" s="154" t="s">
        <v>9552</v>
      </c>
      <c r="F629" s="154" t="s">
        <v>9553</v>
      </c>
      <c r="G629" s="154" t="s">
        <v>9554</v>
      </c>
      <c r="H629" s="154" t="s">
        <v>9555</v>
      </c>
      <c r="I629" s="154" t="s">
        <v>7123</v>
      </c>
    </row>
    <row r="630" customFormat="false" ht="196" hidden="false" customHeight="true" outlineLevel="0" collapsed="false">
      <c r="A630" s="154" t="s">
        <v>7076</v>
      </c>
      <c r="B630" s="154" t="s">
        <v>7152</v>
      </c>
      <c r="C630" s="154" t="s">
        <v>4743</v>
      </c>
      <c r="D630" s="154" t="s">
        <v>7121</v>
      </c>
      <c r="E630" s="154" t="s">
        <v>9556</v>
      </c>
      <c r="F630" s="154" t="s">
        <v>9557</v>
      </c>
      <c r="G630" s="154" t="s">
        <v>9558</v>
      </c>
      <c r="H630" s="154" t="s">
        <v>9559</v>
      </c>
      <c r="I630" s="154" t="s">
        <v>7123</v>
      </c>
    </row>
    <row r="631" customFormat="false" ht="126" hidden="false" customHeight="true" outlineLevel="0" collapsed="false">
      <c r="A631" s="154" t="s">
        <v>7076</v>
      </c>
      <c r="B631" s="154" t="s">
        <v>7152</v>
      </c>
      <c r="C631" s="154" t="s">
        <v>4743</v>
      </c>
      <c r="D631" s="154" t="s">
        <v>7121</v>
      </c>
      <c r="E631" s="154" t="s">
        <v>9560</v>
      </c>
      <c r="F631" s="154" t="s">
        <v>9561</v>
      </c>
      <c r="G631" s="154" t="s">
        <v>9562</v>
      </c>
      <c r="H631" s="154" t="s">
        <v>9563</v>
      </c>
      <c r="I631" s="154" t="s">
        <v>7123</v>
      </c>
    </row>
    <row r="632" customFormat="false" ht="140" hidden="false" customHeight="true" outlineLevel="0" collapsed="false">
      <c r="A632" s="154" t="s">
        <v>7076</v>
      </c>
      <c r="B632" s="154" t="s">
        <v>7152</v>
      </c>
      <c r="C632" s="154" t="s">
        <v>4743</v>
      </c>
      <c r="D632" s="154" t="s">
        <v>7121</v>
      </c>
      <c r="E632" s="154" t="s">
        <v>9508</v>
      </c>
      <c r="F632" s="154" t="s">
        <v>9564</v>
      </c>
      <c r="G632" s="154" t="s">
        <v>9565</v>
      </c>
      <c r="H632" s="154" t="s">
        <v>9511</v>
      </c>
      <c r="I632" s="154" t="s">
        <v>7123</v>
      </c>
    </row>
    <row r="633" customFormat="false" ht="252" hidden="false" customHeight="true" outlineLevel="0" collapsed="false">
      <c r="A633" s="154" t="s">
        <v>7076</v>
      </c>
      <c r="B633" s="154" t="s">
        <v>7152</v>
      </c>
      <c r="C633" s="154" t="s">
        <v>4743</v>
      </c>
      <c r="D633" s="154" t="s">
        <v>7121</v>
      </c>
      <c r="E633" s="154" t="s">
        <v>9500</v>
      </c>
      <c r="F633" s="154" t="s">
        <v>9566</v>
      </c>
      <c r="G633" s="154" t="s">
        <v>9567</v>
      </c>
      <c r="H633" s="154" t="s">
        <v>9503</v>
      </c>
      <c r="I633" s="154" t="s">
        <v>7123</v>
      </c>
    </row>
    <row r="634" customFormat="false" ht="154" hidden="false" customHeight="true" outlineLevel="0" collapsed="false">
      <c r="A634" s="154" t="s">
        <v>7076</v>
      </c>
      <c r="B634" s="154" t="s">
        <v>7152</v>
      </c>
      <c r="C634" s="154" t="s">
        <v>4743</v>
      </c>
      <c r="D634" s="154" t="s">
        <v>7121</v>
      </c>
      <c r="E634" s="154" t="s">
        <v>9568</v>
      </c>
      <c r="F634" s="154" t="s">
        <v>9569</v>
      </c>
      <c r="G634" s="154" t="s">
        <v>9570</v>
      </c>
      <c r="H634" s="154" t="s">
        <v>9571</v>
      </c>
      <c r="I634" s="154" t="s">
        <v>7123</v>
      </c>
    </row>
    <row r="635" customFormat="false" ht="154" hidden="false" customHeight="true" outlineLevel="0" collapsed="false">
      <c r="A635" s="154" t="s">
        <v>7076</v>
      </c>
      <c r="B635" s="154" t="s">
        <v>7152</v>
      </c>
      <c r="C635" s="154" t="s">
        <v>4743</v>
      </c>
      <c r="D635" s="154" t="s">
        <v>7121</v>
      </c>
      <c r="E635" s="154" t="s">
        <v>9572</v>
      </c>
      <c r="F635" s="154" t="s">
        <v>9573</v>
      </c>
      <c r="G635" s="154" t="s">
        <v>9574</v>
      </c>
      <c r="H635" s="154" t="s">
        <v>9575</v>
      </c>
      <c r="I635" s="154" t="s">
        <v>7123</v>
      </c>
    </row>
    <row r="636" customFormat="false" ht="140" hidden="false" customHeight="true" outlineLevel="0" collapsed="false">
      <c r="A636" s="154" t="s">
        <v>7076</v>
      </c>
      <c r="B636" s="154" t="s">
        <v>7185</v>
      </c>
      <c r="C636" s="154" t="s">
        <v>4743</v>
      </c>
      <c r="D636" s="154" t="s">
        <v>9576</v>
      </c>
      <c r="E636" s="154" t="s">
        <v>9577</v>
      </c>
      <c r="F636" s="154" t="s">
        <v>9578</v>
      </c>
      <c r="G636" s="154" t="s">
        <v>9579</v>
      </c>
      <c r="H636" s="154" t="s">
        <v>9580</v>
      </c>
      <c r="I636" s="154" t="s">
        <v>7123</v>
      </c>
    </row>
    <row r="637" customFormat="false" ht="140" hidden="false" customHeight="true" outlineLevel="0" collapsed="false">
      <c r="A637" s="154" t="s">
        <v>7094</v>
      </c>
      <c r="B637" s="154" t="s">
        <v>7120</v>
      </c>
      <c r="C637" s="154" t="s">
        <v>4743</v>
      </c>
      <c r="D637" s="154" t="s">
        <v>7121</v>
      </c>
      <c r="E637" s="154" t="s">
        <v>9581</v>
      </c>
      <c r="F637" s="154" t="s">
        <v>7102</v>
      </c>
      <c r="G637" s="154" t="s">
        <v>7097</v>
      </c>
      <c r="H637" s="154" t="s">
        <v>7114</v>
      </c>
      <c r="I637" s="154" t="s">
        <v>7123</v>
      </c>
    </row>
    <row r="638" customFormat="false" ht="98" hidden="false" customHeight="true" outlineLevel="0" collapsed="false">
      <c r="A638" s="154" t="s">
        <v>7094</v>
      </c>
      <c r="B638" s="154" t="s">
        <v>9582</v>
      </c>
      <c r="C638" s="154" t="s">
        <v>9583</v>
      </c>
      <c r="D638" s="154" t="s">
        <v>7121</v>
      </c>
      <c r="E638" s="154" t="s">
        <v>9584</v>
      </c>
      <c r="F638" s="154" t="s">
        <v>9585</v>
      </c>
      <c r="G638" s="154" t="s">
        <v>9586</v>
      </c>
      <c r="H638" s="154" t="s">
        <v>9587</v>
      </c>
      <c r="I638" s="154" t="s">
        <v>7123</v>
      </c>
    </row>
    <row r="639" customFormat="false" ht="84" hidden="false" customHeight="true" outlineLevel="0" collapsed="false">
      <c r="A639" s="154" t="s">
        <v>7094</v>
      </c>
      <c r="B639" s="154" t="s">
        <v>9582</v>
      </c>
      <c r="C639" s="154" t="s">
        <v>9588</v>
      </c>
      <c r="D639" s="154" t="s">
        <v>7121</v>
      </c>
      <c r="E639" s="154" t="s">
        <v>9589</v>
      </c>
      <c r="F639" s="154" t="s">
        <v>9590</v>
      </c>
      <c r="G639" s="154" t="s">
        <v>9591</v>
      </c>
      <c r="H639" s="154" t="s">
        <v>9592</v>
      </c>
      <c r="I639" s="154" t="s">
        <v>7123</v>
      </c>
    </row>
    <row r="640" customFormat="false" ht="84" hidden="false" customHeight="true" outlineLevel="0" collapsed="false">
      <c r="A640" s="154" t="s">
        <v>7094</v>
      </c>
      <c r="B640" s="154" t="s">
        <v>9582</v>
      </c>
      <c r="C640" s="154" t="s">
        <v>9593</v>
      </c>
      <c r="D640" s="154" t="s">
        <v>7121</v>
      </c>
      <c r="E640" s="154" t="s">
        <v>9594</v>
      </c>
      <c r="F640" s="154" t="s">
        <v>9595</v>
      </c>
      <c r="G640" s="154" t="s">
        <v>9596</v>
      </c>
      <c r="H640" s="154" t="s">
        <v>9597</v>
      </c>
      <c r="I640" s="154" t="s">
        <v>7123</v>
      </c>
    </row>
    <row r="641" customFormat="false" ht="76" hidden="false" customHeight="true" outlineLevel="0" collapsed="false">
      <c r="A641" s="154" t="s">
        <v>7094</v>
      </c>
      <c r="B641" s="154" t="s">
        <v>9582</v>
      </c>
      <c r="C641" s="154" t="s">
        <v>9598</v>
      </c>
      <c r="D641" s="154" t="s">
        <v>7121</v>
      </c>
      <c r="E641" s="154" t="s">
        <v>9599</v>
      </c>
      <c r="F641" s="154" t="s">
        <v>9600</v>
      </c>
      <c r="G641" s="154" t="s">
        <v>9601</v>
      </c>
      <c r="H641" s="154" t="s">
        <v>9602</v>
      </c>
      <c r="I641" s="154" t="s">
        <v>7123</v>
      </c>
    </row>
    <row r="642" customFormat="false" ht="84" hidden="false" customHeight="true" outlineLevel="0" collapsed="false">
      <c r="A642" s="154" t="s">
        <v>7094</v>
      </c>
      <c r="B642" s="154" t="s">
        <v>9582</v>
      </c>
      <c r="C642" s="154" t="s">
        <v>9603</v>
      </c>
      <c r="D642" s="154" t="s">
        <v>7121</v>
      </c>
      <c r="E642" s="154" t="s">
        <v>9604</v>
      </c>
      <c r="F642" s="154" t="s">
        <v>9605</v>
      </c>
      <c r="G642" s="154" t="s">
        <v>9606</v>
      </c>
      <c r="H642" s="154" t="s">
        <v>9607</v>
      </c>
      <c r="I642" s="154" t="s">
        <v>7123</v>
      </c>
    </row>
    <row r="643" customFormat="false" ht="84" hidden="false" customHeight="true" outlineLevel="0" collapsed="false">
      <c r="A643" s="154" t="s">
        <v>7094</v>
      </c>
      <c r="B643" s="154" t="s">
        <v>9582</v>
      </c>
      <c r="C643" s="154" t="s">
        <v>9608</v>
      </c>
      <c r="D643" s="154" t="s">
        <v>7121</v>
      </c>
      <c r="E643" s="154" t="s">
        <v>9609</v>
      </c>
      <c r="F643" s="154" t="s">
        <v>9610</v>
      </c>
      <c r="G643" s="154" t="s">
        <v>9611</v>
      </c>
      <c r="H643" s="154" t="s">
        <v>9612</v>
      </c>
      <c r="I643" s="154" t="s">
        <v>7123</v>
      </c>
    </row>
    <row r="644" customFormat="false" ht="84" hidden="false" customHeight="true" outlineLevel="0" collapsed="false">
      <c r="A644" s="154" t="s">
        <v>7094</v>
      </c>
      <c r="B644" s="154" t="s">
        <v>9582</v>
      </c>
      <c r="C644" s="154" t="s">
        <v>9613</v>
      </c>
      <c r="D644" s="154" t="s">
        <v>7121</v>
      </c>
      <c r="E644" s="154" t="s">
        <v>9614</v>
      </c>
      <c r="F644" s="154" t="s">
        <v>9615</v>
      </c>
      <c r="G644" s="154" t="s">
        <v>9616</v>
      </c>
      <c r="H644" s="154" t="s">
        <v>9617</v>
      </c>
      <c r="I644" s="154" t="s">
        <v>7123</v>
      </c>
    </row>
    <row r="645" customFormat="false" ht="126" hidden="false" customHeight="true" outlineLevel="0" collapsed="false">
      <c r="A645" s="154" t="s">
        <v>7094</v>
      </c>
      <c r="B645" s="154" t="s">
        <v>9582</v>
      </c>
      <c r="C645" s="154" t="s">
        <v>9618</v>
      </c>
      <c r="D645" s="154" t="s">
        <v>9619</v>
      </c>
      <c r="E645" s="154" t="s">
        <v>9620</v>
      </c>
      <c r="F645" s="154" t="s">
        <v>9621</v>
      </c>
      <c r="G645" s="154" t="s">
        <v>9622</v>
      </c>
      <c r="H645" s="154" t="s">
        <v>9623</v>
      </c>
      <c r="I645" s="154" t="s">
        <v>7123</v>
      </c>
    </row>
    <row r="646" customFormat="false" ht="140" hidden="false" customHeight="true" outlineLevel="0" collapsed="false">
      <c r="A646" s="154" t="s">
        <v>7094</v>
      </c>
      <c r="B646" s="154" t="s">
        <v>9582</v>
      </c>
      <c r="C646" s="154" t="s">
        <v>9624</v>
      </c>
      <c r="D646" s="154" t="s">
        <v>9625</v>
      </c>
      <c r="E646" s="154" t="s">
        <v>9626</v>
      </c>
      <c r="F646" s="154" t="s">
        <v>9627</v>
      </c>
      <c r="G646" s="154" t="s">
        <v>9628</v>
      </c>
      <c r="H646" s="154" t="s">
        <v>9629</v>
      </c>
      <c r="I646" s="154" t="s">
        <v>7123</v>
      </c>
    </row>
    <row r="647" customFormat="false" ht="126" hidden="false" customHeight="true" outlineLevel="0" collapsed="false">
      <c r="A647" s="154" t="s">
        <v>7094</v>
      </c>
      <c r="B647" s="154" t="s">
        <v>9582</v>
      </c>
      <c r="C647" s="154" t="s">
        <v>9630</v>
      </c>
      <c r="D647" s="154" t="s">
        <v>9631</v>
      </c>
      <c r="E647" s="154" t="s">
        <v>9632</v>
      </c>
      <c r="F647" s="154" t="s">
        <v>9633</v>
      </c>
      <c r="G647" s="154" t="s">
        <v>9634</v>
      </c>
      <c r="H647" s="154" t="s">
        <v>9635</v>
      </c>
      <c r="I647" s="154" t="s">
        <v>7123</v>
      </c>
    </row>
    <row r="648" customFormat="false" ht="154" hidden="false" customHeight="true" outlineLevel="0" collapsed="false">
      <c r="A648" s="154" t="s">
        <v>7094</v>
      </c>
      <c r="B648" s="154" t="s">
        <v>9582</v>
      </c>
      <c r="C648" s="154" t="s">
        <v>9636</v>
      </c>
      <c r="D648" s="154" t="s">
        <v>9637</v>
      </c>
      <c r="E648" s="154" t="s">
        <v>9638</v>
      </c>
      <c r="F648" s="154" t="s">
        <v>9639</v>
      </c>
      <c r="G648" s="154" t="s">
        <v>9640</v>
      </c>
      <c r="H648" s="154" t="s">
        <v>9641</v>
      </c>
      <c r="I648" s="154" t="s">
        <v>7123</v>
      </c>
    </row>
    <row r="649" customFormat="false" ht="154" hidden="false" customHeight="true" outlineLevel="0" collapsed="false">
      <c r="A649" s="154" t="s">
        <v>7094</v>
      </c>
      <c r="B649" s="154" t="s">
        <v>9582</v>
      </c>
      <c r="C649" s="154" t="s">
        <v>9642</v>
      </c>
      <c r="D649" s="154" t="s">
        <v>9643</v>
      </c>
      <c r="E649" s="154" t="s">
        <v>9644</v>
      </c>
      <c r="F649" s="154" t="s">
        <v>9645</v>
      </c>
      <c r="G649" s="154" t="s">
        <v>9646</v>
      </c>
      <c r="H649" s="154" t="s">
        <v>9647</v>
      </c>
      <c r="I649" s="154" t="s">
        <v>7123</v>
      </c>
    </row>
    <row r="650" customFormat="false" ht="140" hidden="false" customHeight="true" outlineLevel="0" collapsed="false">
      <c r="A650" s="154" t="s">
        <v>7094</v>
      </c>
      <c r="B650" s="154" t="s">
        <v>9582</v>
      </c>
      <c r="C650" s="154" t="s">
        <v>9648</v>
      </c>
      <c r="D650" s="154" t="s">
        <v>9649</v>
      </c>
      <c r="E650" s="154" t="s">
        <v>9650</v>
      </c>
      <c r="F650" s="154" t="s">
        <v>9651</v>
      </c>
      <c r="G650" s="154" t="s">
        <v>9652</v>
      </c>
      <c r="H650" s="154" t="s">
        <v>9653</v>
      </c>
      <c r="I650" s="154" t="s">
        <v>7123</v>
      </c>
    </row>
    <row r="651" customFormat="false" ht="154" hidden="false" customHeight="true" outlineLevel="0" collapsed="false">
      <c r="A651" s="154" t="s">
        <v>7094</v>
      </c>
      <c r="B651" s="154" t="s">
        <v>9582</v>
      </c>
      <c r="C651" s="154" t="s">
        <v>9654</v>
      </c>
      <c r="D651" s="154" t="s">
        <v>9655</v>
      </c>
      <c r="E651" s="154" t="s">
        <v>9656</v>
      </c>
      <c r="F651" s="154" t="s">
        <v>9657</v>
      </c>
      <c r="G651" s="154" t="s">
        <v>9658</v>
      </c>
      <c r="H651" s="154" t="s">
        <v>9659</v>
      </c>
      <c r="I651" s="154" t="s">
        <v>7123</v>
      </c>
    </row>
    <row r="652" customFormat="false" ht="126" hidden="false" customHeight="true" outlineLevel="0" collapsed="false">
      <c r="A652" s="154" t="s">
        <v>7094</v>
      </c>
      <c r="B652" s="154" t="s">
        <v>9582</v>
      </c>
      <c r="C652" s="154" t="s">
        <v>9660</v>
      </c>
      <c r="D652" s="154" t="s">
        <v>9625</v>
      </c>
      <c r="E652" s="154" t="s">
        <v>9661</v>
      </c>
      <c r="F652" s="154" t="s">
        <v>9662</v>
      </c>
      <c r="G652" s="154" t="s">
        <v>9663</v>
      </c>
      <c r="H652" s="154" t="s">
        <v>9664</v>
      </c>
      <c r="I652" s="154" t="s">
        <v>7123</v>
      </c>
    </row>
    <row r="653" customFormat="false" ht="76" hidden="false" customHeight="true" outlineLevel="0" collapsed="false">
      <c r="A653" s="154" t="s">
        <v>7094</v>
      </c>
      <c r="B653" s="154" t="s">
        <v>9582</v>
      </c>
      <c r="C653" s="154" t="s">
        <v>4743</v>
      </c>
      <c r="D653" s="154" t="s">
        <v>7121</v>
      </c>
      <c r="E653" s="154" t="s">
        <v>7935</v>
      </c>
      <c r="F653" s="154" t="s">
        <v>9665</v>
      </c>
      <c r="G653" s="154" t="s">
        <v>9666</v>
      </c>
      <c r="H653" s="154" t="s">
        <v>7938</v>
      </c>
      <c r="I653" s="154" t="s">
        <v>7123</v>
      </c>
    </row>
    <row r="654" customFormat="false" ht="252" hidden="false" customHeight="true" outlineLevel="0" collapsed="false">
      <c r="A654" s="154" t="s">
        <v>7094</v>
      </c>
      <c r="B654" s="154" t="s">
        <v>9667</v>
      </c>
      <c r="C654" s="154" t="s">
        <v>4743</v>
      </c>
      <c r="D654" s="154" t="s">
        <v>7121</v>
      </c>
      <c r="E654" s="154" t="s">
        <v>9668</v>
      </c>
      <c r="F654" s="154" t="s">
        <v>9669</v>
      </c>
      <c r="G654" s="154" t="s">
        <v>9670</v>
      </c>
      <c r="H654" s="154" t="s">
        <v>9671</v>
      </c>
      <c r="I654" s="154" t="s">
        <v>7123</v>
      </c>
    </row>
    <row r="655" customFormat="false" ht="350" hidden="false" customHeight="true" outlineLevel="0" collapsed="false">
      <c r="A655" s="154" t="s">
        <v>7094</v>
      </c>
      <c r="B655" s="154" t="s">
        <v>9667</v>
      </c>
      <c r="C655" s="154" t="s">
        <v>4743</v>
      </c>
      <c r="D655" s="154" t="s">
        <v>7121</v>
      </c>
      <c r="E655" s="154" t="s">
        <v>9672</v>
      </c>
      <c r="F655" s="154" t="s">
        <v>9673</v>
      </c>
      <c r="G655" s="154" t="s">
        <v>9674</v>
      </c>
      <c r="H655" s="154" t="s">
        <v>9675</v>
      </c>
      <c r="I655" s="154" t="s">
        <v>7123</v>
      </c>
    </row>
    <row r="656" customFormat="false" ht="76" hidden="false" customHeight="true" outlineLevel="0" collapsed="false">
      <c r="A656" s="154" t="s">
        <v>7094</v>
      </c>
      <c r="B656" s="154" t="s">
        <v>7152</v>
      </c>
      <c r="C656" s="154" t="s">
        <v>4743</v>
      </c>
      <c r="D656" s="154" t="s">
        <v>7121</v>
      </c>
      <c r="E656" s="154" t="s">
        <v>9676</v>
      </c>
      <c r="F656" s="154" t="s">
        <v>9677</v>
      </c>
      <c r="G656" s="154" t="s">
        <v>9678</v>
      </c>
      <c r="H656" s="154" t="s">
        <v>9679</v>
      </c>
      <c r="I656" s="154" t="s">
        <v>7123</v>
      </c>
    </row>
    <row r="657" customFormat="false" ht="76" hidden="false" customHeight="true" outlineLevel="0" collapsed="false">
      <c r="A657" s="154" t="s">
        <v>7094</v>
      </c>
      <c r="B657" s="154" t="s">
        <v>7152</v>
      </c>
      <c r="C657" s="154" t="s">
        <v>4743</v>
      </c>
      <c r="D657" s="154" t="s">
        <v>7121</v>
      </c>
      <c r="E657" s="154" t="s">
        <v>9680</v>
      </c>
      <c r="F657" s="154" t="s">
        <v>9681</v>
      </c>
      <c r="G657" s="154" t="s">
        <v>9682</v>
      </c>
      <c r="H657" s="154" t="s">
        <v>9683</v>
      </c>
      <c r="I657" s="154" t="s">
        <v>7123</v>
      </c>
    </row>
    <row r="658" customFormat="false" ht="76" hidden="false" customHeight="true" outlineLevel="0" collapsed="false">
      <c r="A658" s="154" t="s">
        <v>7094</v>
      </c>
      <c r="B658" s="154" t="s">
        <v>7152</v>
      </c>
      <c r="C658" s="154" t="s">
        <v>4743</v>
      </c>
      <c r="D658" s="154" t="s">
        <v>7121</v>
      </c>
      <c r="E658" s="154" t="s">
        <v>9684</v>
      </c>
      <c r="F658" s="154" t="s">
        <v>9685</v>
      </c>
      <c r="G658" s="154" t="s">
        <v>9686</v>
      </c>
      <c r="H658" s="154" t="s">
        <v>9687</v>
      </c>
      <c r="I658" s="154" t="s">
        <v>7123</v>
      </c>
    </row>
    <row r="659" customFormat="false" ht="76" hidden="false" customHeight="true" outlineLevel="0" collapsed="false">
      <c r="A659" s="154" t="s">
        <v>7094</v>
      </c>
      <c r="B659" s="154" t="s">
        <v>7152</v>
      </c>
      <c r="C659" s="154" t="s">
        <v>4743</v>
      </c>
      <c r="D659" s="154" t="s">
        <v>7121</v>
      </c>
      <c r="E659" s="154" t="s">
        <v>9688</v>
      </c>
      <c r="F659" s="154" t="s">
        <v>9689</v>
      </c>
      <c r="G659" s="154" t="s">
        <v>9690</v>
      </c>
      <c r="H659" s="154" t="s">
        <v>9691</v>
      </c>
      <c r="I659" s="154" t="s">
        <v>7123</v>
      </c>
    </row>
    <row r="660" customFormat="false" ht="76" hidden="false" customHeight="true" outlineLevel="0" collapsed="false">
      <c r="A660" s="154" t="s">
        <v>7094</v>
      </c>
      <c r="B660" s="154" t="s">
        <v>7152</v>
      </c>
      <c r="C660" s="154" t="s">
        <v>4743</v>
      </c>
      <c r="D660" s="154" t="s">
        <v>7121</v>
      </c>
      <c r="E660" s="154" t="s">
        <v>9692</v>
      </c>
      <c r="F660" s="154" t="s">
        <v>9693</v>
      </c>
      <c r="G660" s="154" t="s">
        <v>9694</v>
      </c>
      <c r="H660" s="154" t="s">
        <v>9695</v>
      </c>
      <c r="I660" s="154" t="s">
        <v>7123</v>
      </c>
    </row>
    <row r="661" customFormat="false" ht="76" hidden="false" customHeight="true" outlineLevel="0" collapsed="false">
      <c r="A661" s="154" t="s">
        <v>7094</v>
      </c>
      <c r="B661" s="154" t="s">
        <v>7152</v>
      </c>
      <c r="C661" s="154" t="s">
        <v>4743</v>
      </c>
      <c r="D661" s="154" t="s">
        <v>7121</v>
      </c>
      <c r="E661" s="154" t="s">
        <v>9696</v>
      </c>
      <c r="F661" s="154" t="s">
        <v>9697</v>
      </c>
      <c r="G661" s="154" t="s">
        <v>9698</v>
      </c>
      <c r="H661" s="154" t="s">
        <v>9699</v>
      </c>
      <c r="I661" s="154" t="s">
        <v>7123</v>
      </c>
    </row>
    <row r="662" customFormat="false" ht="76" hidden="false" customHeight="true" outlineLevel="0" collapsed="false">
      <c r="A662" s="154" t="s">
        <v>7094</v>
      </c>
      <c r="B662" s="154" t="s">
        <v>7185</v>
      </c>
      <c r="C662" s="154" t="s">
        <v>4743</v>
      </c>
      <c r="D662" s="154" t="s">
        <v>7121</v>
      </c>
      <c r="E662" s="154" t="s">
        <v>9700</v>
      </c>
      <c r="F662" s="154" t="s">
        <v>9701</v>
      </c>
      <c r="G662" s="154" t="s">
        <v>9702</v>
      </c>
      <c r="H662" s="154" t="s">
        <v>9703</v>
      </c>
      <c r="I662" s="154" t="s">
        <v>7123</v>
      </c>
    </row>
    <row r="663" customFormat="false" ht="76" hidden="false" customHeight="true" outlineLevel="0" collapsed="false">
      <c r="A663" s="154" t="s">
        <v>9704</v>
      </c>
      <c r="B663" s="154" t="s">
        <v>9705</v>
      </c>
      <c r="C663" s="154" t="s">
        <v>4743</v>
      </c>
      <c r="D663" s="154" t="s">
        <v>7121</v>
      </c>
      <c r="E663" s="154" t="s">
        <v>7935</v>
      </c>
      <c r="F663" s="154" t="s">
        <v>9706</v>
      </c>
      <c r="G663" s="154" t="s">
        <v>9707</v>
      </c>
      <c r="H663" s="154" t="s">
        <v>7938</v>
      </c>
      <c r="I663" s="154" t="s">
        <v>7123</v>
      </c>
    </row>
    <row r="664" customFormat="false" ht="76" hidden="false" customHeight="true" outlineLevel="0" collapsed="false">
      <c r="A664" s="154" t="s">
        <v>9704</v>
      </c>
      <c r="B664" s="154" t="s">
        <v>9705</v>
      </c>
      <c r="C664" s="154" t="s">
        <v>4743</v>
      </c>
      <c r="D664" s="154" t="s">
        <v>7121</v>
      </c>
      <c r="E664" s="154" t="s">
        <v>9708</v>
      </c>
      <c r="F664" s="154" t="s">
        <v>9709</v>
      </c>
      <c r="G664" s="154" t="s">
        <v>9710</v>
      </c>
      <c r="H664" s="154" t="s">
        <v>9711</v>
      </c>
      <c r="I664" s="154" t="s">
        <v>7123</v>
      </c>
    </row>
    <row r="665" customFormat="false" ht="76" hidden="false" customHeight="true" outlineLevel="0" collapsed="false">
      <c r="A665" s="154" t="s">
        <v>9704</v>
      </c>
      <c r="B665" s="154" t="s">
        <v>9705</v>
      </c>
      <c r="C665" s="154" t="s">
        <v>4743</v>
      </c>
      <c r="D665" s="154" t="s">
        <v>7121</v>
      </c>
      <c r="E665" s="154" t="s">
        <v>9712</v>
      </c>
      <c r="F665" s="154" t="s">
        <v>9713</v>
      </c>
      <c r="G665" s="154" t="s">
        <v>9714</v>
      </c>
      <c r="H665" s="154" t="s">
        <v>9715</v>
      </c>
      <c r="I665" s="154" t="s">
        <v>7123</v>
      </c>
    </row>
    <row r="666" customFormat="false" ht="168" hidden="false" customHeight="true" outlineLevel="0" collapsed="false">
      <c r="A666" s="154" t="s">
        <v>6540</v>
      </c>
      <c r="B666" s="154" t="s">
        <v>9705</v>
      </c>
      <c r="C666" s="154" t="s">
        <v>4743</v>
      </c>
      <c r="D666" s="154" t="s">
        <v>7121</v>
      </c>
      <c r="E666" s="154" t="s">
        <v>9716</v>
      </c>
      <c r="F666" s="154" t="s">
        <v>9717</v>
      </c>
      <c r="G666" s="154" t="s">
        <v>9718</v>
      </c>
      <c r="H666" s="154" t="s">
        <v>9719</v>
      </c>
      <c r="I666" s="154" t="s">
        <v>7123</v>
      </c>
    </row>
    <row r="667" customFormat="false" ht="154" hidden="false" customHeight="true" outlineLevel="0" collapsed="false">
      <c r="A667" s="154" t="s">
        <v>6540</v>
      </c>
      <c r="B667" s="154" t="s">
        <v>9705</v>
      </c>
      <c r="C667" s="154" t="s">
        <v>4743</v>
      </c>
      <c r="D667" s="154" t="s">
        <v>7121</v>
      </c>
      <c r="E667" s="154" t="s">
        <v>9720</v>
      </c>
      <c r="F667" s="154" t="s">
        <v>9721</v>
      </c>
      <c r="G667" s="154" t="s">
        <v>9722</v>
      </c>
      <c r="H667" s="154" t="s">
        <v>9723</v>
      </c>
      <c r="I667" s="154" t="s">
        <v>7123</v>
      </c>
    </row>
    <row r="668" customFormat="false" ht="182" hidden="false" customHeight="true" outlineLevel="0" collapsed="false">
      <c r="A668" s="154" t="s">
        <v>6540</v>
      </c>
      <c r="B668" s="154" t="s">
        <v>9705</v>
      </c>
      <c r="C668" s="154" t="s">
        <v>4743</v>
      </c>
      <c r="D668" s="154" t="s">
        <v>7121</v>
      </c>
      <c r="E668" s="154" t="s">
        <v>9724</v>
      </c>
      <c r="F668" s="154" t="s">
        <v>9725</v>
      </c>
      <c r="G668" s="154" t="s">
        <v>9726</v>
      </c>
      <c r="H668" s="154" t="s">
        <v>9727</v>
      </c>
      <c r="I668" s="154" t="s">
        <v>7123</v>
      </c>
    </row>
    <row r="669" customFormat="false" ht="126" hidden="false" customHeight="true" outlineLevel="0" collapsed="false">
      <c r="A669" s="154" t="s">
        <v>6565</v>
      </c>
      <c r="B669" s="154" t="s">
        <v>9705</v>
      </c>
      <c r="C669" s="154" t="s">
        <v>4743</v>
      </c>
      <c r="D669" s="154" t="s">
        <v>7121</v>
      </c>
      <c r="E669" s="154" t="s">
        <v>9728</v>
      </c>
      <c r="F669" s="154" t="s">
        <v>9729</v>
      </c>
      <c r="G669" s="154" t="s">
        <v>9730</v>
      </c>
      <c r="H669" s="154" t="s">
        <v>9731</v>
      </c>
      <c r="I669" s="154" t="s">
        <v>7123</v>
      </c>
    </row>
    <row r="670" customFormat="false" ht="112" hidden="false" customHeight="true" outlineLevel="0" collapsed="false">
      <c r="A670" s="154" t="s">
        <v>6585</v>
      </c>
      <c r="B670" s="154" t="s">
        <v>9705</v>
      </c>
      <c r="C670" s="154" t="s">
        <v>4743</v>
      </c>
      <c r="D670" s="154" t="s">
        <v>7121</v>
      </c>
      <c r="E670" s="154" t="s">
        <v>9732</v>
      </c>
      <c r="F670" s="154" t="s">
        <v>9733</v>
      </c>
      <c r="G670" s="154" t="s">
        <v>9734</v>
      </c>
      <c r="H670" s="154" t="s">
        <v>9735</v>
      </c>
      <c r="I670" s="154" t="s">
        <v>7123</v>
      </c>
    </row>
    <row r="671" customFormat="false" ht="98" hidden="false" customHeight="true" outlineLevel="0" collapsed="false">
      <c r="A671" s="154" t="s">
        <v>6585</v>
      </c>
      <c r="B671" s="154" t="s">
        <v>9705</v>
      </c>
      <c r="C671" s="154" t="s">
        <v>4743</v>
      </c>
      <c r="D671" s="154" t="s">
        <v>7121</v>
      </c>
      <c r="E671" s="154" t="s">
        <v>9736</v>
      </c>
      <c r="F671" s="154" t="s">
        <v>9737</v>
      </c>
      <c r="G671" s="154" t="s">
        <v>9738</v>
      </c>
      <c r="H671" s="154" t="s">
        <v>9739</v>
      </c>
      <c r="I671" s="154" t="s">
        <v>7123</v>
      </c>
    </row>
    <row r="672" customFormat="false" ht="112" hidden="false" customHeight="true" outlineLevel="0" collapsed="false">
      <c r="A672" s="154" t="s">
        <v>6585</v>
      </c>
      <c r="B672" s="154" t="s">
        <v>9705</v>
      </c>
      <c r="C672" s="154" t="s">
        <v>4743</v>
      </c>
      <c r="D672" s="154" t="s">
        <v>7121</v>
      </c>
      <c r="E672" s="154" t="s">
        <v>9740</v>
      </c>
      <c r="F672" s="154" t="s">
        <v>9741</v>
      </c>
      <c r="G672" s="154" t="s">
        <v>9742</v>
      </c>
      <c r="H672" s="154" t="s">
        <v>9743</v>
      </c>
      <c r="I672" s="154" t="s">
        <v>7123</v>
      </c>
    </row>
    <row r="673" customFormat="false" ht="112" hidden="false" customHeight="true" outlineLevel="0" collapsed="false">
      <c r="A673" s="154" t="s">
        <v>6585</v>
      </c>
      <c r="B673" s="154" t="s">
        <v>9705</v>
      </c>
      <c r="C673" s="154" t="s">
        <v>4743</v>
      </c>
      <c r="D673" s="154" t="s">
        <v>7121</v>
      </c>
      <c r="E673" s="154" t="s">
        <v>9744</v>
      </c>
      <c r="F673" s="154" t="s">
        <v>9745</v>
      </c>
      <c r="G673" s="154" t="s">
        <v>9746</v>
      </c>
      <c r="H673" s="154" t="s">
        <v>9747</v>
      </c>
      <c r="I673" s="154" t="s">
        <v>7123</v>
      </c>
    </row>
    <row r="674" customFormat="false" ht="126" hidden="false" customHeight="true" outlineLevel="0" collapsed="false">
      <c r="A674" s="154" t="s">
        <v>6585</v>
      </c>
      <c r="B674" s="154" t="s">
        <v>9705</v>
      </c>
      <c r="C674" s="154" t="s">
        <v>4743</v>
      </c>
      <c r="D674" s="154" t="s">
        <v>7121</v>
      </c>
      <c r="E674" s="154" t="s">
        <v>9748</v>
      </c>
      <c r="F674" s="154" t="s">
        <v>9749</v>
      </c>
      <c r="G674" s="154" t="s">
        <v>9750</v>
      </c>
      <c r="H674" s="154" t="s">
        <v>9751</v>
      </c>
      <c r="I674" s="154" t="s">
        <v>7123</v>
      </c>
    </row>
    <row r="675" customFormat="false" ht="112" hidden="false" customHeight="true" outlineLevel="0" collapsed="false">
      <c r="A675" s="154" t="s">
        <v>6585</v>
      </c>
      <c r="B675" s="154" t="s">
        <v>9705</v>
      </c>
      <c r="C675" s="154" t="s">
        <v>4743</v>
      </c>
      <c r="D675" s="154" t="s">
        <v>7121</v>
      </c>
      <c r="E675" s="154" t="s">
        <v>9752</v>
      </c>
      <c r="F675" s="154" t="s">
        <v>9753</v>
      </c>
      <c r="G675" s="154" t="s">
        <v>9754</v>
      </c>
      <c r="H675" s="154" t="s">
        <v>9755</v>
      </c>
      <c r="I675" s="154" t="s">
        <v>7123</v>
      </c>
    </row>
    <row r="676" customFormat="false" ht="112" hidden="false" customHeight="true" outlineLevel="0" collapsed="false">
      <c r="A676" s="154" t="s">
        <v>6585</v>
      </c>
      <c r="B676" s="154" t="s">
        <v>9705</v>
      </c>
      <c r="C676" s="154" t="s">
        <v>4743</v>
      </c>
      <c r="D676" s="154" t="s">
        <v>7121</v>
      </c>
      <c r="E676" s="154" t="s">
        <v>9756</v>
      </c>
      <c r="F676" s="154" t="s">
        <v>9757</v>
      </c>
      <c r="G676" s="154" t="s">
        <v>9758</v>
      </c>
      <c r="H676" s="154" t="s">
        <v>9759</v>
      </c>
      <c r="I676" s="154" t="s">
        <v>7123</v>
      </c>
    </row>
    <row r="677" customFormat="false" ht="168" hidden="false" customHeight="true" outlineLevel="0" collapsed="false">
      <c r="A677" s="154" t="s">
        <v>6585</v>
      </c>
      <c r="B677" s="154" t="s">
        <v>9705</v>
      </c>
      <c r="C677" s="154" t="s">
        <v>4743</v>
      </c>
      <c r="D677" s="154" t="s">
        <v>7121</v>
      </c>
      <c r="E677" s="154" t="s">
        <v>9760</v>
      </c>
      <c r="F677" s="154" t="s">
        <v>9761</v>
      </c>
      <c r="G677" s="154" t="s">
        <v>9762</v>
      </c>
      <c r="H677" s="154" t="s">
        <v>9763</v>
      </c>
      <c r="I677" s="154" t="s">
        <v>7123</v>
      </c>
    </row>
    <row r="678" customFormat="false" ht="126" hidden="false" customHeight="true" outlineLevel="0" collapsed="false">
      <c r="A678" s="154" t="s">
        <v>6605</v>
      </c>
      <c r="B678" s="154" t="s">
        <v>9705</v>
      </c>
      <c r="C678" s="154" t="s">
        <v>4743</v>
      </c>
      <c r="D678" s="154" t="s">
        <v>7121</v>
      </c>
      <c r="E678" s="154" t="s">
        <v>9764</v>
      </c>
      <c r="F678" s="154" t="s">
        <v>9765</v>
      </c>
      <c r="G678" s="154" t="s">
        <v>9766</v>
      </c>
      <c r="H678" s="154" t="s">
        <v>9767</v>
      </c>
      <c r="I678" s="154" t="s">
        <v>7123</v>
      </c>
    </row>
    <row r="679" customFormat="false" ht="168" hidden="false" customHeight="true" outlineLevel="0" collapsed="false">
      <c r="A679" s="154" t="s">
        <v>6605</v>
      </c>
      <c r="B679" s="154" t="s">
        <v>9705</v>
      </c>
      <c r="C679" s="154" t="s">
        <v>4743</v>
      </c>
      <c r="D679" s="154" t="s">
        <v>7121</v>
      </c>
      <c r="E679" s="154" t="s">
        <v>9768</v>
      </c>
      <c r="F679" s="154" t="s">
        <v>9769</v>
      </c>
      <c r="G679" s="154" t="s">
        <v>9770</v>
      </c>
      <c r="H679" s="154" t="s">
        <v>9771</v>
      </c>
      <c r="I679" s="154" t="s">
        <v>7123</v>
      </c>
    </row>
    <row r="680" customFormat="false" ht="280" hidden="false" customHeight="true" outlineLevel="0" collapsed="false">
      <c r="A680" s="154" t="s">
        <v>6605</v>
      </c>
      <c r="B680" s="154" t="s">
        <v>9705</v>
      </c>
      <c r="C680" s="154" t="s">
        <v>4743</v>
      </c>
      <c r="D680" s="154" t="s">
        <v>7121</v>
      </c>
      <c r="E680" s="154" t="s">
        <v>9772</v>
      </c>
      <c r="F680" s="154" t="s">
        <v>9773</v>
      </c>
      <c r="G680" s="154" t="s">
        <v>9774</v>
      </c>
      <c r="H680" s="154" t="s">
        <v>9775</v>
      </c>
      <c r="I680" s="154" t="s">
        <v>7123</v>
      </c>
    </row>
    <row r="681" customFormat="false" ht="140" hidden="false" customHeight="true" outlineLevel="0" collapsed="false">
      <c r="A681" s="154" t="s">
        <v>6623</v>
      </c>
      <c r="B681" s="154" t="s">
        <v>9705</v>
      </c>
      <c r="C681" s="154" t="s">
        <v>4743</v>
      </c>
      <c r="D681" s="154" t="s">
        <v>7121</v>
      </c>
      <c r="E681" s="154" t="s">
        <v>9776</v>
      </c>
      <c r="F681" s="154" t="s">
        <v>9777</v>
      </c>
      <c r="G681" s="154" t="s">
        <v>9778</v>
      </c>
      <c r="H681" s="154" t="s">
        <v>9779</v>
      </c>
      <c r="I681" s="154" t="s">
        <v>7123</v>
      </c>
    </row>
    <row r="682" customFormat="false" ht="154" hidden="false" customHeight="true" outlineLevel="0" collapsed="false">
      <c r="A682" s="154" t="s">
        <v>6623</v>
      </c>
      <c r="B682" s="154" t="s">
        <v>9705</v>
      </c>
      <c r="C682" s="154" t="s">
        <v>4743</v>
      </c>
      <c r="D682" s="154" t="s">
        <v>7121</v>
      </c>
      <c r="E682" s="154" t="s">
        <v>9780</v>
      </c>
      <c r="F682" s="154" t="s">
        <v>9781</v>
      </c>
      <c r="G682" s="154" t="s">
        <v>9782</v>
      </c>
      <c r="H682" s="154" t="s">
        <v>9783</v>
      </c>
      <c r="I682" s="154" t="s">
        <v>7123</v>
      </c>
    </row>
    <row r="683" customFormat="false" ht="126" hidden="false" customHeight="true" outlineLevel="0" collapsed="false">
      <c r="A683" s="154" t="s">
        <v>6623</v>
      </c>
      <c r="B683" s="154" t="s">
        <v>9705</v>
      </c>
      <c r="C683" s="154" t="s">
        <v>4743</v>
      </c>
      <c r="D683" s="154" t="s">
        <v>7121</v>
      </c>
      <c r="E683" s="154" t="s">
        <v>9784</v>
      </c>
      <c r="F683" s="154" t="s">
        <v>9785</v>
      </c>
      <c r="G683" s="154" t="s">
        <v>9786</v>
      </c>
      <c r="H683" s="154" t="s">
        <v>9787</v>
      </c>
      <c r="I683" s="154" t="s">
        <v>7123</v>
      </c>
    </row>
    <row r="684" customFormat="false" ht="154" hidden="false" customHeight="true" outlineLevel="0" collapsed="false">
      <c r="A684" s="154" t="s">
        <v>6623</v>
      </c>
      <c r="B684" s="154" t="s">
        <v>9705</v>
      </c>
      <c r="C684" s="154" t="s">
        <v>4743</v>
      </c>
      <c r="D684" s="154" t="s">
        <v>7121</v>
      </c>
      <c r="E684" s="154" t="s">
        <v>9788</v>
      </c>
      <c r="F684" s="154" t="s">
        <v>9789</v>
      </c>
      <c r="G684" s="154" t="s">
        <v>9790</v>
      </c>
      <c r="H684" s="154" t="s">
        <v>9791</v>
      </c>
      <c r="I684" s="154" t="s">
        <v>7123</v>
      </c>
    </row>
    <row r="685" customFormat="false" ht="126" hidden="false" customHeight="true" outlineLevel="0" collapsed="false">
      <c r="A685" s="154" t="s">
        <v>6623</v>
      </c>
      <c r="B685" s="154" t="s">
        <v>9705</v>
      </c>
      <c r="C685" s="154" t="s">
        <v>4743</v>
      </c>
      <c r="D685" s="154" t="s">
        <v>7121</v>
      </c>
      <c r="E685" s="154" t="s">
        <v>9792</v>
      </c>
      <c r="F685" s="154" t="s">
        <v>9793</v>
      </c>
      <c r="G685" s="154" t="s">
        <v>9794</v>
      </c>
      <c r="H685" s="154" t="s">
        <v>9795</v>
      </c>
      <c r="I685" s="154" t="s">
        <v>7123</v>
      </c>
    </row>
    <row r="686" customFormat="false" ht="112" hidden="false" customHeight="true" outlineLevel="0" collapsed="false">
      <c r="A686" s="154" t="s">
        <v>6623</v>
      </c>
      <c r="B686" s="154" t="s">
        <v>9705</v>
      </c>
      <c r="C686" s="154" t="s">
        <v>4743</v>
      </c>
      <c r="D686" s="154" t="s">
        <v>7121</v>
      </c>
      <c r="E686" s="154" t="s">
        <v>9796</v>
      </c>
      <c r="F686" s="154" t="s">
        <v>9797</v>
      </c>
      <c r="G686" s="154" t="s">
        <v>9798</v>
      </c>
      <c r="H686" s="154" t="s">
        <v>9799</v>
      </c>
      <c r="I686" s="154" t="s">
        <v>7123</v>
      </c>
    </row>
    <row r="687" customFormat="false" ht="266" hidden="false" customHeight="true" outlineLevel="0" collapsed="false">
      <c r="A687" s="154" t="s">
        <v>6623</v>
      </c>
      <c r="B687" s="154" t="s">
        <v>9705</v>
      </c>
      <c r="C687" s="154" t="s">
        <v>4743</v>
      </c>
      <c r="D687" s="154" t="s">
        <v>7121</v>
      </c>
      <c r="E687" s="154" t="s">
        <v>9800</v>
      </c>
      <c r="F687" s="154" t="s">
        <v>9801</v>
      </c>
      <c r="G687" s="154" t="s">
        <v>9802</v>
      </c>
      <c r="H687" s="154" t="s">
        <v>9803</v>
      </c>
      <c r="I687" s="154" t="s">
        <v>7123</v>
      </c>
    </row>
    <row r="688" customFormat="false" ht="168" hidden="false" customHeight="true" outlineLevel="0" collapsed="false">
      <c r="A688" s="154" t="s">
        <v>6435</v>
      </c>
      <c r="B688" s="154" t="s">
        <v>9705</v>
      </c>
      <c r="C688" s="154" t="s">
        <v>4743</v>
      </c>
      <c r="D688" s="154" t="s">
        <v>7121</v>
      </c>
      <c r="E688" s="154" t="s">
        <v>9804</v>
      </c>
      <c r="F688" s="154" t="s">
        <v>9805</v>
      </c>
      <c r="G688" s="154" t="s">
        <v>9806</v>
      </c>
      <c r="H688" s="154" t="s">
        <v>9807</v>
      </c>
      <c r="I688" s="154" t="s">
        <v>7123</v>
      </c>
    </row>
    <row r="689" customFormat="false" ht="154" hidden="false" customHeight="true" outlineLevel="0" collapsed="false">
      <c r="A689" s="154" t="s">
        <v>6435</v>
      </c>
      <c r="B689" s="154" t="s">
        <v>9705</v>
      </c>
      <c r="C689" s="154" t="s">
        <v>4743</v>
      </c>
      <c r="D689" s="154" t="s">
        <v>7121</v>
      </c>
      <c r="E689" s="154" t="s">
        <v>9808</v>
      </c>
      <c r="F689" s="154" t="s">
        <v>9809</v>
      </c>
      <c r="G689" s="154" t="s">
        <v>9810</v>
      </c>
      <c r="H689" s="154" t="s">
        <v>9811</v>
      </c>
      <c r="I689" s="154" t="s">
        <v>7123</v>
      </c>
    </row>
    <row r="690" customFormat="false" ht="294" hidden="false" customHeight="true" outlineLevel="0" collapsed="false">
      <c r="A690" s="154" t="s">
        <v>6435</v>
      </c>
      <c r="B690" s="154" t="s">
        <v>9705</v>
      </c>
      <c r="C690" s="154" t="s">
        <v>4743</v>
      </c>
      <c r="D690" s="154" t="s">
        <v>7121</v>
      </c>
      <c r="E690" s="154" t="s">
        <v>9812</v>
      </c>
      <c r="F690" s="154" t="s">
        <v>9813</v>
      </c>
      <c r="G690" s="154" t="s">
        <v>9814</v>
      </c>
      <c r="H690" s="154" t="s">
        <v>9815</v>
      </c>
      <c r="I690" s="154" t="s">
        <v>7123</v>
      </c>
    </row>
    <row r="691" customFormat="false" ht="126" hidden="false" customHeight="true" outlineLevel="0" collapsed="false">
      <c r="A691" s="154" t="s">
        <v>6444</v>
      </c>
      <c r="B691" s="154" t="s">
        <v>9705</v>
      </c>
      <c r="C691" s="154" t="s">
        <v>4743</v>
      </c>
      <c r="D691" s="154" t="s">
        <v>7121</v>
      </c>
      <c r="E691" s="154" t="s">
        <v>9816</v>
      </c>
      <c r="F691" s="154" t="s">
        <v>9817</v>
      </c>
      <c r="G691" s="154" t="s">
        <v>9818</v>
      </c>
      <c r="H691" s="154" t="s">
        <v>9819</v>
      </c>
      <c r="I691" s="154" t="s">
        <v>7123</v>
      </c>
    </row>
    <row r="692" customFormat="false" ht="126" hidden="false" customHeight="true" outlineLevel="0" collapsed="false">
      <c r="A692" s="154" t="s">
        <v>6444</v>
      </c>
      <c r="B692" s="154" t="s">
        <v>9705</v>
      </c>
      <c r="C692" s="154" t="s">
        <v>4743</v>
      </c>
      <c r="D692" s="154" t="s">
        <v>7121</v>
      </c>
      <c r="E692" s="154" t="s">
        <v>9820</v>
      </c>
      <c r="F692" s="154" t="s">
        <v>9821</v>
      </c>
      <c r="G692" s="154" t="s">
        <v>9822</v>
      </c>
      <c r="H692" s="154" t="s">
        <v>9823</v>
      </c>
      <c r="I692" s="154" t="s">
        <v>7123</v>
      </c>
    </row>
    <row r="693" customFormat="false" ht="76" hidden="false" customHeight="true" outlineLevel="0" collapsed="false">
      <c r="A693" s="154" t="s">
        <v>6444</v>
      </c>
      <c r="B693" s="154" t="s">
        <v>9705</v>
      </c>
      <c r="C693" s="154" t="s">
        <v>4743</v>
      </c>
      <c r="D693" s="154" t="s">
        <v>7121</v>
      </c>
      <c r="E693" s="154" t="s">
        <v>9824</v>
      </c>
      <c r="F693" s="154" t="s">
        <v>9825</v>
      </c>
      <c r="G693" s="154" t="s">
        <v>9826</v>
      </c>
      <c r="H693" s="154" t="s">
        <v>9827</v>
      </c>
      <c r="I693" s="154" t="s">
        <v>7123</v>
      </c>
    </row>
    <row r="694" customFormat="false" ht="350" hidden="false" customHeight="true" outlineLevel="0" collapsed="false">
      <c r="A694" s="154" t="s">
        <v>6444</v>
      </c>
      <c r="B694" s="154" t="s">
        <v>9705</v>
      </c>
      <c r="C694" s="154" t="s">
        <v>4743</v>
      </c>
      <c r="D694" s="154" t="s">
        <v>7121</v>
      </c>
      <c r="E694" s="154" t="s">
        <v>9828</v>
      </c>
      <c r="F694" s="154" t="s">
        <v>9829</v>
      </c>
      <c r="G694" s="154" t="s">
        <v>9830</v>
      </c>
      <c r="H694" s="154" t="s">
        <v>9831</v>
      </c>
      <c r="I694" s="154" t="s">
        <v>7123</v>
      </c>
    </row>
    <row r="695" customFormat="false" ht="76" hidden="false" customHeight="true" outlineLevel="0" collapsed="false">
      <c r="A695" s="154" t="s">
        <v>6444</v>
      </c>
      <c r="B695" s="154" t="s">
        <v>9705</v>
      </c>
      <c r="C695" s="154" t="s">
        <v>4743</v>
      </c>
      <c r="D695" s="154" t="s">
        <v>7121</v>
      </c>
      <c r="E695" s="154" t="s">
        <v>7487</v>
      </c>
      <c r="F695" s="154" t="s">
        <v>9832</v>
      </c>
      <c r="G695" s="154" t="s">
        <v>9833</v>
      </c>
      <c r="H695" s="154" t="s">
        <v>7490</v>
      </c>
      <c r="I695" s="154" t="s">
        <v>7123</v>
      </c>
    </row>
    <row r="696" customFormat="false" ht="196" hidden="false" customHeight="true" outlineLevel="0" collapsed="false">
      <c r="A696" s="154" t="s">
        <v>6677</v>
      </c>
      <c r="B696" s="154" t="s">
        <v>9705</v>
      </c>
      <c r="C696" s="154" t="s">
        <v>4743</v>
      </c>
      <c r="D696" s="154" t="s">
        <v>7121</v>
      </c>
      <c r="E696" s="154" t="s">
        <v>9834</v>
      </c>
      <c r="F696" s="154" t="s">
        <v>9835</v>
      </c>
      <c r="G696" s="154" t="s">
        <v>9836</v>
      </c>
      <c r="H696" s="154" t="s">
        <v>9837</v>
      </c>
      <c r="I696" s="154" t="s">
        <v>7123</v>
      </c>
    </row>
    <row r="697" customFormat="false" ht="210" hidden="false" customHeight="true" outlineLevel="0" collapsed="false">
      <c r="A697" s="154" t="s">
        <v>6677</v>
      </c>
      <c r="B697" s="154" t="s">
        <v>9705</v>
      </c>
      <c r="C697" s="154" t="s">
        <v>4743</v>
      </c>
      <c r="D697" s="154" t="s">
        <v>7121</v>
      </c>
      <c r="E697" s="154" t="s">
        <v>9838</v>
      </c>
      <c r="F697" s="154" t="s">
        <v>9839</v>
      </c>
      <c r="G697" s="154" t="s">
        <v>9840</v>
      </c>
      <c r="H697" s="154" t="s">
        <v>9841</v>
      </c>
      <c r="I697" s="154" t="s">
        <v>7123</v>
      </c>
    </row>
    <row r="698" customFormat="false" ht="182" hidden="false" customHeight="true" outlineLevel="0" collapsed="false">
      <c r="A698" s="154" t="s">
        <v>6677</v>
      </c>
      <c r="B698" s="154" t="s">
        <v>9705</v>
      </c>
      <c r="C698" s="154" t="s">
        <v>4743</v>
      </c>
      <c r="D698" s="154" t="s">
        <v>7121</v>
      </c>
      <c r="E698" s="154" t="s">
        <v>9842</v>
      </c>
      <c r="F698" s="154" t="s">
        <v>9843</v>
      </c>
      <c r="G698" s="154" t="s">
        <v>9844</v>
      </c>
      <c r="H698" s="154" t="s">
        <v>9845</v>
      </c>
      <c r="I698" s="154" t="s">
        <v>7123</v>
      </c>
    </row>
    <row r="699" customFormat="false" ht="168" hidden="false" customHeight="true" outlineLevel="0" collapsed="false">
      <c r="A699" s="154" t="s">
        <v>6696</v>
      </c>
      <c r="B699" s="154" t="s">
        <v>9705</v>
      </c>
      <c r="C699" s="154" t="s">
        <v>4743</v>
      </c>
      <c r="D699" s="154" t="s">
        <v>7121</v>
      </c>
      <c r="E699" s="154" t="s">
        <v>9846</v>
      </c>
      <c r="F699" s="154" t="s">
        <v>9847</v>
      </c>
      <c r="G699" s="154" t="s">
        <v>9848</v>
      </c>
      <c r="H699" s="154" t="s">
        <v>9849</v>
      </c>
      <c r="I699" s="154" t="s">
        <v>7123</v>
      </c>
    </row>
    <row r="700" customFormat="false" ht="196" hidden="false" customHeight="true" outlineLevel="0" collapsed="false">
      <c r="A700" s="154" t="s">
        <v>6714</v>
      </c>
      <c r="B700" s="154" t="s">
        <v>9705</v>
      </c>
      <c r="C700" s="154" t="s">
        <v>4743</v>
      </c>
      <c r="D700" s="154" t="s">
        <v>7121</v>
      </c>
      <c r="E700" s="154" t="s">
        <v>9850</v>
      </c>
      <c r="F700" s="154" t="s">
        <v>9851</v>
      </c>
      <c r="G700" s="154" t="s">
        <v>9852</v>
      </c>
      <c r="H700" s="154" t="s">
        <v>9853</v>
      </c>
      <c r="I700" s="154" t="s">
        <v>7123</v>
      </c>
    </row>
    <row r="701" customFormat="false" ht="224" hidden="false" customHeight="true" outlineLevel="0" collapsed="false">
      <c r="A701" s="154" t="s">
        <v>6734</v>
      </c>
      <c r="B701" s="154" t="s">
        <v>9705</v>
      </c>
      <c r="C701" s="154" t="s">
        <v>4743</v>
      </c>
      <c r="D701" s="154" t="s">
        <v>7121</v>
      </c>
      <c r="E701" s="154" t="s">
        <v>9854</v>
      </c>
      <c r="F701" s="154" t="s">
        <v>9855</v>
      </c>
      <c r="G701" s="154" t="s">
        <v>9856</v>
      </c>
      <c r="H701" s="154" t="s">
        <v>9857</v>
      </c>
      <c r="I701" s="154" t="s">
        <v>7123</v>
      </c>
    </row>
    <row r="702" customFormat="false" ht="140" hidden="false" customHeight="true" outlineLevel="0" collapsed="false">
      <c r="A702" s="154" t="s">
        <v>6753</v>
      </c>
      <c r="B702" s="154" t="s">
        <v>9705</v>
      </c>
      <c r="C702" s="154" t="s">
        <v>4743</v>
      </c>
      <c r="D702" s="154" t="s">
        <v>7121</v>
      </c>
      <c r="E702" s="154" t="s">
        <v>9858</v>
      </c>
      <c r="F702" s="154" t="s">
        <v>9859</v>
      </c>
      <c r="G702" s="154" t="s">
        <v>9860</v>
      </c>
      <c r="H702" s="154" t="s">
        <v>9861</v>
      </c>
      <c r="I702" s="154" t="s">
        <v>7123</v>
      </c>
    </row>
    <row r="703" customFormat="false" ht="140" hidden="false" customHeight="true" outlineLevel="0" collapsed="false">
      <c r="A703" s="154" t="s">
        <v>6753</v>
      </c>
      <c r="B703" s="154" t="s">
        <v>9705</v>
      </c>
      <c r="C703" s="154" t="s">
        <v>4743</v>
      </c>
      <c r="D703" s="154" t="s">
        <v>7121</v>
      </c>
      <c r="E703" s="154" t="s">
        <v>9862</v>
      </c>
      <c r="F703" s="154" t="s">
        <v>9863</v>
      </c>
      <c r="G703" s="154" t="s">
        <v>9864</v>
      </c>
      <c r="H703" s="154" t="s">
        <v>9865</v>
      </c>
      <c r="I703" s="154" t="s">
        <v>7123</v>
      </c>
    </row>
    <row r="704" customFormat="false" ht="140" hidden="false" customHeight="true" outlineLevel="0" collapsed="false">
      <c r="A704" s="154" t="s">
        <v>6753</v>
      </c>
      <c r="B704" s="154" t="s">
        <v>9705</v>
      </c>
      <c r="C704" s="154" t="s">
        <v>4743</v>
      </c>
      <c r="D704" s="154" t="s">
        <v>7121</v>
      </c>
      <c r="E704" s="154" t="s">
        <v>9866</v>
      </c>
      <c r="F704" s="154" t="s">
        <v>9867</v>
      </c>
      <c r="G704" s="154" t="s">
        <v>9868</v>
      </c>
      <c r="H704" s="154" t="s">
        <v>9869</v>
      </c>
      <c r="I704" s="154" t="s">
        <v>7123</v>
      </c>
    </row>
    <row r="705" customFormat="false" ht="154" hidden="false" customHeight="true" outlineLevel="0" collapsed="false">
      <c r="A705" s="154" t="s">
        <v>6753</v>
      </c>
      <c r="B705" s="154" t="s">
        <v>9705</v>
      </c>
      <c r="C705" s="154" t="s">
        <v>4743</v>
      </c>
      <c r="D705" s="154" t="s">
        <v>7121</v>
      </c>
      <c r="E705" s="154" t="s">
        <v>9870</v>
      </c>
      <c r="F705" s="154" t="s">
        <v>9871</v>
      </c>
      <c r="G705" s="154" t="s">
        <v>9872</v>
      </c>
      <c r="H705" s="154" t="s">
        <v>9873</v>
      </c>
      <c r="I705" s="154" t="s">
        <v>7123</v>
      </c>
    </row>
    <row r="706" customFormat="false" ht="252" hidden="false" customHeight="true" outlineLevel="0" collapsed="false">
      <c r="A706" s="154" t="s">
        <v>6753</v>
      </c>
      <c r="B706" s="154" t="s">
        <v>9705</v>
      </c>
      <c r="C706" s="154" t="s">
        <v>4743</v>
      </c>
      <c r="D706" s="154" t="s">
        <v>7121</v>
      </c>
      <c r="E706" s="154" t="s">
        <v>9874</v>
      </c>
      <c r="F706" s="154" t="s">
        <v>9875</v>
      </c>
      <c r="G706" s="154" t="s">
        <v>9876</v>
      </c>
      <c r="H706" s="154" t="s">
        <v>9877</v>
      </c>
      <c r="I706" s="154" t="s">
        <v>7123</v>
      </c>
    </row>
    <row r="707" customFormat="false" ht="126" hidden="false" customHeight="true" outlineLevel="0" collapsed="false">
      <c r="A707" s="154" t="s">
        <v>6771</v>
      </c>
      <c r="B707" s="154" t="s">
        <v>9705</v>
      </c>
      <c r="C707" s="154" t="s">
        <v>4743</v>
      </c>
      <c r="D707" s="154" t="s">
        <v>7121</v>
      </c>
      <c r="E707" s="154" t="s">
        <v>9878</v>
      </c>
      <c r="F707" s="154" t="s">
        <v>9879</v>
      </c>
      <c r="G707" s="154" t="s">
        <v>9880</v>
      </c>
      <c r="H707" s="154" t="s">
        <v>9881</v>
      </c>
      <c r="I707" s="154" t="s">
        <v>7123</v>
      </c>
    </row>
    <row r="708" customFormat="false" ht="126" hidden="false" customHeight="true" outlineLevel="0" collapsed="false">
      <c r="A708" s="154" t="s">
        <v>6771</v>
      </c>
      <c r="B708" s="154" t="s">
        <v>9705</v>
      </c>
      <c r="C708" s="154" t="s">
        <v>4743</v>
      </c>
      <c r="D708" s="154" t="s">
        <v>7121</v>
      </c>
      <c r="E708" s="154" t="s">
        <v>9882</v>
      </c>
      <c r="F708" s="154" t="s">
        <v>9883</v>
      </c>
      <c r="G708" s="154" t="s">
        <v>9884</v>
      </c>
      <c r="H708" s="154" t="s">
        <v>9885</v>
      </c>
      <c r="I708" s="154" t="s">
        <v>7123</v>
      </c>
    </row>
    <row r="709" customFormat="false" ht="112" hidden="false" customHeight="true" outlineLevel="0" collapsed="false">
      <c r="A709" s="154" t="s">
        <v>6771</v>
      </c>
      <c r="B709" s="154" t="s">
        <v>9705</v>
      </c>
      <c r="C709" s="154" t="s">
        <v>4743</v>
      </c>
      <c r="D709" s="154" t="s">
        <v>7121</v>
      </c>
      <c r="E709" s="154" t="s">
        <v>9886</v>
      </c>
      <c r="F709" s="154" t="s">
        <v>9887</v>
      </c>
      <c r="G709" s="154" t="s">
        <v>9888</v>
      </c>
      <c r="H709" s="154" t="s">
        <v>9889</v>
      </c>
      <c r="I709" s="154" t="s">
        <v>7123</v>
      </c>
    </row>
    <row r="710" customFormat="false" ht="126" hidden="false" customHeight="true" outlineLevel="0" collapsed="false">
      <c r="A710" s="154" t="s">
        <v>6771</v>
      </c>
      <c r="B710" s="154" t="s">
        <v>9705</v>
      </c>
      <c r="C710" s="154" t="s">
        <v>4743</v>
      </c>
      <c r="D710" s="154" t="s">
        <v>7121</v>
      </c>
      <c r="E710" s="154" t="s">
        <v>9890</v>
      </c>
      <c r="F710" s="154" t="s">
        <v>9891</v>
      </c>
      <c r="G710" s="154" t="s">
        <v>9892</v>
      </c>
      <c r="H710" s="154" t="s">
        <v>9893</v>
      </c>
      <c r="I710" s="154" t="s">
        <v>7123</v>
      </c>
    </row>
    <row r="711" customFormat="false" ht="126" hidden="false" customHeight="true" outlineLevel="0" collapsed="false">
      <c r="A711" s="154" t="s">
        <v>6771</v>
      </c>
      <c r="B711" s="154" t="s">
        <v>9705</v>
      </c>
      <c r="C711" s="154" t="s">
        <v>4743</v>
      </c>
      <c r="D711" s="154" t="s">
        <v>7121</v>
      </c>
      <c r="E711" s="154" t="s">
        <v>9894</v>
      </c>
      <c r="F711" s="154" t="s">
        <v>9895</v>
      </c>
      <c r="G711" s="154" t="s">
        <v>9896</v>
      </c>
      <c r="H711" s="154" t="s">
        <v>9897</v>
      </c>
      <c r="I711" s="154" t="s">
        <v>7123</v>
      </c>
    </row>
    <row r="712" customFormat="false" ht="126" hidden="false" customHeight="true" outlineLevel="0" collapsed="false">
      <c r="A712" s="154" t="s">
        <v>6771</v>
      </c>
      <c r="B712" s="154" t="s">
        <v>9705</v>
      </c>
      <c r="C712" s="154" t="s">
        <v>4743</v>
      </c>
      <c r="D712" s="154" t="s">
        <v>7121</v>
      </c>
      <c r="E712" s="154" t="s">
        <v>9898</v>
      </c>
      <c r="F712" s="154" t="s">
        <v>9899</v>
      </c>
      <c r="G712" s="154" t="s">
        <v>9900</v>
      </c>
      <c r="H712" s="154" t="s">
        <v>9901</v>
      </c>
      <c r="I712" s="154" t="s">
        <v>7123</v>
      </c>
    </row>
    <row r="713" customFormat="false" ht="238" hidden="false" customHeight="true" outlineLevel="0" collapsed="false">
      <c r="A713" s="154" t="s">
        <v>6771</v>
      </c>
      <c r="B713" s="154" t="s">
        <v>9705</v>
      </c>
      <c r="C713" s="154" t="s">
        <v>4743</v>
      </c>
      <c r="D713" s="154" t="s">
        <v>7121</v>
      </c>
      <c r="E713" s="154" t="s">
        <v>9902</v>
      </c>
      <c r="F713" s="154" t="s">
        <v>9903</v>
      </c>
      <c r="G713" s="154" t="s">
        <v>9904</v>
      </c>
      <c r="H713" s="154" t="s">
        <v>9905</v>
      </c>
      <c r="I713" s="154" t="s">
        <v>7123</v>
      </c>
    </row>
    <row r="714" customFormat="false" ht="154" hidden="false" customHeight="true" outlineLevel="0" collapsed="false">
      <c r="A714" s="154" t="s">
        <v>6790</v>
      </c>
      <c r="B714" s="154" t="s">
        <v>9705</v>
      </c>
      <c r="C714" s="154" t="s">
        <v>4743</v>
      </c>
      <c r="D714" s="154" t="s">
        <v>7121</v>
      </c>
      <c r="E714" s="154" t="s">
        <v>9906</v>
      </c>
      <c r="F714" s="154" t="s">
        <v>9907</v>
      </c>
      <c r="G714" s="154" t="s">
        <v>9908</v>
      </c>
      <c r="H714" s="154" t="s">
        <v>9909</v>
      </c>
      <c r="I714" s="154" t="s">
        <v>7123</v>
      </c>
    </row>
    <row r="715" customFormat="false" ht="112" hidden="false" customHeight="true" outlineLevel="0" collapsed="false">
      <c r="A715" s="154" t="s">
        <v>6790</v>
      </c>
      <c r="B715" s="154" t="s">
        <v>9705</v>
      </c>
      <c r="C715" s="154" t="s">
        <v>4743</v>
      </c>
      <c r="D715" s="154" t="s">
        <v>7121</v>
      </c>
      <c r="E715" s="154" t="s">
        <v>9910</v>
      </c>
      <c r="F715" s="154" t="s">
        <v>9911</v>
      </c>
      <c r="G715" s="154" t="s">
        <v>9912</v>
      </c>
      <c r="H715" s="154" t="s">
        <v>9913</v>
      </c>
      <c r="I715" s="154" t="s">
        <v>7123</v>
      </c>
    </row>
    <row r="716" customFormat="false" ht="252" hidden="false" customHeight="true" outlineLevel="0" collapsed="false">
      <c r="A716" s="154" t="s">
        <v>6790</v>
      </c>
      <c r="B716" s="154" t="s">
        <v>9705</v>
      </c>
      <c r="C716" s="154" t="s">
        <v>4743</v>
      </c>
      <c r="D716" s="154" t="s">
        <v>7121</v>
      </c>
      <c r="E716" s="154" t="s">
        <v>9914</v>
      </c>
      <c r="F716" s="154" t="s">
        <v>9915</v>
      </c>
      <c r="G716" s="154" t="s">
        <v>9916</v>
      </c>
      <c r="H716" s="154" t="s">
        <v>9917</v>
      </c>
      <c r="I716" s="154" t="s">
        <v>7123</v>
      </c>
    </row>
    <row r="717" customFormat="false" ht="168" hidden="false" customHeight="true" outlineLevel="0" collapsed="false">
      <c r="A717" s="154" t="s">
        <v>6809</v>
      </c>
      <c r="B717" s="154" t="s">
        <v>9705</v>
      </c>
      <c r="C717" s="154" t="s">
        <v>4743</v>
      </c>
      <c r="D717" s="154" t="s">
        <v>7121</v>
      </c>
      <c r="E717" s="154" t="s">
        <v>9918</v>
      </c>
      <c r="F717" s="154" t="s">
        <v>9919</v>
      </c>
      <c r="G717" s="154" t="s">
        <v>9920</v>
      </c>
      <c r="H717" s="154" t="s">
        <v>9921</v>
      </c>
      <c r="I717" s="154" t="s">
        <v>7123</v>
      </c>
    </row>
    <row r="718" customFormat="false" ht="210" hidden="false" customHeight="true" outlineLevel="0" collapsed="false">
      <c r="A718" s="154" t="s">
        <v>6809</v>
      </c>
      <c r="B718" s="154" t="s">
        <v>9705</v>
      </c>
      <c r="C718" s="154" t="s">
        <v>4743</v>
      </c>
      <c r="D718" s="154" t="s">
        <v>7121</v>
      </c>
      <c r="E718" s="154" t="s">
        <v>9922</v>
      </c>
      <c r="F718" s="154" t="s">
        <v>9923</v>
      </c>
      <c r="G718" s="154" t="s">
        <v>9924</v>
      </c>
      <c r="H718" s="154" t="s">
        <v>9925</v>
      </c>
      <c r="I718" s="154" t="s">
        <v>7123</v>
      </c>
    </row>
    <row r="719" customFormat="false" ht="168" hidden="false" customHeight="true" outlineLevel="0" collapsed="false">
      <c r="A719" s="154" t="s">
        <v>6828</v>
      </c>
      <c r="B719" s="154" t="s">
        <v>9705</v>
      </c>
      <c r="C719" s="154" t="s">
        <v>4743</v>
      </c>
      <c r="D719" s="154" t="s">
        <v>7121</v>
      </c>
      <c r="E719" s="154" t="s">
        <v>9926</v>
      </c>
      <c r="F719" s="154" t="s">
        <v>9927</v>
      </c>
      <c r="G719" s="154" t="s">
        <v>9928</v>
      </c>
      <c r="H719" s="154" t="s">
        <v>9929</v>
      </c>
      <c r="I719" s="154" t="s">
        <v>7123</v>
      </c>
    </row>
    <row r="720" customFormat="false" ht="182" hidden="false" customHeight="true" outlineLevel="0" collapsed="false">
      <c r="A720" s="154" t="s">
        <v>6828</v>
      </c>
      <c r="B720" s="154" t="s">
        <v>9705</v>
      </c>
      <c r="C720" s="154" t="s">
        <v>4743</v>
      </c>
      <c r="D720" s="154" t="s">
        <v>7121</v>
      </c>
      <c r="E720" s="154" t="s">
        <v>9930</v>
      </c>
      <c r="F720" s="154" t="s">
        <v>9931</v>
      </c>
      <c r="G720" s="154" t="s">
        <v>9932</v>
      </c>
      <c r="H720" s="154" t="s">
        <v>9933</v>
      </c>
      <c r="I720" s="154" t="s">
        <v>7123</v>
      </c>
    </row>
    <row r="721" customFormat="false" ht="140" hidden="false" customHeight="true" outlineLevel="0" collapsed="false">
      <c r="A721" s="154" t="s">
        <v>6828</v>
      </c>
      <c r="B721" s="154" t="s">
        <v>9705</v>
      </c>
      <c r="C721" s="154" t="s">
        <v>4743</v>
      </c>
      <c r="D721" s="154" t="s">
        <v>7121</v>
      </c>
      <c r="E721" s="154" t="s">
        <v>9934</v>
      </c>
      <c r="F721" s="154" t="s">
        <v>9935</v>
      </c>
      <c r="G721" s="154" t="s">
        <v>9936</v>
      </c>
      <c r="H721" s="154" t="s">
        <v>9937</v>
      </c>
      <c r="I721" s="154" t="s">
        <v>7123</v>
      </c>
    </row>
    <row r="722" customFormat="false" ht="126" hidden="false" customHeight="true" outlineLevel="0" collapsed="false">
      <c r="A722" s="154" t="s">
        <v>6828</v>
      </c>
      <c r="B722" s="154" t="s">
        <v>9705</v>
      </c>
      <c r="C722" s="154" t="s">
        <v>4743</v>
      </c>
      <c r="D722" s="154" t="s">
        <v>7121</v>
      </c>
      <c r="E722" s="154" t="s">
        <v>9938</v>
      </c>
      <c r="F722" s="154" t="s">
        <v>9939</v>
      </c>
      <c r="G722" s="154" t="s">
        <v>9940</v>
      </c>
      <c r="H722" s="154" t="s">
        <v>9941</v>
      </c>
      <c r="I722" s="154" t="s">
        <v>7123</v>
      </c>
    </row>
    <row r="723" customFormat="false" ht="112" hidden="false" customHeight="true" outlineLevel="0" collapsed="false">
      <c r="A723" s="154" t="s">
        <v>6828</v>
      </c>
      <c r="B723" s="154" t="s">
        <v>9705</v>
      </c>
      <c r="C723" s="154" t="s">
        <v>4743</v>
      </c>
      <c r="D723" s="154" t="s">
        <v>7121</v>
      </c>
      <c r="E723" s="154" t="s">
        <v>9942</v>
      </c>
      <c r="F723" s="154" t="s">
        <v>9943</v>
      </c>
      <c r="G723" s="154" t="s">
        <v>9944</v>
      </c>
      <c r="H723" s="154" t="s">
        <v>9945</v>
      </c>
      <c r="I723" s="154" t="s">
        <v>7123</v>
      </c>
    </row>
    <row r="724" customFormat="false" ht="126" hidden="false" customHeight="true" outlineLevel="0" collapsed="false">
      <c r="A724" s="154" t="s">
        <v>6828</v>
      </c>
      <c r="B724" s="154" t="s">
        <v>9705</v>
      </c>
      <c r="C724" s="154" t="s">
        <v>4743</v>
      </c>
      <c r="D724" s="154" t="s">
        <v>7121</v>
      </c>
      <c r="E724" s="154" t="s">
        <v>9946</v>
      </c>
      <c r="F724" s="154" t="s">
        <v>9947</v>
      </c>
      <c r="G724" s="154" t="s">
        <v>9948</v>
      </c>
      <c r="H724" s="154" t="s">
        <v>9949</v>
      </c>
      <c r="I724" s="154" t="s">
        <v>7123</v>
      </c>
    </row>
    <row r="725" customFormat="false" ht="126" hidden="false" customHeight="true" outlineLevel="0" collapsed="false">
      <c r="A725" s="154" t="s">
        <v>6828</v>
      </c>
      <c r="B725" s="154" t="s">
        <v>9705</v>
      </c>
      <c r="C725" s="154" t="s">
        <v>4743</v>
      </c>
      <c r="D725" s="154" t="s">
        <v>7121</v>
      </c>
      <c r="E725" s="154" t="s">
        <v>9950</v>
      </c>
      <c r="F725" s="154" t="s">
        <v>9951</v>
      </c>
      <c r="G725" s="154" t="s">
        <v>9952</v>
      </c>
      <c r="H725" s="154" t="s">
        <v>9953</v>
      </c>
      <c r="I725" s="154" t="s">
        <v>7123</v>
      </c>
    </row>
    <row r="726" customFormat="false" ht="126" hidden="false" customHeight="true" outlineLevel="0" collapsed="false">
      <c r="A726" s="154" t="s">
        <v>6828</v>
      </c>
      <c r="B726" s="154" t="s">
        <v>9705</v>
      </c>
      <c r="C726" s="154" t="s">
        <v>4743</v>
      </c>
      <c r="D726" s="154" t="s">
        <v>7121</v>
      </c>
      <c r="E726" s="154" t="s">
        <v>9954</v>
      </c>
      <c r="F726" s="154" t="s">
        <v>9955</v>
      </c>
      <c r="G726" s="154" t="s">
        <v>9956</v>
      </c>
      <c r="H726" s="154" t="s">
        <v>9957</v>
      </c>
      <c r="I726" s="154" t="s">
        <v>7123</v>
      </c>
    </row>
    <row r="727" customFormat="false" ht="140" hidden="false" customHeight="true" outlineLevel="0" collapsed="false">
      <c r="A727" s="154" t="s">
        <v>6828</v>
      </c>
      <c r="B727" s="154" t="s">
        <v>9705</v>
      </c>
      <c r="C727" s="154" t="s">
        <v>4743</v>
      </c>
      <c r="D727" s="154" t="s">
        <v>7121</v>
      </c>
      <c r="E727" s="154" t="s">
        <v>9958</v>
      </c>
      <c r="F727" s="154" t="s">
        <v>9959</v>
      </c>
      <c r="G727" s="154" t="s">
        <v>9960</v>
      </c>
      <c r="H727" s="154" t="s">
        <v>9961</v>
      </c>
      <c r="I727" s="154" t="s">
        <v>7123</v>
      </c>
    </row>
    <row r="728" customFormat="false" ht="126" hidden="false" customHeight="true" outlineLevel="0" collapsed="false">
      <c r="A728" s="154" t="s">
        <v>6828</v>
      </c>
      <c r="B728" s="154" t="s">
        <v>9705</v>
      </c>
      <c r="C728" s="154" t="s">
        <v>4743</v>
      </c>
      <c r="D728" s="154" t="s">
        <v>7121</v>
      </c>
      <c r="E728" s="154" t="s">
        <v>9962</v>
      </c>
      <c r="F728" s="154" t="s">
        <v>9963</v>
      </c>
      <c r="G728" s="154" t="s">
        <v>9964</v>
      </c>
      <c r="H728" s="154" t="s">
        <v>9965</v>
      </c>
      <c r="I728" s="154" t="s">
        <v>7123</v>
      </c>
    </row>
    <row r="729" customFormat="false" ht="126" hidden="false" customHeight="true" outlineLevel="0" collapsed="false">
      <c r="A729" s="154" t="s">
        <v>6828</v>
      </c>
      <c r="B729" s="154" t="s">
        <v>9705</v>
      </c>
      <c r="C729" s="154" t="s">
        <v>4743</v>
      </c>
      <c r="D729" s="154" t="s">
        <v>7121</v>
      </c>
      <c r="E729" s="154" t="s">
        <v>9966</v>
      </c>
      <c r="F729" s="154" t="s">
        <v>9967</v>
      </c>
      <c r="G729" s="154" t="s">
        <v>9968</v>
      </c>
      <c r="H729" s="154" t="s">
        <v>9969</v>
      </c>
      <c r="I729" s="154" t="s">
        <v>7123</v>
      </c>
    </row>
    <row r="730" customFormat="false" ht="140" hidden="false" customHeight="true" outlineLevel="0" collapsed="false">
      <c r="A730" s="154" t="s">
        <v>6828</v>
      </c>
      <c r="B730" s="154" t="s">
        <v>9705</v>
      </c>
      <c r="C730" s="154" t="s">
        <v>4743</v>
      </c>
      <c r="D730" s="154" t="s">
        <v>7121</v>
      </c>
      <c r="E730" s="154" t="s">
        <v>9970</v>
      </c>
      <c r="F730" s="154" t="s">
        <v>9971</v>
      </c>
      <c r="G730" s="154" t="s">
        <v>9972</v>
      </c>
      <c r="H730" s="154" t="s">
        <v>9973</v>
      </c>
      <c r="I730" s="154" t="s">
        <v>7123</v>
      </c>
    </row>
    <row r="731" customFormat="false" ht="140" hidden="false" customHeight="true" outlineLevel="0" collapsed="false">
      <c r="A731" s="154" t="s">
        <v>6828</v>
      </c>
      <c r="B731" s="154" t="s">
        <v>9705</v>
      </c>
      <c r="C731" s="154" t="s">
        <v>4743</v>
      </c>
      <c r="D731" s="154" t="s">
        <v>7121</v>
      </c>
      <c r="E731" s="154" t="s">
        <v>9974</v>
      </c>
      <c r="F731" s="154" t="s">
        <v>9975</v>
      </c>
      <c r="G731" s="154" t="s">
        <v>9976</v>
      </c>
      <c r="H731" s="154" t="s">
        <v>9977</v>
      </c>
      <c r="I731" s="154" t="s">
        <v>7123</v>
      </c>
    </row>
    <row r="732" customFormat="false" ht="140" hidden="false" customHeight="true" outlineLevel="0" collapsed="false">
      <c r="A732" s="154" t="s">
        <v>6828</v>
      </c>
      <c r="B732" s="154" t="s">
        <v>9705</v>
      </c>
      <c r="C732" s="154" t="s">
        <v>4743</v>
      </c>
      <c r="D732" s="154" t="s">
        <v>7121</v>
      </c>
      <c r="E732" s="154" t="s">
        <v>9978</v>
      </c>
      <c r="F732" s="154" t="s">
        <v>9979</v>
      </c>
      <c r="G732" s="154" t="s">
        <v>9980</v>
      </c>
      <c r="H732" s="154" t="s">
        <v>9981</v>
      </c>
      <c r="I732" s="154" t="s">
        <v>7123</v>
      </c>
    </row>
    <row r="733" customFormat="false" ht="238" hidden="false" customHeight="true" outlineLevel="0" collapsed="false">
      <c r="A733" s="154" t="s">
        <v>6828</v>
      </c>
      <c r="B733" s="154" t="s">
        <v>9705</v>
      </c>
      <c r="C733" s="154" t="s">
        <v>4743</v>
      </c>
      <c r="D733" s="154" t="s">
        <v>7121</v>
      </c>
      <c r="E733" s="154" t="s">
        <v>9982</v>
      </c>
      <c r="F733" s="154" t="s">
        <v>9983</v>
      </c>
      <c r="G733" s="154" t="s">
        <v>9984</v>
      </c>
      <c r="H733" s="154" t="s">
        <v>9985</v>
      </c>
      <c r="I733" s="154" t="s">
        <v>7123</v>
      </c>
    </row>
    <row r="734" customFormat="false" ht="196" hidden="false" customHeight="true" outlineLevel="0" collapsed="false">
      <c r="A734" s="154" t="s">
        <v>6846</v>
      </c>
      <c r="B734" s="154" t="s">
        <v>9705</v>
      </c>
      <c r="C734" s="154" t="s">
        <v>4743</v>
      </c>
      <c r="D734" s="154" t="s">
        <v>7121</v>
      </c>
      <c r="E734" s="154" t="s">
        <v>9986</v>
      </c>
      <c r="F734" s="154" t="s">
        <v>9987</v>
      </c>
      <c r="G734" s="154" t="s">
        <v>9988</v>
      </c>
      <c r="H734" s="154" t="s">
        <v>9989</v>
      </c>
      <c r="I734" s="154" t="s">
        <v>7123</v>
      </c>
    </row>
    <row r="735" customFormat="false" ht="210" hidden="false" customHeight="true" outlineLevel="0" collapsed="false">
      <c r="A735" s="154" t="s">
        <v>6846</v>
      </c>
      <c r="B735" s="154" t="s">
        <v>9705</v>
      </c>
      <c r="C735" s="154" t="s">
        <v>4743</v>
      </c>
      <c r="D735" s="154" t="s">
        <v>7121</v>
      </c>
      <c r="E735" s="154" t="s">
        <v>9990</v>
      </c>
      <c r="F735" s="154" t="s">
        <v>9991</v>
      </c>
      <c r="G735" s="154" t="s">
        <v>9992</v>
      </c>
      <c r="H735" s="154" t="s">
        <v>9993</v>
      </c>
      <c r="I735" s="154" t="s">
        <v>7123</v>
      </c>
    </row>
    <row r="736" customFormat="false" ht="210" hidden="false" customHeight="true" outlineLevel="0" collapsed="false">
      <c r="A736" s="154" t="s">
        <v>6846</v>
      </c>
      <c r="B736" s="154" t="s">
        <v>9705</v>
      </c>
      <c r="C736" s="154" t="s">
        <v>4743</v>
      </c>
      <c r="D736" s="154" t="s">
        <v>7121</v>
      </c>
      <c r="E736" s="154" t="s">
        <v>9994</v>
      </c>
      <c r="F736" s="154" t="s">
        <v>9995</v>
      </c>
      <c r="G736" s="154" t="s">
        <v>9996</v>
      </c>
      <c r="H736" s="154" t="s">
        <v>9997</v>
      </c>
      <c r="I736" s="154" t="s">
        <v>7123</v>
      </c>
    </row>
    <row r="737" customFormat="false" ht="224" hidden="false" customHeight="true" outlineLevel="0" collapsed="false">
      <c r="A737" s="154" t="s">
        <v>6846</v>
      </c>
      <c r="B737" s="154" t="s">
        <v>9705</v>
      </c>
      <c r="C737" s="154" t="s">
        <v>4743</v>
      </c>
      <c r="D737" s="154" t="s">
        <v>7121</v>
      </c>
      <c r="E737" s="154" t="s">
        <v>9998</v>
      </c>
      <c r="F737" s="154" t="s">
        <v>9999</v>
      </c>
      <c r="G737" s="154" t="s">
        <v>10000</v>
      </c>
      <c r="H737" s="154" t="s">
        <v>10001</v>
      </c>
      <c r="I737" s="154" t="s">
        <v>7123</v>
      </c>
    </row>
    <row r="738" customFormat="false" ht="126" hidden="false" customHeight="true" outlineLevel="0" collapsed="false">
      <c r="A738" s="154" t="s">
        <v>6866</v>
      </c>
      <c r="B738" s="154" t="s">
        <v>9705</v>
      </c>
      <c r="C738" s="154" t="s">
        <v>4743</v>
      </c>
      <c r="D738" s="154" t="s">
        <v>7121</v>
      </c>
      <c r="E738" s="154" t="s">
        <v>10002</v>
      </c>
      <c r="F738" s="154" t="s">
        <v>10003</v>
      </c>
      <c r="G738" s="154" t="s">
        <v>10004</v>
      </c>
      <c r="H738" s="154" t="s">
        <v>10005</v>
      </c>
      <c r="I738" s="154" t="s">
        <v>7123</v>
      </c>
    </row>
    <row r="739" customFormat="false" ht="238" hidden="false" customHeight="true" outlineLevel="0" collapsed="false">
      <c r="A739" s="154" t="s">
        <v>6866</v>
      </c>
      <c r="B739" s="154" t="s">
        <v>9705</v>
      </c>
      <c r="C739" s="154" t="s">
        <v>4743</v>
      </c>
      <c r="D739" s="154" t="s">
        <v>7121</v>
      </c>
      <c r="E739" s="154" t="s">
        <v>10006</v>
      </c>
      <c r="F739" s="154" t="s">
        <v>10007</v>
      </c>
      <c r="G739" s="154" t="s">
        <v>10008</v>
      </c>
      <c r="H739" s="154" t="s">
        <v>10009</v>
      </c>
      <c r="I739" s="154" t="s">
        <v>7123</v>
      </c>
    </row>
    <row r="740" customFormat="false" ht="140" hidden="false" customHeight="true" outlineLevel="0" collapsed="false">
      <c r="A740" s="154" t="s">
        <v>6885</v>
      </c>
      <c r="B740" s="154" t="s">
        <v>9705</v>
      </c>
      <c r="C740" s="154" t="s">
        <v>4743</v>
      </c>
      <c r="D740" s="154" t="s">
        <v>7121</v>
      </c>
      <c r="E740" s="154" t="s">
        <v>10010</v>
      </c>
      <c r="F740" s="154" t="s">
        <v>10011</v>
      </c>
      <c r="G740" s="154" t="s">
        <v>10012</v>
      </c>
      <c r="H740" s="154" t="s">
        <v>10013</v>
      </c>
      <c r="I740" s="154" t="s">
        <v>7123</v>
      </c>
    </row>
    <row r="741" customFormat="false" ht="112" hidden="false" customHeight="true" outlineLevel="0" collapsed="false">
      <c r="A741" s="154" t="s">
        <v>6885</v>
      </c>
      <c r="B741" s="154" t="s">
        <v>9705</v>
      </c>
      <c r="C741" s="154" t="s">
        <v>4743</v>
      </c>
      <c r="D741" s="154" t="s">
        <v>7121</v>
      </c>
      <c r="E741" s="154" t="s">
        <v>10014</v>
      </c>
      <c r="F741" s="154" t="s">
        <v>10015</v>
      </c>
      <c r="G741" s="154" t="s">
        <v>10016</v>
      </c>
      <c r="H741" s="154" t="s">
        <v>10017</v>
      </c>
      <c r="I741" s="154" t="s">
        <v>7123</v>
      </c>
    </row>
    <row r="742" customFormat="false" ht="126" hidden="false" customHeight="true" outlineLevel="0" collapsed="false">
      <c r="A742" s="154" t="s">
        <v>6885</v>
      </c>
      <c r="B742" s="154" t="s">
        <v>9705</v>
      </c>
      <c r="C742" s="154" t="s">
        <v>4743</v>
      </c>
      <c r="D742" s="154" t="s">
        <v>7121</v>
      </c>
      <c r="E742" s="154" t="s">
        <v>10018</v>
      </c>
      <c r="F742" s="154" t="s">
        <v>10019</v>
      </c>
      <c r="G742" s="154" t="s">
        <v>10020</v>
      </c>
      <c r="H742" s="154" t="s">
        <v>10021</v>
      </c>
      <c r="I742" s="154" t="s">
        <v>7123</v>
      </c>
    </row>
    <row r="743" customFormat="false" ht="126" hidden="false" customHeight="true" outlineLevel="0" collapsed="false">
      <c r="A743" s="154" t="s">
        <v>6885</v>
      </c>
      <c r="B743" s="154" t="s">
        <v>9705</v>
      </c>
      <c r="C743" s="154" t="s">
        <v>4743</v>
      </c>
      <c r="D743" s="154" t="s">
        <v>7121</v>
      </c>
      <c r="E743" s="154" t="s">
        <v>10022</v>
      </c>
      <c r="F743" s="154" t="s">
        <v>10023</v>
      </c>
      <c r="G743" s="154" t="s">
        <v>10024</v>
      </c>
      <c r="H743" s="154" t="s">
        <v>10025</v>
      </c>
      <c r="I743" s="154" t="s">
        <v>7123</v>
      </c>
    </row>
    <row r="744" customFormat="false" ht="154" hidden="false" customHeight="true" outlineLevel="0" collapsed="false">
      <c r="A744" s="154" t="s">
        <v>6885</v>
      </c>
      <c r="B744" s="154" t="s">
        <v>9705</v>
      </c>
      <c r="C744" s="154" t="s">
        <v>4743</v>
      </c>
      <c r="D744" s="154" t="s">
        <v>7121</v>
      </c>
      <c r="E744" s="154" t="s">
        <v>10026</v>
      </c>
      <c r="F744" s="154" t="s">
        <v>10027</v>
      </c>
      <c r="G744" s="154" t="s">
        <v>10028</v>
      </c>
      <c r="H744" s="154" t="s">
        <v>10029</v>
      </c>
      <c r="I744" s="154" t="s">
        <v>7123</v>
      </c>
    </row>
    <row r="745" customFormat="false" ht="154" hidden="false" customHeight="true" outlineLevel="0" collapsed="false">
      <c r="A745" s="154" t="s">
        <v>6885</v>
      </c>
      <c r="B745" s="154" t="s">
        <v>9705</v>
      </c>
      <c r="C745" s="154" t="s">
        <v>4743</v>
      </c>
      <c r="D745" s="154" t="s">
        <v>7121</v>
      </c>
      <c r="E745" s="154" t="s">
        <v>10030</v>
      </c>
      <c r="F745" s="154" t="s">
        <v>10031</v>
      </c>
      <c r="G745" s="154" t="s">
        <v>10032</v>
      </c>
      <c r="H745" s="154" t="s">
        <v>10033</v>
      </c>
      <c r="I745" s="154" t="s">
        <v>7123</v>
      </c>
    </row>
    <row r="746" customFormat="false" ht="126" hidden="false" customHeight="true" outlineLevel="0" collapsed="false">
      <c r="A746" s="154" t="s">
        <v>6885</v>
      </c>
      <c r="B746" s="154" t="s">
        <v>9705</v>
      </c>
      <c r="C746" s="154" t="s">
        <v>4743</v>
      </c>
      <c r="D746" s="154" t="s">
        <v>7121</v>
      </c>
      <c r="E746" s="154" t="s">
        <v>10034</v>
      </c>
      <c r="F746" s="154" t="s">
        <v>10035</v>
      </c>
      <c r="G746" s="154" t="s">
        <v>10036</v>
      </c>
      <c r="H746" s="154" t="s">
        <v>10037</v>
      </c>
      <c r="I746" s="154" t="s">
        <v>7123</v>
      </c>
    </row>
    <row r="747" customFormat="false" ht="140" hidden="false" customHeight="true" outlineLevel="0" collapsed="false">
      <c r="A747" s="154" t="s">
        <v>6885</v>
      </c>
      <c r="B747" s="154" t="s">
        <v>9705</v>
      </c>
      <c r="C747" s="154" t="s">
        <v>4743</v>
      </c>
      <c r="D747" s="154" t="s">
        <v>7121</v>
      </c>
      <c r="E747" s="154" t="s">
        <v>10038</v>
      </c>
      <c r="F747" s="154" t="s">
        <v>10039</v>
      </c>
      <c r="G747" s="154" t="s">
        <v>10040</v>
      </c>
      <c r="H747" s="154" t="s">
        <v>10041</v>
      </c>
      <c r="I747" s="154" t="s">
        <v>7123</v>
      </c>
    </row>
    <row r="748" customFormat="false" ht="112" hidden="false" customHeight="true" outlineLevel="0" collapsed="false">
      <c r="A748" s="154" t="s">
        <v>6885</v>
      </c>
      <c r="B748" s="154" t="s">
        <v>9705</v>
      </c>
      <c r="C748" s="154" t="s">
        <v>4743</v>
      </c>
      <c r="D748" s="154" t="s">
        <v>7121</v>
      </c>
      <c r="E748" s="154" t="s">
        <v>10042</v>
      </c>
      <c r="F748" s="154" t="s">
        <v>10043</v>
      </c>
      <c r="G748" s="154" t="s">
        <v>10044</v>
      </c>
      <c r="H748" s="154" t="s">
        <v>10045</v>
      </c>
      <c r="I748" s="154" t="s">
        <v>7123</v>
      </c>
    </row>
    <row r="749" customFormat="false" ht="154" hidden="false" customHeight="true" outlineLevel="0" collapsed="false">
      <c r="A749" s="154" t="s">
        <v>6885</v>
      </c>
      <c r="B749" s="154" t="s">
        <v>9705</v>
      </c>
      <c r="C749" s="154" t="s">
        <v>4743</v>
      </c>
      <c r="D749" s="154" t="s">
        <v>7121</v>
      </c>
      <c r="E749" s="154" t="s">
        <v>10046</v>
      </c>
      <c r="F749" s="154" t="s">
        <v>10047</v>
      </c>
      <c r="G749" s="154" t="s">
        <v>10048</v>
      </c>
      <c r="H749" s="154" t="s">
        <v>10049</v>
      </c>
      <c r="I749" s="154" t="s">
        <v>7123</v>
      </c>
    </row>
    <row r="750" customFormat="false" ht="126" hidden="false" customHeight="true" outlineLevel="0" collapsed="false">
      <c r="A750" s="154" t="s">
        <v>6885</v>
      </c>
      <c r="B750" s="154" t="s">
        <v>9705</v>
      </c>
      <c r="C750" s="154" t="s">
        <v>4743</v>
      </c>
      <c r="D750" s="154" t="s">
        <v>7121</v>
      </c>
      <c r="E750" s="154" t="s">
        <v>10050</v>
      </c>
      <c r="F750" s="154" t="s">
        <v>10051</v>
      </c>
      <c r="G750" s="154" t="s">
        <v>10052</v>
      </c>
      <c r="H750" s="154" t="s">
        <v>10053</v>
      </c>
      <c r="I750" s="154" t="s">
        <v>7123</v>
      </c>
    </row>
    <row r="751" customFormat="false" ht="126" hidden="false" customHeight="true" outlineLevel="0" collapsed="false">
      <c r="A751" s="154" t="s">
        <v>6885</v>
      </c>
      <c r="B751" s="154" t="s">
        <v>9705</v>
      </c>
      <c r="C751" s="154" t="s">
        <v>4743</v>
      </c>
      <c r="D751" s="154" t="s">
        <v>7121</v>
      </c>
      <c r="E751" s="154" t="s">
        <v>10054</v>
      </c>
      <c r="F751" s="154" t="s">
        <v>10055</v>
      </c>
      <c r="G751" s="154" t="s">
        <v>10056</v>
      </c>
      <c r="H751" s="154" t="s">
        <v>10057</v>
      </c>
      <c r="I751" s="154" t="s">
        <v>7123</v>
      </c>
    </row>
    <row r="752" customFormat="false" ht="154" hidden="false" customHeight="true" outlineLevel="0" collapsed="false">
      <c r="A752" s="154" t="s">
        <v>6885</v>
      </c>
      <c r="B752" s="154" t="s">
        <v>9705</v>
      </c>
      <c r="C752" s="154" t="s">
        <v>4743</v>
      </c>
      <c r="D752" s="154" t="s">
        <v>7121</v>
      </c>
      <c r="E752" s="154" t="s">
        <v>10058</v>
      </c>
      <c r="F752" s="154" t="s">
        <v>10059</v>
      </c>
      <c r="G752" s="154" t="s">
        <v>10060</v>
      </c>
      <c r="H752" s="154" t="s">
        <v>10061</v>
      </c>
      <c r="I752" s="154" t="s">
        <v>7123</v>
      </c>
    </row>
    <row r="753" customFormat="false" ht="154" hidden="false" customHeight="true" outlineLevel="0" collapsed="false">
      <c r="A753" s="154" t="s">
        <v>6885</v>
      </c>
      <c r="B753" s="154" t="s">
        <v>9705</v>
      </c>
      <c r="C753" s="154" t="s">
        <v>4743</v>
      </c>
      <c r="D753" s="154" t="s">
        <v>7121</v>
      </c>
      <c r="E753" s="154" t="s">
        <v>10062</v>
      </c>
      <c r="F753" s="154" t="s">
        <v>10063</v>
      </c>
      <c r="G753" s="154" t="s">
        <v>10064</v>
      </c>
      <c r="H753" s="154" t="s">
        <v>10065</v>
      </c>
      <c r="I753" s="154" t="s">
        <v>7123</v>
      </c>
    </row>
    <row r="754" customFormat="false" ht="126" hidden="false" customHeight="true" outlineLevel="0" collapsed="false">
      <c r="A754" s="154" t="s">
        <v>6885</v>
      </c>
      <c r="B754" s="154" t="s">
        <v>9705</v>
      </c>
      <c r="C754" s="154" t="s">
        <v>4743</v>
      </c>
      <c r="D754" s="154" t="s">
        <v>7121</v>
      </c>
      <c r="E754" s="154" t="s">
        <v>10066</v>
      </c>
      <c r="F754" s="154" t="s">
        <v>10067</v>
      </c>
      <c r="G754" s="154" t="s">
        <v>10068</v>
      </c>
      <c r="H754" s="154" t="s">
        <v>10069</v>
      </c>
      <c r="I754" s="154" t="s">
        <v>7123</v>
      </c>
    </row>
    <row r="755" customFormat="false" ht="140" hidden="false" customHeight="true" outlineLevel="0" collapsed="false">
      <c r="A755" s="154" t="s">
        <v>6885</v>
      </c>
      <c r="B755" s="154" t="s">
        <v>9705</v>
      </c>
      <c r="C755" s="154" t="s">
        <v>4743</v>
      </c>
      <c r="D755" s="154" t="s">
        <v>7121</v>
      </c>
      <c r="E755" s="154" t="s">
        <v>10070</v>
      </c>
      <c r="F755" s="154" t="s">
        <v>10071</v>
      </c>
      <c r="G755" s="154" t="s">
        <v>10072</v>
      </c>
      <c r="H755" s="154" t="s">
        <v>10073</v>
      </c>
      <c r="I755" s="154" t="s">
        <v>7123</v>
      </c>
    </row>
    <row r="756" customFormat="false" ht="140" hidden="false" customHeight="true" outlineLevel="0" collapsed="false">
      <c r="A756" s="154" t="s">
        <v>6885</v>
      </c>
      <c r="B756" s="154" t="s">
        <v>9705</v>
      </c>
      <c r="C756" s="154" t="s">
        <v>4743</v>
      </c>
      <c r="D756" s="154" t="s">
        <v>7121</v>
      </c>
      <c r="E756" s="154" t="s">
        <v>10074</v>
      </c>
      <c r="F756" s="154" t="s">
        <v>10075</v>
      </c>
      <c r="G756" s="154" t="s">
        <v>10076</v>
      </c>
      <c r="H756" s="154" t="s">
        <v>10077</v>
      </c>
      <c r="I756" s="154" t="s">
        <v>7123</v>
      </c>
    </row>
    <row r="757" customFormat="false" ht="126" hidden="false" customHeight="true" outlineLevel="0" collapsed="false">
      <c r="A757" s="154" t="s">
        <v>6885</v>
      </c>
      <c r="B757" s="154" t="s">
        <v>9705</v>
      </c>
      <c r="C757" s="154" t="s">
        <v>4743</v>
      </c>
      <c r="D757" s="154" t="s">
        <v>7121</v>
      </c>
      <c r="E757" s="154" t="s">
        <v>10078</v>
      </c>
      <c r="F757" s="154" t="s">
        <v>10079</v>
      </c>
      <c r="G757" s="154" t="s">
        <v>10080</v>
      </c>
      <c r="H757" s="154" t="s">
        <v>10081</v>
      </c>
      <c r="I757" s="154" t="s">
        <v>7123</v>
      </c>
    </row>
    <row r="758" customFormat="false" ht="126" hidden="false" customHeight="true" outlineLevel="0" collapsed="false">
      <c r="A758" s="154" t="s">
        <v>6885</v>
      </c>
      <c r="B758" s="154" t="s">
        <v>9705</v>
      </c>
      <c r="C758" s="154" t="s">
        <v>4743</v>
      </c>
      <c r="D758" s="154" t="s">
        <v>7121</v>
      </c>
      <c r="E758" s="154" t="s">
        <v>10082</v>
      </c>
      <c r="F758" s="154" t="s">
        <v>10083</v>
      </c>
      <c r="G758" s="154" t="s">
        <v>10084</v>
      </c>
      <c r="H758" s="154" t="s">
        <v>10085</v>
      </c>
      <c r="I758" s="154" t="s">
        <v>7123</v>
      </c>
    </row>
    <row r="759" customFormat="false" ht="140" hidden="false" customHeight="true" outlineLevel="0" collapsed="false">
      <c r="A759" s="154" t="s">
        <v>6885</v>
      </c>
      <c r="B759" s="154" t="s">
        <v>9705</v>
      </c>
      <c r="C759" s="154" t="s">
        <v>4743</v>
      </c>
      <c r="D759" s="154" t="s">
        <v>7121</v>
      </c>
      <c r="E759" s="154" t="s">
        <v>10086</v>
      </c>
      <c r="F759" s="154" t="s">
        <v>10087</v>
      </c>
      <c r="G759" s="154" t="s">
        <v>10088</v>
      </c>
      <c r="H759" s="154" t="s">
        <v>10089</v>
      </c>
      <c r="I759" s="154" t="s">
        <v>7123</v>
      </c>
    </row>
    <row r="760" customFormat="false" ht="126" hidden="false" customHeight="true" outlineLevel="0" collapsed="false">
      <c r="A760" s="154" t="s">
        <v>6885</v>
      </c>
      <c r="B760" s="154" t="s">
        <v>9705</v>
      </c>
      <c r="C760" s="154" t="s">
        <v>4743</v>
      </c>
      <c r="D760" s="154" t="s">
        <v>7121</v>
      </c>
      <c r="E760" s="154" t="s">
        <v>10090</v>
      </c>
      <c r="F760" s="154" t="s">
        <v>10091</v>
      </c>
      <c r="G760" s="154" t="s">
        <v>10092</v>
      </c>
      <c r="H760" s="154" t="s">
        <v>10093</v>
      </c>
      <c r="I760" s="154" t="s">
        <v>7123</v>
      </c>
    </row>
    <row r="761" customFormat="false" ht="140" hidden="false" customHeight="true" outlineLevel="0" collapsed="false">
      <c r="A761" s="154" t="s">
        <v>6885</v>
      </c>
      <c r="B761" s="154" t="s">
        <v>9705</v>
      </c>
      <c r="C761" s="154" t="s">
        <v>4743</v>
      </c>
      <c r="D761" s="154" t="s">
        <v>7121</v>
      </c>
      <c r="E761" s="154" t="s">
        <v>10094</v>
      </c>
      <c r="F761" s="154" t="s">
        <v>10095</v>
      </c>
      <c r="G761" s="154" t="s">
        <v>10096</v>
      </c>
      <c r="H761" s="154" t="s">
        <v>10097</v>
      </c>
      <c r="I761" s="154" t="s">
        <v>7123</v>
      </c>
    </row>
    <row r="762" customFormat="false" ht="224" hidden="false" customHeight="true" outlineLevel="0" collapsed="false">
      <c r="A762" s="154" t="s">
        <v>6885</v>
      </c>
      <c r="B762" s="154" t="s">
        <v>9705</v>
      </c>
      <c r="C762" s="154" t="s">
        <v>4743</v>
      </c>
      <c r="D762" s="154" t="s">
        <v>7121</v>
      </c>
      <c r="E762" s="154" t="s">
        <v>10098</v>
      </c>
      <c r="F762" s="154" t="s">
        <v>10099</v>
      </c>
      <c r="G762" s="154" t="s">
        <v>10100</v>
      </c>
      <c r="H762" s="154" t="s">
        <v>10101</v>
      </c>
      <c r="I762" s="154" t="s">
        <v>7123</v>
      </c>
    </row>
    <row r="763" customFormat="false" ht="238" hidden="false" customHeight="true" outlineLevel="0" collapsed="false">
      <c r="A763" s="154" t="s">
        <v>6904</v>
      </c>
      <c r="B763" s="154" t="s">
        <v>9705</v>
      </c>
      <c r="C763" s="154" t="s">
        <v>4743</v>
      </c>
      <c r="D763" s="154" t="s">
        <v>7121</v>
      </c>
      <c r="E763" s="154" t="s">
        <v>10102</v>
      </c>
      <c r="F763" s="154" t="s">
        <v>10103</v>
      </c>
      <c r="G763" s="154" t="s">
        <v>10104</v>
      </c>
      <c r="H763" s="154" t="s">
        <v>10105</v>
      </c>
      <c r="I763" s="154" t="s">
        <v>7123</v>
      </c>
    </row>
    <row r="764" customFormat="false" ht="140" hidden="false" customHeight="true" outlineLevel="0" collapsed="false">
      <c r="A764" s="154" t="s">
        <v>6923</v>
      </c>
      <c r="B764" s="154" t="s">
        <v>9705</v>
      </c>
      <c r="C764" s="154" t="s">
        <v>4743</v>
      </c>
      <c r="D764" s="154" t="s">
        <v>7121</v>
      </c>
      <c r="E764" s="154" t="s">
        <v>10106</v>
      </c>
      <c r="F764" s="154" t="s">
        <v>10107</v>
      </c>
      <c r="G764" s="154" t="s">
        <v>10108</v>
      </c>
      <c r="H764" s="154" t="s">
        <v>10109</v>
      </c>
      <c r="I764" s="154" t="s">
        <v>7123</v>
      </c>
    </row>
    <row r="765" customFormat="false" ht="182" hidden="false" customHeight="true" outlineLevel="0" collapsed="false">
      <c r="A765" s="154" t="s">
        <v>6923</v>
      </c>
      <c r="B765" s="154" t="s">
        <v>9705</v>
      </c>
      <c r="C765" s="154" t="s">
        <v>4743</v>
      </c>
      <c r="D765" s="154" t="s">
        <v>7121</v>
      </c>
      <c r="E765" s="154" t="s">
        <v>10110</v>
      </c>
      <c r="F765" s="154" t="s">
        <v>10111</v>
      </c>
      <c r="G765" s="154" t="s">
        <v>10112</v>
      </c>
      <c r="H765" s="154" t="s">
        <v>10113</v>
      </c>
      <c r="I765" s="154" t="s">
        <v>7123</v>
      </c>
    </row>
    <row r="766" customFormat="false" ht="140" hidden="false" customHeight="true" outlineLevel="0" collapsed="false">
      <c r="A766" s="154" t="s">
        <v>6923</v>
      </c>
      <c r="B766" s="154" t="s">
        <v>9705</v>
      </c>
      <c r="C766" s="154" t="s">
        <v>4743</v>
      </c>
      <c r="D766" s="154" t="s">
        <v>7121</v>
      </c>
      <c r="E766" s="154" t="s">
        <v>10114</v>
      </c>
      <c r="F766" s="154" t="s">
        <v>10115</v>
      </c>
      <c r="G766" s="154" t="s">
        <v>10116</v>
      </c>
      <c r="H766" s="154" t="s">
        <v>10117</v>
      </c>
      <c r="I766" s="154" t="s">
        <v>7123</v>
      </c>
    </row>
    <row r="767" customFormat="false" ht="140" hidden="false" customHeight="true" outlineLevel="0" collapsed="false">
      <c r="A767" s="154" t="s">
        <v>6923</v>
      </c>
      <c r="B767" s="154" t="s">
        <v>9705</v>
      </c>
      <c r="C767" s="154" t="s">
        <v>4743</v>
      </c>
      <c r="D767" s="154" t="s">
        <v>7121</v>
      </c>
      <c r="E767" s="154" t="s">
        <v>10118</v>
      </c>
      <c r="F767" s="154" t="s">
        <v>10119</v>
      </c>
      <c r="G767" s="154" t="s">
        <v>10120</v>
      </c>
      <c r="H767" s="154" t="s">
        <v>10121</v>
      </c>
      <c r="I767" s="154" t="s">
        <v>7123</v>
      </c>
    </row>
    <row r="768" customFormat="false" ht="126" hidden="false" customHeight="true" outlineLevel="0" collapsed="false">
      <c r="A768" s="154" t="s">
        <v>6923</v>
      </c>
      <c r="B768" s="154" t="s">
        <v>9705</v>
      </c>
      <c r="C768" s="154" t="s">
        <v>4743</v>
      </c>
      <c r="D768" s="154" t="s">
        <v>7121</v>
      </c>
      <c r="E768" s="154" t="s">
        <v>10122</v>
      </c>
      <c r="F768" s="154" t="s">
        <v>10123</v>
      </c>
      <c r="G768" s="154" t="s">
        <v>10124</v>
      </c>
      <c r="H768" s="154" t="s">
        <v>10125</v>
      </c>
      <c r="I768" s="154" t="s">
        <v>7123</v>
      </c>
    </row>
    <row r="769" customFormat="false" ht="182" hidden="false" customHeight="true" outlineLevel="0" collapsed="false">
      <c r="A769" s="154" t="s">
        <v>6923</v>
      </c>
      <c r="B769" s="154" t="s">
        <v>9705</v>
      </c>
      <c r="C769" s="154" t="s">
        <v>4743</v>
      </c>
      <c r="D769" s="154" t="s">
        <v>7121</v>
      </c>
      <c r="E769" s="154" t="s">
        <v>10126</v>
      </c>
      <c r="F769" s="154" t="s">
        <v>10127</v>
      </c>
      <c r="G769" s="154" t="s">
        <v>10128</v>
      </c>
      <c r="H769" s="154" t="s">
        <v>10129</v>
      </c>
      <c r="I769" s="154" t="s">
        <v>7123</v>
      </c>
    </row>
    <row r="770" customFormat="false" ht="126" hidden="false" customHeight="true" outlineLevel="0" collapsed="false">
      <c r="A770" s="154" t="s">
        <v>6923</v>
      </c>
      <c r="B770" s="154" t="s">
        <v>9705</v>
      </c>
      <c r="C770" s="154" t="s">
        <v>4743</v>
      </c>
      <c r="D770" s="154" t="s">
        <v>7121</v>
      </c>
      <c r="E770" s="154" t="s">
        <v>10130</v>
      </c>
      <c r="F770" s="154" t="s">
        <v>10131</v>
      </c>
      <c r="G770" s="154" t="s">
        <v>10132</v>
      </c>
      <c r="H770" s="154" t="s">
        <v>10133</v>
      </c>
      <c r="I770" s="154" t="s">
        <v>7123</v>
      </c>
    </row>
    <row r="771" customFormat="false" ht="126" hidden="false" customHeight="true" outlineLevel="0" collapsed="false">
      <c r="A771" s="154" t="s">
        <v>6923</v>
      </c>
      <c r="B771" s="154" t="s">
        <v>9705</v>
      </c>
      <c r="C771" s="154" t="s">
        <v>4743</v>
      </c>
      <c r="D771" s="154" t="s">
        <v>7121</v>
      </c>
      <c r="E771" s="154" t="s">
        <v>10134</v>
      </c>
      <c r="F771" s="154" t="s">
        <v>10135</v>
      </c>
      <c r="G771" s="154" t="s">
        <v>10136</v>
      </c>
      <c r="H771" s="154" t="s">
        <v>10137</v>
      </c>
      <c r="I771" s="154" t="s">
        <v>7123</v>
      </c>
    </row>
    <row r="772" customFormat="false" ht="280" hidden="false" customHeight="true" outlineLevel="0" collapsed="false">
      <c r="A772" s="154" t="s">
        <v>6923</v>
      </c>
      <c r="B772" s="154" t="s">
        <v>9705</v>
      </c>
      <c r="C772" s="154" t="s">
        <v>4743</v>
      </c>
      <c r="D772" s="154" t="s">
        <v>7121</v>
      </c>
      <c r="E772" s="154" t="s">
        <v>10138</v>
      </c>
      <c r="F772" s="154" t="s">
        <v>10139</v>
      </c>
      <c r="G772" s="154" t="s">
        <v>10140</v>
      </c>
      <c r="H772" s="154" t="s">
        <v>10141</v>
      </c>
      <c r="I772" s="154" t="s">
        <v>7123</v>
      </c>
    </row>
    <row r="773" customFormat="false" ht="168" hidden="false" customHeight="true" outlineLevel="0" collapsed="false">
      <c r="A773" s="154" t="s">
        <v>6941</v>
      </c>
      <c r="B773" s="154" t="s">
        <v>9705</v>
      </c>
      <c r="C773" s="154" t="s">
        <v>4743</v>
      </c>
      <c r="D773" s="154" t="s">
        <v>7121</v>
      </c>
      <c r="E773" s="154" t="s">
        <v>10142</v>
      </c>
      <c r="F773" s="154" t="s">
        <v>10143</v>
      </c>
      <c r="G773" s="154" t="s">
        <v>10144</v>
      </c>
      <c r="H773" s="154" t="s">
        <v>10145</v>
      </c>
      <c r="I773" s="154" t="s">
        <v>7123</v>
      </c>
    </row>
    <row r="774" customFormat="false" ht="168" hidden="false" customHeight="true" outlineLevel="0" collapsed="false">
      <c r="A774" s="154" t="s">
        <v>6941</v>
      </c>
      <c r="B774" s="154" t="s">
        <v>9705</v>
      </c>
      <c r="C774" s="154" t="s">
        <v>4743</v>
      </c>
      <c r="D774" s="154" t="s">
        <v>7121</v>
      </c>
      <c r="E774" s="154" t="s">
        <v>10146</v>
      </c>
      <c r="F774" s="154" t="s">
        <v>10147</v>
      </c>
      <c r="G774" s="154" t="s">
        <v>10148</v>
      </c>
      <c r="H774" s="154" t="s">
        <v>10149</v>
      </c>
      <c r="I774" s="154" t="s">
        <v>7123</v>
      </c>
    </row>
    <row r="775" customFormat="false" ht="126" hidden="false" customHeight="true" outlineLevel="0" collapsed="false">
      <c r="A775" s="154" t="s">
        <v>6941</v>
      </c>
      <c r="B775" s="154" t="s">
        <v>9705</v>
      </c>
      <c r="C775" s="154" t="s">
        <v>4743</v>
      </c>
      <c r="D775" s="154" t="s">
        <v>7121</v>
      </c>
      <c r="E775" s="154" t="s">
        <v>10150</v>
      </c>
      <c r="F775" s="154" t="s">
        <v>10151</v>
      </c>
      <c r="G775" s="154" t="s">
        <v>10152</v>
      </c>
      <c r="H775" s="154" t="s">
        <v>10153</v>
      </c>
      <c r="I775" s="154" t="s">
        <v>7123</v>
      </c>
    </row>
    <row r="776" customFormat="false" ht="266" hidden="false" customHeight="true" outlineLevel="0" collapsed="false">
      <c r="A776" s="154" t="s">
        <v>6941</v>
      </c>
      <c r="B776" s="154" t="s">
        <v>9705</v>
      </c>
      <c r="C776" s="154" t="s">
        <v>4743</v>
      </c>
      <c r="D776" s="154" t="s">
        <v>7121</v>
      </c>
      <c r="E776" s="154" t="s">
        <v>10154</v>
      </c>
      <c r="F776" s="154" t="s">
        <v>10155</v>
      </c>
      <c r="G776" s="154" t="s">
        <v>10156</v>
      </c>
      <c r="H776" s="154" t="s">
        <v>10157</v>
      </c>
      <c r="I776" s="154" t="s">
        <v>7123</v>
      </c>
    </row>
    <row r="777" customFormat="false" ht="168" hidden="false" customHeight="true" outlineLevel="0" collapsed="false">
      <c r="A777" s="154" t="s">
        <v>6960</v>
      </c>
      <c r="B777" s="154" t="s">
        <v>9705</v>
      </c>
      <c r="C777" s="154" t="s">
        <v>4743</v>
      </c>
      <c r="D777" s="154" t="s">
        <v>7121</v>
      </c>
      <c r="E777" s="154" t="s">
        <v>10158</v>
      </c>
      <c r="F777" s="154" t="s">
        <v>10159</v>
      </c>
      <c r="G777" s="154" t="s">
        <v>10160</v>
      </c>
      <c r="H777" s="154" t="s">
        <v>10161</v>
      </c>
      <c r="I777" s="154" t="s">
        <v>7123</v>
      </c>
    </row>
    <row r="778" customFormat="false" ht="196" hidden="false" customHeight="true" outlineLevel="0" collapsed="false">
      <c r="A778" s="154" t="s">
        <v>6960</v>
      </c>
      <c r="B778" s="154" t="s">
        <v>9705</v>
      </c>
      <c r="C778" s="154" t="s">
        <v>4743</v>
      </c>
      <c r="D778" s="154" t="s">
        <v>7121</v>
      </c>
      <c r="E778" s="154" t="s">
        <v>10162</v>
      </c>
      <c r="F778" s="154" t="s">
        <v>10163</v>
      </c>
      <c r="G778" s="154" t="s">
        <v>10164</v>
      </c>
      <c r="H778" s="154" t="s">
        <v>10165</v>
      </c>
      <c r="I778" s="154" t="s">
        <v>7123</v>
      </c>
    </row>
    <row r="779" customFormat="false" ht="168" hidden="false" customHeight="true" outlineLevel="0" collapsed="false">
      <c r="A779" s="154" t="s">
        <v>6960</v>
      </c>
      <c r="B779" s="154" t="s">
        <v>9705</v>
      </c>
      <c r="C779" s="154" t="s">
        <v>4743</v>
      </c>
      <c r="D779" s="154" t="s">
        <v>7121</v>
      </c>
      <c r="E779" s="154" t="s">
        <v>10166</v>
      </c>
      <c r="F779" s="154" t="s">
        <v>10167</v>
      </c>
      <c r="G779" s="154" t="s">
        <v>10168</v>
      </c>
      <c r="H779" s="154" t="s">
        <v>10169</v>
      </c>
      <c r="I779" s="154" t="s">
        <v>7123</v>
      </c>
    </row>
    <row r="780" customFormat="false" ht="168" hidden="false" customHeight="true" outlineLevel="0" collapsed="false">
      <c r="A780" s="154" t="s">
        <v>6960</v>
      </c>
      <c r="B780" s="154" t="s">
        <v>9705</v>
      </c>
      <c r="C780" s="154" t="s">
        <v>4743</v>
      </c>
      <c r="D780" s="154" t="s">
        <v>7121</v>
      </c>
      <c r="E780" s="154" t="s">
        <v>10170</v>
      </c>
      <c r="F780" s="154" t="s">
        <v>10171</v>
      </c>
      <c r="G780" s="154" t="s">
        <v>10172</v>
      </c>
      <c r="H780" s="154" t="s">
        <v>10173</v>
      </c>
      <c r="I780" s="154" t="s">
        <v>7123</v>
      </c>
    </row>
    <row r="781" customFormat="false" ht="168" hidden="false" customHeight="true" outlineLevel="0" collapsed="false">
      <c r="A781" s="154" t="s">
        <v>6960</v>
      </c>
      <c r="B781" s="154" t="s">
        <v>9705</v>
      </c>
      <c r="C781" s="154" t="s">
        <v>4743</v>
      </c>
      <c r="D781" s="154" t="s">
        <v>7121</v>
      </c>
      <c r="E781" s="154" t="s">
        <v>10174</v>
      </c>
      <c r="F781" s="154" t="s">
        <v>10175</v>
      </c>
      <c r="G781" s="154" t="s">
        <v>10176</v>
      </c>
      <c r="H781" s="154" t="s">
        <v>10177</v>
      </c>
      <c r="I781" s="154" t="s">
        <v>7123</v>
      </c>
    </row>
    <row r="782" customFormat="false" ht="182" hidden="false" customHeight="true" outlineLevel="0" collapsed="false">
      <c r="A782" s="154" t="s">
        <v>6960</v>
      </c>
      <c r="B782" s="154" t="s">
        <v>9705</v>
      </c>
      <c r="C782" s="154" t="s">
        <v>4743</v>
      </c>
      <c r="D782" s="154" t="s">
        <v>7121</v>
      </c>
      <c r="E782" s="154" t="s">
        <v>10178</v>
      </c>
      <c r="F782" s="154" t="s">
        <v>10179</v>
      </c>
      <c r="G782" s="154" t="s">
        <v>10180</v>
      </c>
      <c r="H782" s="154" t="s">
        <v>10181</v>
      </c>
      <c r="I782" s="154" t="s">
        <v>7123</v>
      </c>
    </row>
    <row r="783" customFormat="false" ht="112" hidden="false" customHeight="true" outlineLevel="0" collapsed="false">
      <c r="A783" s="154" t="s">
        <v>6960</v>
      </c>
      <c r="B783" s="154" t="s">
        <v>9705</v>
      </c>
      <c r="C783" s="154" t="s">
        <v>4743</v>
      </c>
      <c r="D783" s="154" t="s">
        <v>7121</v>
      </c>
      <c r="E783" s="154" t="s">
        <v>10182</v>
      </c>
      <c r="F783" s="154" t="s">
        <v>10183</v>
      </c>
      <c r="G783" s="154" t="s">
        <v>10184</v>
      </c>
      <c r="H783" s="154" t="s">
        <v>10185</v>
      </c>
      <c r="I783" s="154" t="s">
        <v>7123</v>
      </c>
    </row>
    <row r="784" customFormat="false" ht="126" hidden="false" customHeight="true" outlineLevel="0" collapsed="false">
      <c r="A784" s="154" t="s">
        <v>6960</v>
      </c>
      <c r="B784" s="154" t="s">
        <v>9705</v>
      </c>
      <c r="C784" s="154" t="s">
        <v>4743</v>
      </c>
      <c r="D784" s="154" t="s">
        <v>7121</v>
      </c>
      <c r="E784" s="154" t="s">
        <v>10186</v>
      </c>
      <c r="F784" s="154" t="s">
        <v>10187</v>
      </c>
      <c r="G784" s="154" t="s">
        <v>10188</v>
      </c>
      <c r="H784" s="154" t="s">
        <v>10189</v>
      </c>
      <c r="I784" s="154" t="s">
        <v>7123</v>
      </c>
    </row>
    <row r="785" customFormat="false" ht="112" hidden="false" customHeight="true" outlineLevel="0" collapsed="false">
      <c r="A785" s="154" t="s">
        <v>6960</v>
      </c>
      <c r="B785" s="154" t="s">
        <v>9705</v>
      </c>
      <c r="C785" s="154" t="s">
        <v>4743</v>
      </c>
      <c r="D785" s="154" t="s">
        <v>7121</v>
      </c>
      <c r="E785" s="154" t="s">
        <v>10190</v>
      </c>
      <c r="F785" s="154" t="s">
        <v>10191</v>
      </c>
      <c r="G785" s="154" t="s">
        <v>10192</v>
      </c>
      <c r="H785" s="154" t="s">
        <v>10193</v>
      </c>
      <c r="I785" s="154" t="s">
        <v>7123</v>
      </c>
    </row>
    <row r="786" customFormat="false" ht="112" hidden="false" customHeight="true" outlineLevel="0" collapsed="false">
      <c r="A786" s="154" t="s">
        <v>6960</v>
      </c>
      <c r="B786" s="154" t="s">
        <v>9705</v>
      </c>
      <c r="C786" s="154" t="s">
        <v>4743</v>
      </c>
      <c r="D786" s="154" t="s">
        <v>7121</v>
      </c>
      <c r="E786" s="154" t="s">
        <v>10194</v>
      </c>
      <c r="F786" s="154" t="s">
        <v>10195</v>
      </c>
      <c r="G786" s="154" t="s">
        <v>10196</v>
      </c>
      <c r="H786" s="154" t="s">
        <v>10197</v>
      </c>
      <c r="I786" s="154" t="s">
        <v>7123</v>
      </c>
    </row>
    <row r="787" customFormat="false" ht="112" hidden="false" customHeight="true" outlineLevel="0" collapsed="false">
      <c r="A787" s="154" t="s">
        <v>6960</v>
      </c>
      <c r="B787" s="154" t="s">
        <v>9705</v>
      </c>
      <c r="C787" s="154" t="s">
        <v>4743</v>
      </c>
      <c r="D787" s="154" t="s">
        <v>7121</v>
      </c>
      <c r="E787" s="154" t="s">
        <v>10198</v>
      </c>
      <c r="F787" s="154" t="s">
        <v>10199</v>
      </c>
      <c r="G787" s="154" t="s">
        <v>10200</v>
      </c>
      <c r="H787" s="154" t="s">
        <v>10201</v>
      </c>
      <c r="I787" s="154" t="s">
        <v>7123</v>
      </c>
    </row>
    <row r="788" customFormat="false" ht="112" hidden="false" customHeight="true" outlineLevel="0" collapsed="false">
      <c r="A788" s="154" t="s">
        <v>6960</v>
      </c>
      <c r="B788" s="154" t="s">
        <v>9705</v>
      </c>
      <c r="C788" s="154" t="s">
        <v>4743</v>
      </c>
      <c r="D788" s="154" t="s">
        <v>7121</v>
      </c>
      <c r="E788" s="154" t="s">
        <v>10202</v>
      </c>
      <c r="F788" s="154" t="s">
        <v>10203</v>
      </c>
      <c r="G788" s="154" t="s">
        <v>10204</v>
      </c>
      <c r="H788" s="154" t="s">
        <v>10205</v>
      </c>
      <c r="I788" s="154" t="s">
        <v>7123</v>
      </c>
    </row>
    <row r="789" customFormat="false" ht="112" hidden="false" customHeight="true" outlineLevel="0" collapsed="false">
      <c r="A789" s="154" t="s">
        <v>6960</v>
      </c>
      <c r="B789" s="154" t="s">
        <v>9705</v>
      </c>
      <c r="C789" s="154" t="s">
        <v>4743</v>
      </c>
      <c r="D789" s="154" t="s">
        <v>7121</v>
      </c>
      <c r="E789" s="154" t="s">
        <v>10206</v>
      </c>
      <c r="F789" s="154" t="s">
        <v>10207</v>
      </c>
      <c r="G789" s="154" t="s">
        <v>10208</v>
      </c>
      <c r="H789" s="154" t="s">
        <v>10209</v>
      </c>
      <c r="I789" s="154" t="s">
        <v>7123</v>
      </c>
    </row>
    <row r="790" customFormat="false" ht="112" hidden="false" customHeight="true" outlineLevel="0" collapsed="false">
      <c r="A790" s="154" t="s">
        <v>6960</v>
      </c>
      <c r="B790" s="154" t="s">
        <v>9705</v>
      </c>
      <c r="C790" s="154" t="s">
        <v>4743</v>
      </c>
      <c r="D790" s="154" t="s">
        <v>7121</v>
      </c>
      <c r="E790" s="154" t="s">
        <v>10210</v>
      </c>
      <c r="F790" s="154" t="s">
        <v>10211</v>
      </c>
      <c r="G790" s="154" t="s">
        <v>10212</v>
      </c>
      <c r="H790" s="154" t="s">
        <v>10213</v>
      </c>
      <c r="I790" s="154" t="s">
        <v>7123</v>
      </c>
    </row>
    <row r="791" customFormat="false" ht="112" hidden="false" customHeight="true" outlineLevel="0" collapsed="false">
      <c r="A791" s="154" t="s">
        <v>6960</v>
      </c>
      <c r="B791" s="154" t="s">
        <v>9705</v>
      </c>
      <c r="C791" s="154" t="s">
        <v>4743</v>
      </c>
      <c r="D791" s="154" t="s">
        <v>7121</v>
      </c>
      <c r="E791" s="154" t="s">
        <v>10214</v>
      </c>
      <c r="F791" s="154" t="s">
        <v>10215</v>
      </c>
      <c r="G791" s="154" t="s">
        <v>10216</v>
      </c>
      <c r="H791" s="154" t="s">
        <v>10217</v>
      </c>
      <c r="I791" s="154" t="s">
        <v>7123</v>
      </c>
    </row>
    <row r="792" customFormat="false" ht="112" hidden="false" customHeight="true" outlineLevel="0" collapsed="false">
      <c r="A792" s="154" t="s">
        <v>6960</v>
      </c>
      <c r="B792" s="154" t="s">
        <v>9705</v>
      </c>
      <c r="C792" s="154" t="s">
        <v>4743</v>
      </c>
      <c r="D792" s="154" t="s">
        <v>7121</v>
      </c>
      <c r="E792" s="154" t="s">
        <v>10218</v>
      </c>
      <c r="F792" s="154" t="s">
        <v>10219</v>
      </c>
      <c r="G792" s="154" t="s">
        <v>10220</v>
      </c>
      <c r="H792" s="154" t="s">
        <v>10221</v>
      </c>
      <c r="I792" s="154" t="s">
        <v>7123</v>
      </c>
    </row>
    <row r="793" customFormat="false" ht="112" hidden="false" customHeight="true" outlineLevel="0" collapsed="false">
      <c r="A793" s="154" t="s">
        <v>6960</v>
      </c>
      <c r="B793" s="154" t="s">
        <v>9705</v>
      </c>
      <c r="C793" s="154" t="s">
        <v>4743</v>
      </c>
      <c r="D793" s="154" t="s">
        <v>7121</v>
      </c>
      <c r="E793" s="154" t="s">
        <v>10222</v>
      </c>
      <c r="F793" s="154" t="s">
        <v>10223</v>
      </c>
      <c r="G793" s="154" t="s">
        <v>10224</v>
      </c>
      <c r="H793" s="154" t="s">
        <v>10225</v>
      </c>
      <c r="I793" s="154" t="s">
        <v>7123</v>
      </c>
    </row>
    <row r="794" customFormat="false" ht="112" hidden="false" customHeight="true" outlineLevel="0" collapsed="false">
      <c r="A794" s="154" t="s">
        <v>6960</v>
      </c>
      <c r="B794" s="154" t="s">
        <v>9705</v>
      </c>
      <c r="C794" s="154" t="s">
        <v>4743</v>
      </c>
      <c r="D794" s="154" t="s">
        <v>7121</v>
      </c>
      <c r="E794" s="154" t="s">
        <v>10226</v>
      </c>
      <c r="F794" s="154" t="s">
        <v>10227</v>
      </c>
      <c r="G794" s="154" t="s">
        <v>10228</v>
      </c>
      <c r="H794" s="154" t="s">
        <v>10229</v>
      </c>
      <c r="I794" s="154" t="s">
        <v>7123</v>
      </c>
    </row>
    <row r="795" customFormat="false" ht="112" hidden="false" customHeight="true" outlineLevel="0" collapsed="false">
      <c r="A795" s="154" t="s">
        <v>6960</v>
      </c>
      <c r="B795" s="154" t="s">
        <v>9705</v>
      </c>
      <c r="C795" s="154" t="s">
        <v>4743</v>
      </c>
      <c r="D795" s="154" t="s">
        <v>7121</v>
      </c>
      <c r="E795" s="154" t="s">
        <v>10230</v>
      </c>
      <c r="F795" s="154" t="s">
        <v>10231</v>
      </c>
      <c r="G795" s="154" t="s">
        <v>10232</v>
      </c>
      <c r="H795" s="154" t="s">
        <v>10233</v>
      </c>
      <c r="I795" s="154" t="s">
        <v>7123</v>
      </c>
    </row>
    <row r="796" customFormat="false" ht="112" hidden="false" customHeight="true" outlineLevel="0" collapsed="false">
      <c r="A796" s="154" t="s">
        <v>6960</v>
      </c>
      <c r="B796" s="154" t="s">
        <v>9705</v>
      </c>
      <c r="C796" s="154" t="s">
        <v>4743</v>
      </c>
      <c r="D796" s="154" t="s">
        <v>7121</v>
      </c>
      <c r="E796" s="154" t="s">
        <v>10234</v>
      </c>
      <c r="F796" s="154" t="s">
        <v>10235</v>
      </c>
      <c r="G796" s="154" t="s">
        <v>10236</v>
      </c>
      <c r="H796" s="154" t="s">
        <v>10237</v>
      </c>
      <c r="I796" s="154" t="s">
        <v>7123</v>
      </c>
    </row>
    <row r="797" customFormat="false" ht="112" hidden="false" customHeight="true" outlineLevel="0" collapsed="false">
      <c r="A797" s="154" t="s">
        <v>6960</v>
      </c>
      <c r="B797" s="154" t="s">
        <v>9705</v>
      </c>
      <c r="C797" s="154" t="s">
        <v>4743</v>
      </c>
      <c r="D797" s="154" t="s">
        <v>7121</v>
      </c>
      <c r="E797" s="154" t="s">
        <v>10238</v>
      </c>
      <c r="F797" s="154" t="s">
        <v>10239</v>
      </c>
      <c r="G797" s="154" t="s">
        <v>10240</v>
      </c>
      <c r="H797" s="154" t="s">
        <v>10241</v>
      </c>
      <c r="I797" s="154" t="s">
        <v>7123</v>
      </c>
    </row>
    <row r="798" customFormat="false" ht="112" hidden="false" customHeight="true" outlineLevel="0" collapsed="false">
      <c r="A798" s="154" t="s">
        <v>6960</v>
      </c>
      <c r="B798" s="154" t="s">
        <v>9705</v>
      </c>
      <c r="C798" s="154" t="s">
        <v>4743</v>
      </c>
      <c r="D798" s="154" t="s">
        <v>7121</v>
      </c>
      <c r="E798" s="154" t="s">
        <v>10242</v>
      </c>
      <c r="F798" s="154" t="s">
        <v>10243</v>
      </c>
      <c r="G798" s="154" t="s">
        <v>10244</v>
      </c>
      <c r="H798" s="154" t="s">
        <v>10245</v>
      </c>
      <c r="I798" s="154" t="s">
        <v>7123</v>
      </c>
    </row>
    <row r="799" customFormat="false" ht="112" hidden="false" customHeight="true" outlineLevel="0" collapsed="false">
      <c r="A799" s="154" t="s">
        <v>6960</v>
      </c>
      <c r="B799" s="154" t="s">
        <v>9705</v>
      </c>
      <c r="C799" s="154" t="s">
        <v>4743</v>
      </c>
      <c r="D799" s="154" t="s">
        <v>7121</v>
      </c>
      <c r="E799" s="154" t="s">
        <v>10246</v>
      </c>
      <c r="F799" s="154" t="s">
        <v>10247</v>
      </c>
      <c r="G799" s="154" t="s">
        <v>10248</v>
      </c>
      <c r="H799" s="154" t="s">
        <v>10249</v>
      </c>
      <c r="I799" s="154" t="s">
        <v>7123</v>
      </c>
    </row>
    <row r="800" customFormat="false" ht="112" hidden="false" customHeight="true" outlineLevel="0" collapsed="false">
      <c r="A800" s="154" t="s">
        <v>6960</v>
      </c>
      <c r="B800" s="154" t="s">
        <v>9705</v>
      </c>
      <c r="C800" s="154" t="s">
        <v>4743</v>
      </c>
      <c r="D800" s="154" t="s">
        <v>7121</v>
      </c>
      <c r="E800" s="154" t="s">
        <v>10250</v>
      </c>
      <c r="F800" s="154" t="s">
        <v>10251</v>
      </c>
      <c r="G800" s="154" t="s">
        <v>10252</v>
      </c>
      <c r="H800" s="154" t="s">
        <v>10253</v>
      </c>
      <c r="I800" s="154" t="s">
        <v>7123</v>
      </c>
    </row>
    <row r="801" customFormat="false" ht="112" hidden="false" customHeight="true" outlineLevel="0" collapsed="false">
      <c r="A801" s="154" t="s">
        <v>6960</v>
      </c>
      <c r="B801" s="154" t="s">
        <v>9705</v>
      </c>
      <c r="C801" s="154" t="s">
        <v>4743</v>
      </c>
      <c r="D801" s="154" t="s">
        <v>7121</v>
      </c>
      <c r="E801" s="154" t="s">
        <v>10254</v>
      </c>
      <c r="F801" s="154" t="s">
        <v>10255</v>
      </c>
      <c r="G801" s="154" t="s">
        <v>10256</v>
      </c>
      <c r="H801" s="154" t="s">
        <v>10257</v>
      </c>
      <c r="I801" s="154" t="s">
        <v>7123</v>
      </c>
    </row>
    <row r="802" customFormat="false" ht="76" hidden="false" customHeight="true" outlineLevel="0" collapsed="false">
      <c r="A802" s="154" t="s">
        <v>6960</v>
      </c>
      <c r="B802" s="154" t="s">
        <v>9705</v>
      </c>
      <c r="C802" s="154" t="s">
        <v>4743</v>
      </c>
      <c r="D802" s="154" t="s">
        <v>7121</v>
      </c>
      <c r="E802" s="154" t="s">
        <v>9824</v>
      </c>
      <c r="F802" s="154" t="s">
        <v>10258</v>
      </c>
      <c r="G802" s="154" t="s">
        <v>10259</v>
      </c>
      <c r="H802" s="154" t="s">
        <v>9827</v>
      </c>
      <c r="I802" s="154" t="s">
        <v>7123</v>
      </c>
    </row>
    <row r="803" customFormat="false" ht="76" hidden="false" customHeight="true" outlineLevel="0" collapsed="false">
      <c r="A803" s="154" t="s">
        <v>6960</v>
      </c>
      <c r="B803" s="154" t="s">
        <v>9705</v>
      </c>
      <c r="C803" s="154" t="s">
        <v>4743</v>
      </c>
      <c r="D803" s="154" t="s">
        <v>8992</v>
      </c>
      <c r="E803" s="154" t="s">
        <v>8993</v>
      </c>
      <c r="F803" s="154" t="s">
        <v>10260</v>
      </c>
      <c r="G803" s="154" t="s">
        <v>10261</v>
      </c>
      <c r="H803" s="154" t="s">
        <v>8996</v>
      </c>
      <c r="I803" s="154" t="s">
        <v>7123</v>
      </c>
    </row>
    <row r="804" customFormat="false" ht="76" hidden="false" customHeight="true" outlineLevel="0" collapsed="false">
      <c r="A804" s="154" t="s">
        <v>6960</v>
      </c>
      <c r="B804" s="154" t="s">
        <v>9705</v>
      </c>
      <c r="C804" s="154" t="s">
        <v>4743</v>
      </c>
      <c r="D804" s="154" t="s">
        <v>8997</v>
      </c>
      <c r="E804" s="154" t="s">
        <v>8998</v>
      </c>
      <c r="F804" s="154" t="s">
        <v>10262</v>
      </c>
      <c r="G804" s="154" t="s">
        <v>10263</v>
      </c>
      <c r="H804" s="154" t="s">
        <v>9001</v>
      </c>
      <c r="I804" s="154" t="s">
        <v>7123</v>
      </c>
    </row>
    <row r="805" customFormat="false" ht="76" hidden="false" customHeight="true" outlineLevel="0" collapsed="false">
      <c r="A805" s="154" t="s">
        <v>6960</v>
      </c>
      <c r="B805" s="154" t="s">
        <v>9705</v>
      </c>
      <c r="C805" s="154" t="s">
        <v>4743</v>
      </c>
      <c r="D805" s="154" t="s">
        <v>9002</v>
      </c>
      <c r="E805" s="154" t="s">
        <v>9003</v>
      </c>
      <c r="F805" s="154" t="s">
        <v>10264</v>
      </c>
      <c r="G805" s="154" t="s">
        <v>10265</v>
      </c>
      <c r="H805" s="154" t="s">
        <v>9006</v>
      </c>
      <c r="I805" s="154" t="s">
        <v>7123</v>
      </c>
    </row>
    <row r="806" customFormat="false" ht="76" hidden="false" customHeight="true" outlineLevel="0" collapsed="false">
      <c r="A806" s="154" t="s">
        <v>6960</v>
      </c>
      <c r="B806" s="154" t="s">
        <v>9705</v>
      </c>
      <c r="C806" s="154" t="s">
        <v>4743</v>
      </c>
      <c r="D806" s="154" t="s">
        <v>9007</v>
      </c>
      <c r="E806" s="154" t="s">
        <v>9008</v>
      </c>
      <c r="F806" s="154" t="s">
        <v>10266</v>
      </c>
      <c r="G806" s="154" t="s">
        <v>10267</v>
      </c>
      <c r="H806" s="154" t="s">
        <v>9011</v>
      </c>
      <c r="I806" s="154" t="s">
        <v>7123</v>
      </c>
    </row>
    <row r="807" customFormat="false" ht="76" hidden="false" customHeight="true" outlineLevel="0" collapsed="false">
      <c r="A807" s="154" t="s">
        <v>6960</v>
      </c>
      <c r="B807" s="154" t="s">
        <v>9705</v>
      </c>
      <c r="C807" s="154" t="s">
        <v>4743</v>
      </c>
      <c r="D807" s="154" t="s">
        <v>9012</v>
      </c>
      <c r="E807" s="154" t="s">
        <v>9013</v>
      </c>
      <c r="F807" s="154" t="s">
        <v>10268</v>
      </c>
      <c r="G807" s="154" t="s">
        <v>10269</v>
      </c>
      <c r="H807" s="154" t="s">
        <v>9016</v>
      </c>
      <c r="I807" s="154" t="s">
        <v>7123</v>
      </c>
    </row>
    <row r="808" customFormat="false" ht="76" hidden="false" customHeight="true" outlineLevel="0" collapsed="false">
      <c r="A808" s="154" t="s">
        <v>6960</v>
      </c>
      <c r="B808" s="154" t="s">
        <v>9705</v>
      </c>
      <c r="C808" s="154" t="s">
        <v>4743</v>
      </c>
      <c r="D808" s="154" t="s">
        <v>9017</v>
      </c>
      <c r="E808" s="154" t="s">
        <v>9018</v>
      </c>
      <c r="F808" s="154" t="s">
        <v>10270</v>
      </c>
      <c r="G808" s="154" t="s">
        <v>10271</v>
      </c>
      <c r="H808" s="154" t="s">
        <v>9021</v>
      </c>
      <c r="I808" s="154" t="s">
        <v>7123</v>
      </c>
    </row>
    <row r="809" customFormat="false" ht="76" hidden="false" customHeight="true" outlineLevel="0" collapsed="false">
      <c r="A809" s="154" t="s">
        <v>6960</v>
      </c>
      <c r="B809" s="154" t="s">
        <v>9705</v>
      </c>
      <c r="C809" s="154" t="s">
        <v>4743</v>
      </c>
      <c r="D809" s="154" t="s">
        <v>9022</v>
      </c>
      <c r="E809" s="154" t="s">
        <v>9023</v>
      </c>
      <c r="F809" s="154" t="s">
        <v>10272</v>
      </c>
      <c r="G809" s="154" t="s">
        <v>10273</v>
      </c>
      <c r="H809" s="154" t="s">
        <v>9026</v>
      </c>
      <c r="I809" s="154" t="s">
        <v>7123</v>
      </c>
    </row>
    <row r="810" customFormat="false" ht="76" hidden="false" customHeight="true" outlineLevel="0" collapsed="false">
      <c r="A810" s="154" t="s">
        <v>6960</v>
      </c>
      <c r="B810" s="154" t="s">
        <v>9705</v>
      </c>
      <c r="C810" s="154" t="s">
        <v>4743</v>
      </c>
      <c r="D810" s="154" t="s">
        <v>9027</v>
      </c>
      <c r="E810" s="154" t="s">
        <v>9028</v>
      </c>
      <c r="F810" s="154" t="s">
        <v>10274</v>
      </c>
      <c r="G810" s="154" t="s">
        <v>10275</v>
      </c>
      <c r="H810" s="154" t="s">
        <v>9031</v>
      </c>
      <c r="I810" s="154" t="s">
        <v>7123</v>
      </c>
    </row>
    <row r="811" customFormat="false" ht="76" hidden="false" customHeight="true" outlineLevel="0" collapsed="false">
      <c r="A811" s="154" t="s">
        <v>6960</v>
      </c>
      <c r="B811" s="154" t="s">
        <v>9705</v>
      </c>
      <c r="C811" s="154" t="s">
        <v>4743</v>
      </c>
      <c r="D811" s="154" t="s">
        <v>9032</v>
      </c>
      <c r="E811" s="154" t="s">
        <v>9033</v>
      </c>
      <c r="F811" s="154" t="s">
        <v>10276</v>
      </c>
      <c r="G811" s="154" t="s">
        <v>10277</v>
      </c>
      <c r="H811" s="154" t="s">
        <v>9036</v>
      </c>
      <c r="I811" s="154" t="s">
        <v>7123</v>
      </c>
    </row>
    <row r="812" customFormat="false" ht="76" hidden="false" customHeight="true" outlineLevel="0" collapsed="false">
      <c r="A812" s="154" t="s">
        <v>6960</v>
      </c>
      <c r="B812" s="154" t="s">
        <v>9705</v>
      </c>
      <c r="C812" s="154" t="s">
        <v>4743</v>
      </c>
      <c r="D812" s="154" t="s">
        <v>9037</v>
      </c>
      <c r="E812" s="154" t="s">
        <v>9038</v>
      </c>
      <c r="F812" s="154" t="s">
        <v>10278</v>
      </c>
      <c r="G812" s="154" t="s">
        <v>10279</v>
      </c>
      <c r="H812" s="154" t="s">
        <v>9041</v>
      </c>
      <c r="I812" s="154" t="s">
        <v>7123</v>
      </c>
    </row>
    <row r="813" customFormat="false" ht="76" hidden="false" customHeight="true" outlineLevel="0" collapsed="false">
      <c r="A813" s="154" t="s">
        <v>6960</v>
      </c>
      <c r="B813" s="154" t="s">
        <v>9705</v>
      </c>
      <c r="C813" s="154" t="s">
        <v>4743</v>
      </c>
      <c r="D813" s="154" t="s">
        <v>9042</v>
      </c>
      <c r="E813" s="154" t="s">
        <v>9043</v>
      </c>
      <c r="F813" s="154" t="s">
        <v>10280</v>
      </c>
      <c r="G813" s="154" t="s">
        <v>10281</v>
      </c>
      <c r="H813" s="154" t="s">
        <v>9046</v>
      </c>
      <c r="I813" s="154" t="s">
        <v>7123</v>
      </c>
    </row>
    <row r="814" customFormat="false" ht="76" hidden="false" customHeight="true" outlineLevel="0" collapsed="false">
      <c r="A814" s="154" t="s">
        <v>6960</v>
      </c>
      <c r="B814" s="154" t="s">
        <v>9705</v>
      </c>
      <c r="C814" s="154" t="s">
        <v>4743</v>
      </c>
      <c r="D814" s="154" t="s">
        <v>9047</v>
      </c>
      <c r="E814" s="154" t="s">
        <v>9048</v>
      </c>
      <c r="F814" s="154" t="s">
        <v>10282</v>
      </c>
      <c r="G814" s="154" t="s">
        <v>10283</v>
      </c>
      <c r="H814" s="154" t="s">
        <v>9051</v>
      </c>
      <c r="I814" s="154" t="s">
        <v>7123</v>
      </c>
    </row>
    <row r="815" customFormat="false" ht="76" hidden="false" customHeight="true" outlineLevel="0" collapsed="false">
      <c r="A815" s="154" t="s">
        <v>6960</v>
      </c>
      <c r="B815" s="154" t="s">
        <v>9705</v>
      </c>
      <c r="C815" s="154" t="s">
        <v>4743</v>
      </c>
      <c r="D815" s="154" t="s">
        <v>9052</v>
      </c>
      <c r="E815" s="154" t="s">
        <v>9053</v>
      </c>
      <c r="F815" s="154" t="s">
        <v>10284</v>
      </c>
      <c r="G815" s="154" t="s">
        <v>10285</v>
      </c>
      <c r="H815" s="154" t="s">
        <v>9056</v>
      </c>
      <c r="I815" s="154" t="s">
        <v>7123</v>
      </c>
    </row>
    <row r="816" customFormat="false" ht="76" hidden="false" customHeight="true" outlineLevel="0" collapsed="false">
      <c r="A816" s="154" t="s">
        <v>6960</v>
      </c>
      <c r="B816" s="154" t="s">
        <v>9705</v>
      </c>
      <c r="C816" s="154" t="s">
        <v>4743</v>
      </c>
      <c r="D816" s="154" t="s">
        <v>9057</v>
      </c>
      <c r="E816" s="154" t="s">
        <v>9058</v>
      </c>
      <c r="F816" s="154" t="s">
        <v>10286</v>
      </c>
      <c r="G816" s="154" t="s">
        <v>10287</v>
      </c>
      <c r="H816" s="154" t="s">
        <v>9061</v>
      </c>
      <c r="I816" s="154" t="s">
        <v>7123</v>
      </c>
    </row>
    <row r="817" customFormat="false" ht="98" hidden="false" customHeight="true" outlineLevel="0" collapsed="false">
      <c r="A817" s="154" t="s">
        <v>6960</v>
      </c>
      <c r="B817" s="154" t="s">
        <v>9705</v>
      </c>
      <c r="C817" s="154" t="s">
        <v>4743</v>
      </c>
      <c r="D817" s="154" t="s">
        <v>7121</v>
      </c>
      <c r="E817" s="154" t="s">
        <v>9062</v>
      </c>
      <c r="F817" s="154" t="s">
        <v>10288</v>
      </c>
      <c r="G817" s="154" t="s">
        <v>10289</v>
      </c>
      <c r="H817" s="154" t="s">
        <v>9065</v>
      </c>
      <c r="I817" s="154" t="s">
        <v>7123</v>
      </c>
    </row>
    <row r="818" customFormat="false" ht="76" hidden="false" customHeight="true" outlineLevel="0" collapsed="false">
      <c r="A818" s="154" t="s">
        <v>6960</v>
      </c>
      <c r="B818" s="154" t="s">
        <v>9705</v>
      </c>
      <c r="C818" s="154" t="s">
        <v>4743</v>
      </c>
      <c r="D818" s="154" t="s">
        <v>7121</v>
      </c>
      <c r="E818" s="154" t="s">
        <v>9066</v>
      </c>
      <c r="F818" s="154" t="s">
        <v>10290</v>
      </c>
      <c r="G818" s="154" t="s">
        <v>10291</v>
      </c>
      <c r="H818" s="154" t="s">
        <v>9069</v>
      </c>
      <c r="I818" s="154" t="s">
        <v>7123</v>
      </c>
    </row>
    <row r="819" customFormat="false" ht="76" hidden="false" customHeight="true" outlineLevel="0" collapsed="false">
      <c r="A819" s="154" t="s">
        <v>6960</v>
      </c>
      <c r="B819" s="154" t="s">
        <v>9705</v>
      </c>
      <c r="C819" s="154" t="s">
        <v>4743</v>
      </c>
      <c r="D819" s="154" t="s">
        <v>7121</v>
      </c>
      <c r="E819" s="154" t="s">
        <v>9070</v>
      </c>
      <c r="F819" s="154" t="s">
        <v>10292</v>
      </c>
      <c r="G819" s="154" t="s">
        <v>10293</v>
      </c>
      <c r="H819" s="154" t="s">
        <v>9073</v>
      </c>
      <c r="I819" s="154" t="s">
        <v>7123</v>
      </c>
    </row>
    <row r="820" customFormat="false" ht="76" hidden="false" customHeight="true" outlineLevel="0" collapsed="false">
      <c r="A820" s="154" t="s">
        <v>6960</v>
      </c>
      <c r="B820" s="154" t="s">
        <v>9705</v>
      </c>
      <c r="C820" s="154" t="s">
        <v>4743</v>
      </c>
      <c r="D820" s="154" t="s">
        <v>7121</v>
      </c>
      <c r="E820" s="154" t="s">
        <v>9074</v>
      </c>
      <c r="F820" s="154" t="s">
        <v>10294</v>
      </c>
      <c r="G820" s="154" t="s">
        <v>10295</v>
      </c>
      <c r="H820" s="154" t="s">
        <v>9077</v>
      </c>
      <c r="I820" s="154" t="s">
        <v>7123</v>
      </c>
    </row>
    <row r="821" customFormat="false" ht="76" hidden="false" customHeight="true" outlineLevel="0" collapsed="false">
      <c r="A821" s="154" t="s">
        <v>6960</v>
      </c>
      <c r="B821" s="154" t="s">
        <v>9705</v>
      </c>
      <c r="C821" s="154" t="s">
        <v>4743</v>
      </c>
      <c r="D821" s="154" t="s">
        <v>8992</v>
      </c>
      <c r="E821" s="154" t="s">
        <v>8993</v>
      </c>
      <c r="F821" s="154" t="s">
        <v>10296</v>
      </c>
      <c r="G821" s="154" t="s">
        <v>10297</v>
      </c>
      <c r="H821" s="154" t="s">
        <v>8996</v>
      </c>
      <c r="I821" s="154" t="s">
        <v>7123</v>
      </c>
    </row>
    <row r="822" customFormat="false" ht="76" hidden="false" customHeight="true" outlineLevel="0" collapsed="false">
      <c r="A822" s="154" t="s">
        <v>6960</v>
      </c>
      <c r="B822" s="154" t="s">
        <v>9705</v>
      </c>
      <c r="C822" s="154" t="s">
        <v>4743</v>
      </c>
      <c r="D822" s="154" t="s">
        <v>8997</v>
      </c>
      <c r="E822" s="154" t="s">
        <v>8998</v>
      </c>
      <c r="F822" s="154" t="s">
        <v>10298</v>
      </c>
      <c r="G822" s="154" t="s">
        <v>10299</v>
      </c>
      <c r="H822" s="154" t="s">
        <v>9001</v>
      </c>
      <c r="I822" s="154" t="s">
        <v>7123</v>
      </c>
    </row>
    <row r="823" customFormat="false" ht="76" hidden="false" customHeight="true" outlineLevel="0" collapsed="false">
      <c r="A823" s="154" t="s">
        <v>6960</v>
      </c>
      <c r="B823" s="154" t="s">
        <v>9705</v>
      </c>
      <c r="C823" s="154" t="s">
        <v>4743</v>
      </c>
      <c r="D823" s="154" t="s">
        <v>9002</v>
      </c>
      <c r="E823" s="154" t="s">
        <v>9003</v>
      </c>
      <c r="F823" s="154" t="s">
        <v>10300</v>
      </c>
      <c r="G823" s="154" t="s">
        <v>10301</v>
      </c>
      <c r="H823" s="154" t="s">
        <v>9006</v>
      </c>
      <c r="I823" s="154" t="s">
        <v>7123</v>
      </c>
    </row>
    <row r="824" customFormat="false" ht="76" hidden="false" customHeight="true" outlineLevel="0" collapsed="false">
      <c r="A824" s="154" t="s">
        <v>6960</v>
      </c>
      <c r="B824" s="154" t="s">
        <v>9705</v>
      </c>
      <c r="C824" s="154" t="s">
        <v>4743</v>
      </c>
      <c r="D824" s="154" t="s">
        <v>9007</v>
      </c>
      <c r="E824" s="154" t="s">
        <v>9008</v>
      </c>
      <c r="F824" s="154" t="s">
        <v>10302</v>
      </c>
      <c r="G824" s="154" t="s">
        <v>10303</v>
      </c>
      <c r="H824" s="154" t="s">
        <v>9011</v>
      </c>
      <c r="I824" s="154" t="s">
        <v>7123</v>
      </c>
    </row>
    <row r="825" customFormat="false" ht="76" hidden="false" customHeight="true" outlineLevel="0" collapsed="false">
      <c r="A825" s="154" t="s">
        <v>6960</v>
      </c>
      <c r="B825" s="154" t="s">
        <v>9705</v>
      </c>
      <c r="C825" s="154" t="s">
        <v>4743</v>
      </c>
      <c r="D825" s="154" t="s">
        <v>9012</v>
      </c>
      <c r="E825" s="154" t="s">
        <v>9013</v>
      </c>
      <c r="F825" s="154" t="s">
        <v>10304</v>
      </c>
      <c r="G825" s="154" t="s">
        <v>10305</v>
      </c>
      <c r="H825" s="154" t="s">
        <v>9016</v>
      </c>
      <c r="I825" s="154" t="s">
        <v>7123</v>
      </c>
    </row>
    <row r="826" customFormat="false" ht="76" hidden="false" customHeight="true" outlineLevel="0" collapsed="false">
      <c r="A826" s="154" t="s">
        <v>6960</v>
      </c>
      <c r="B826" s="154" t="s">
        <v>9705</v>
      </c>
      <c r="C826" s="154" t="s">
        <v>4743</v>
      </c>
      <c r="D826" s="154" t="s">
        <v>9017</v>
      </c>
      <c r="E826" s="154" t="s">
        <v>9018</v>
      </c>
      <c r="F826" s="154" t="s">
        <v>10306</v>
      </c>
      <c r="G826" s="154" t="s">
        <v>10307</v>
      </c>
      <c r="H826" s="154" t="s">
        <v>9021</v>
      </c>
      <c r="I826" s="154" t="s">
        <v>7123</v>
      </c>
    </row>
    <row r="827" customFormat="false" ht="76" hidden="false" customHeight="true" outlineLevel="0" collapsed="false">
      <c r="A827" s="154" t="s">
        <v>6960</v>
      </c>
      <c r="B827" s="154" t="s">
        <v>9705</v>
      </c>
      <c r="C827" s="154" t="s">
        <v>4743</v>
      </c>
      <c r="D827" s="154" t="s">
        <v>9022</v>
      </c>
      <c r="E827" s="154" t="s">
        <v>9023</v>
      </c>
      <c r="F827" s="154" t="s">
        <v>10308</v>
      </c>
      <c r="G827" s="154" t="s">
        <v>10309</v>
      </c>
      <c r="H827" s="154" t="s">
        <v>9026</v>
      </c>
      <c r="I827" s="154" t="s">
        <v>7123</v>
      </c>
    </row>
    <row r="828" customFormat="false" ht="76" hidden="false" customHeight="true" outlineLevel="0" collapsed="false">
      <c r="A828" s="154" t="s">
        <v>6960</v>
      </c>
      <c r="B828" s="154" t="s">
        <v>9705</v>
      </c>
      <c r="C828" s="154" t="s">
        <v>4743</v>
      </c>
      <c r="D828" s="154" t="s">
        <v>9027</v>
      </c>
      <c r="E828" s="154" t="s">
        <v>9028</v>
      </c>
      <c r="F828" s="154" t="s">
        <v>10310</v>
      </c>
      <c r="G828" s="154" t="s">
        <v>10311</v>
      </c>
      <c r="H828" s="154" t="s">
        <v>9031</v>
      </c>
      <c r="I828" s="154" t="s">
        <v>7123</v>
      </c>
    </row>
    <row r="829" customFormat="false" ht="76" hidden="false" customHeight="true" outlineLevel="0" collapsed="false">
      <c r="A829" s="154" t="s">
        <v>6960</v>
      </c>
      <c r="B829" s="154" t="s">
        <v>9705</v>
      </c>
      <c r="C829" s="154" t="s">
        <v>4743</v>
      </c>
      <c r="D829" s="154" t="s">
        <v>9032</v>
      </c>
      <c r="E829" s="154" t="s">
        <v>9033</v>
      </c>
      <c r="F829" s="154" t="s">
        <v>10312</v>
      </c>
      <c r="G829" s="154" t="s">
        <v>10313</v>
      </c>
      <c r="H829" s="154" t="s">
        <v>9036</v>
      </c>
      <c r="I829" s="154" t="s">
        <v>7123</v>
      </c>
    </row>
    <row r="830" customFormat="false" ht="76" hidden="false" customHeight="true" outlineLevel="0" collapsed="false">
      <c r="A830" s="154" t="s">
        <v>6960</v>
      </c>
      <c r="B830" s="154" t="s">
        <v>9705</v>
      </c>
      <c r="C830" s="154" t="s">
        <v>4743</v>
      </c>
      <c r="D830" s="154" t="s">
        <v>9037</v>
      </c>
      <c r="E830" s="154" t="s">
        <v>9038</v>
      </c>
      <c r="F830" s="154" t="s">
        <v>10314</v>
      </c>
      <c r="G830" s="154" t="s">
        <v>10315</v>
      </c>
      <c r="H830" s="154" t="s">
        <v>9041</v>
      </c>
      <c r="I830" s="154" t="s">
        <v>7123</v>
      </c>
    </row>
    <row r="831" customFormat="false" ht="76" hidden="false" customHeight="true" outlineLevel="0" collapsed="false">
      <c r="A831" s="154" t="s">
        <v>6960</v>
      </c>
      <c r="B831" s="154" t="s">
        <v>9705</v>
      </c>
      <c r="C831" s="154" t="s">
        <v>4743</v>
      </c>
      <c r="D831" s="154" t="s">
        <v>9042</v>
      </c>
      <c r="E831" s="154" t="s">
        <v>9043</v>
      </c>
      <c r="F831" s="154" t="s">
        <v>10316</v>
      </c>
      <c r="G831" s="154" t="s">
        <v>10317</v>
      </c>
      <c r="H831" s="154" t="s">
        <v>9046</v>
      </c>
      <c r="I831" s="154" t="s">
        <v>7123</v>
      </c>
    </row>
    <row r="832" customFormat="false" ht="76" hidden="false" customHeight="true" outlineLevel="0" collapsed="false">
      <c r="A832" s="154" t="s">
        <v>6960</v>
      </c>
      <c r="B832" s="154" t="s">
        <v>9705</v>
      </c>
      <c r="C832" s="154" t="s">
        <v>4743</v>
      </c>
      <c r="D832" s="154" t="s">
        <v>9047</v>
      </c>
      <c r="E832" s="154" t="s">
        <v>9048</v>
      </c>
      <c r="F832" s="154" t="s">
        <v>10318</v>
      </c>
      <c r="G832" s="154" t="s">
        <v>10319</v>
      </c>
      <c r="H832" s="154" t="s">
        <v>9051</v>
      </c>
      <c r="I832" s="154" t="s">
        <v>7123</v>
      </c>
    </row>
    <row r="833" customFormat="false" ht="76" hidden="false" customHeight="true" outlineLevel="0" collapsed="false">
      <c r="A833" s="154" t="s">
        <v>6960</v>
      </c>
      <c r="B833" s="154" t="s">
        <v>9705</v>
      </c>
      <c r="C833" s="154" t="s">
        <v>4743</v>
      </c>
      <c r="D833" s="154" t="s">
        <v>9052</v>
      </c>
      <c r="E833" s="154" t="s">
        <v>9053</v>
      </c>
      <c r="F833" s="154" t="s">
        <v>10320</v>
      </c>
      <c r="G833" s="154" t="s">
        <v>10321</v>
      </c>
      <c r="H833" s="154" t="s">
        <v>9056</v>
      </c>
      <c r="I833" s="154" t="s">
        <v>7123</v>
      </c>
    </row>
    <row r="834" customFormat="false" ht="76" hidden="false" customHeight="true" outlineLevel="0" collapsed="false">
      <c r="A834" s="154" t="s">
        <v>6960</v>
      </c>
      <c r="B834" s="154" t="s">
        <v>9705</v>
      </c>
      <c r="C834" s="154" t="s">
        <v>4743</v>
      </c>
      <c r="D834" s="154" t="s">
        <v>9057</v>
      </c>
      <c r="E834" s="154" t="s">
        <v>9058</v>
      </c>
      <c r="F834" s="154" t="s">
        <v>10322</v>
      </c>
      <c r="G834" s="154" t="s">
        <v>10323</v>
      </c>
      <c r="H834" s="154" t="s">
        <v>9061</v>
      </c>
      <c r="I834" s="154" t="s">
        <v>7123</v>
      </c>
    </row>
    <row r="835" customFormat="false" ht="168" hidden="false" customHeight="true" outlineLevel="0" collapsed="false">
      <c r="A835" s="154" t="s">
        <v>6960</v>
      </c>
      <c r="B835" s="154" t="s">
        <v>9705</v>
      </c>
      <c r="C835" s="154" t="s">
        <v>4743</v>
      </c>
      <c r="D835" s="154" t="s">
        <v>7121</v>
      </c>
      <c r="E835" s="154" t="s">
        <v>8984</v>
      </c>
      <c r="F835" s="154" t="s">
        <v>10324</v>
      </c>
      <c r="G835" s="154" t="s">
        <v>10325</v>
      </c>
      <c r="H835" s="154" t="s">
        <v>8987</v>
      </c>
      <c r="I835" s="154" t="s">
        <v>7123</v>
      </c>
    </row>
    <row r="836" customFormat="false" ht="76" hidden="false" customHeight="true" outlineLevel="0" collapsed="false">
      <c r="A836" s="154" t="s">
        <v>6960</v>
      </c>
      <c r="B836" s="154" t="s">
        <v>9705</v>
      </c>
      <c r="C836" s="154" t="s">
        <v>4743</v>
      </c>
      <c r="D836" s="154" t="s">
        <v>7121</v>
      </c>
      <c r="E836" s="154" t="s">
        <v>9108</v>
      </c>
      <c r="F836" s="154" t="s">
        <v>10326</v>
      </c>
      <c r="G836" s="154" t="s">
        <v>10327</v>
      </c>
      <c r="H836" s="154" t="s">
        <v>9111</v>
      </c>
      <c r="I836" s="154" t="s">
        <v>7123</v>
      </c>
    </row>
    <row r="837" customFormat="false" ht="76" hidden="false" customHeight="true" outlineLevel="0" collapsed="false">
      <c r="A837" s="154" t="s">
        <v>6960</v>
      </c>
      <c r="B837" s="154" t="s">
        <v>9705</v>
      </c>
      <c r="C837" s="154" t="s">
        <v>4743</v>
      </c>
      <c r="D837" s="154" t="s">
        <v>7121</v>
      </c>
      <c r="E837" s="154" t="s">
        <v>9112</v>
      </c>
      <c r="F837" s="154" t="s">
        <v>10328</v>
      </c>
      <c r="G837" s="154" t="s">
        <v>10329</v>
      </c>
      <c r="H837" s="154" t="s">
        <v>9115</v>
      </c>
      <c r="I837" s="154" t="s">
        <v>7123</v>
      </c>
    </row>
    <row r="838" customFormat="false" ht="76" hidden="false" customHeight="true" outlineLevel="0" collapsed="false">
      <c r="A838" s="154" t="s">
        <v>6960</v>
      </c>
      <c r="B838" s="154" t="s">
        <v>9705</v>
      </c>
      <c r="C838" s="154" t="s">
        <v>4743</v>
      </c>
      <c r="D838" s="154" t="s">
        <v>7121</v>
      </c>
      <c r="E838" s="154" t="s">
        <v>10330</v>
      </c>
      <c r="F838" s="154" t="s">
        <v>10331</v>
      </c>
      <c r="G838" s="154" t="s">
        <v>10332</v>
      </c>
      <c r="H838" s="154" t="s">
        <v>10333</v>
      </c>
      <c r="I838" s="154" t="s">
        <v>7123</v>
      </c>
    </row>
    <row r="839" customFormat="false" ht="76" hidden="false" customHeight="true" outlineLevel="0" collapsed="false">
      <c r="A839" s="154" t="s">
        <v>6960</v>
      </c>
      <c r="B839" s="154" t="s">
        <v>9705</v>
      </c>
      <c r="C839" s="154" t="s">
        <v>4743</v>
      </c>
      <c r="D839" s="154" t="s">
        <v>7121</v>
      </c>
      <c r="E839" s="154" t="s">
        <v>8972</v>
      </c>
      <c r="F839" s="154" t="s">
        <v>10334</v>
      </c>
      <c r="G839" s="154" t="s">
        <v>10335</v>
      </c>
      <c r="H839" s="154" t="s">
        <v>8975</v>
      </c>
      <c r="I839" s="154" t="s">
        <v>7123</v>
      </c>
    </row>
    <row r="840" customFormat="false" ht="196" hidden="false" customHeight="true" outlineLevel="0" collapsed="false">
      <c r="A840" s="154" t="s">
        <v>6981</v>
      </c>
      <c r="B840" s="154" t="s">
        <v>9705</v>
      </c>
      <c r="C840" s="154" t="s">
        <v>4743</v>
      </c>
      <c r="D840" s="154" t="s">
        <v>7121</v>
      </c>
      <c r="E840" s="154" t="s">
        <v>10336</v>
      </c>
      <c r="F840" s="154" t="s">
        <v>10337</v>
      </c>
      <c r="G840" s="154" t="s">
        <v>10338</v>
      </c>
      <c r="H840" s="154" t="s">
        <v>10339</v>
      </c>
      <c r="I840" s="154" t="s">
        <v>7123</v>
      </c>
    </row>
    <row r="841" customFormat="false" ht="168" hidden="false" customHeight="true" outlineLevel="0" collapsed="false">
      <c r="A841" s="154" t="s">
        <v>6981</v>
      </c>
      <c r="B841" s="154" t="s">
        <v>9705</v>
      </c>
      <c r="C841" s="154" t="s">
        <v>4743</v>
      </c>
      <c r="D841" s="154" t="s">
        <v>7121</v>
      </c>
      <c r="E841" s="154" t="s">
        <v>10340</v>
      </c>
      <c r="F841" s="154" t="s">
        <v>10341</v>
      </c>
      <c r="G841" s="154" t="s">
        <v>10342</v>
      </c>
      <c r="H841" s="154" t="s">
        <v>10343</v>
      </c>
      <c r="I841" s="154" t="s">
        <v>7123</v>
      </c>
    </row>
    <row r="842" customFormat="false" ht="168" hidden="false" customHeight="true" outlineLevel="0" collapsed="false">
      <c r="A842" s="154" t="s">
        <v>6981</v>
      </c>
      <c r="B842" s="154" t="s">
        <v>9705</v>
      </c>
      <c r="C842" s="154" t="s">
        <v>4743</v>
      </c>
      <c r="D842" s="154" t="s">
        <v>7121</v>
      </c>
      <c r="E842" s="154" t="s">
        <v>10344</v>
      </c>
      <c r="F842" s="154" t="s">
        <v>10345</v>
      </c>
      <c r="G842" s="154" t="s">
        <v>10346</v>
      </c>
      <c r="H842" s="154" t="s">
        <v>10347</v>
      </c>
      <c r="I842" s="154" t="s">
        <v>7123</v>
      </c>
    </row>
    <row r="843" customFormat="false" ht="168" hidden="false" customHeight="true" outlineLevel="0" collapsed="false">
      <c r="A843" s="154" t="s">
        <v>6981</v>
      </c>
      <c r="B843" s="154" t="s">
        <v>9705</v>
      </c>
      <c r="C843" s="154" t="s">
        <v>4743</v>
      </c>
      <c r="D843" s="154" t="s">
        <v>7121</v>
      </c>
      <c r="E843" s="154" t="s">
        <v>10348</v>
      </c>
      <c r="F843" s="154" t="s">
        <v>10349</v>
      </c>
      <c r="G843" s="154" t="s">
        <v>10350</v>
      </c>
      <c r="H843" s="154" t="s">
        <v>10351</v>
      </c>
      <c r="I843" s="154" t="s">
        <v>7123</v>
      </c>
    </row>
    <row r="844" customFormat="false" ht="350" hidden="false" customHeight="true" outlineLevel="0" collapsed="false">
      <c r="A844" s="154" t="s">
        <v>6981</v>
      </c>
      <c r="B844" s="154" t="s">
        <v>9705</v>
      </c>
      <c r="C844" s="154" t="s">
        <v>4743</v>
      </c>
      <c r="D844" s="154" t="s">
        <v>7121</v>
      </c>
      <c r="E844" s="154" t="s">
        <v>10352</v>
      </c>
      <c r="F844" s="154" t="s">
        <v>10353</v>
      </c>
      <c r="G844" s="154" t="s">
        <v>10354</v>
      </c>
      <c r="H844" s="154" t="s">
        <v>10355</v>
      </c>
      <c r="I844" s="154" t="s">
        <v>7123</v>
      </c>
    </row>
    <row r="845" customFormat="false" ht="266" hidden="false" customHeight="true" outlineLevel="0" collapsed="false">
      <c r="A845" s="154" t="s">
        <v>6734</v>
      </c>
      <c r="B845" s="154" t="s">
        <v>9705</v>
      </c>
      <c r="C845" s="154" t="s">
        <v>4743</v>
      </c>
      <c r="D845" s="154" t="s">
        <v>7121</v>
      </c>
      <c r="E845" s="154" t="s">
        <v>10356</v>
      </c>
      <c r="F845" s="154" t="s">
        <v>10357</v>
      </c>
      <c r="G845" s="154" t="s">
        <v>10358</v>
      </c>
      <c r="H845" s="154" t="s">
        <v>10359</v>
      </c>
      <c r="I845" s="154" t="s">
        <v>7123</v>
      </c>
    </row>
    <row r="846" customFormat="false" ht="76" hidden="false" customHeight="true" outlineLevel="0" collapsed="false">
      <c r="A846" s="154" t="s">
        <v>9704</v>
      </c>
      <c r="B846" s="154" t="s">
        <v>9705</v>
      </c>
      <c r="C846" s="154" t="s">
        <v>4743</v>
      </c>
      <c r="D846" s="154" t="s">
        <v>7121</v>
      </c>
      <c r="E846" s="154" t="s">
        <v>7935</v>
      </c>
      <c r="F846" s="154" t="s">
        <v>10360</v>
      </c>
      <c r="G846" s="154" t="s">
        <v>10361</v>
      </c>
      <c r="H846" s="154" t="s">
        <v>7938</v>
      </c>
      <c r="I846" s="154" t="s">
        <v>7123</v>
      </c>
    </row>
    <row r="847" customFormat="false" ht="168" hidden="false" customHeight="true" outlineLevel="0" collapsed="false">
      <c r="A847" s="154" t="s">
        <v>9704</v>
      </c>
      <c r="B847" s="154" t="s">
        <v>9705</v>
      </c>
      <c r="C847" s="154" t="s">
        <v>4743</v>
      </c>
      <c r="D847" s="154" t="s">
        <v>7121</v>
      </c>
      <c r="E847" s="154" t="s">
        <v>10362</v>
      </c>
      <c r="F847" s="154" t="s">
        <v>10363</v>
      </c>
      <c r="G847" s="154" t="s">
        <v>10364</v>
      </c>
      <c r="H847" s="154" t="s">
        <v>10365</v>
      </c>
      <c r="I847" s="154" t="s">
        <v>7123</v>
      </c>
    </row>
    <row r="848" customFormat="false" ht="224" hidden="false" customHeight="true" outlineLevel="0" collapsed="false">
      <c r="A848" s="154" t="s">
        <v>6565</v>
      </c>
      <c r="B848" s="154" t="s">
        <v>9705</v>
      </c>
      <c r="C848" s="154" t="s">
        <v>4743</v>
      </c>
      <c r="D848" s="154" t="s">
        <v>7121</v>
      </c>
      <c r="E848" s="154" t="s">
        <v>10366</v>
      </c>
      <c r="F848" s="154" t="s">
        <v>10367</v>
      </c>
      <c r="G848" s="154" t="s">
        <v>10368</v>
      </c>
      <c r="H848" s="154" t="s">
        <v>10369</v>
      </c>
      <c r="I848" s="154" t="s">
        <v>7123</v>
      </c>
    </row>
    <row r="849" customFormat="false" ht="76" hidden="false" customHeight="true" outlineLevel="0" collapsed="false">
      <c r="A849" s="154" t="s">
        <v>6435</v>
      </c>
      <c r="B849" s="154" t="s">
        <v>9705</v>
      </c>
      <c r="C849" s="154" t="s">
        <v>4743</v>
      </c>
      <c r="D849" s="154" t="s">
        <v>7121</v>
      </c>
      <c r="E849" s="154" t="s">
        <v>7337</v>
      </c>
      <c r="F849" s="154" t="s">
        <v>10370</v>
      </c>
      <c r="G849" s="154" t="s">
        <v>10371</v>
      </c>
      <c r="H849" s="154" t="s">
        <v>7340</v>
      </c>
      <c r="I849" s="154" t="s">
        <v>7123</v>
      </c>
    </row>
    <row r="850" customFormat="false" ht="84" hidden="false" customHeight="true" outlineLevel="0" collapsed="false">
      <c r="A850" s="154" t="s">
        <v>6435</v>
      </c>
      <c r="B850" s="154" t="s">
        <v>9705</v>
      </c>
      <c r="C850" s="154" t="s">
        <v>7341</v>
      </c>
      <c r="D850" s="154" t="s">
        <v>7342</v>
      </c>
      <c r="E850" s="154" t="s">
        <v>7343</v>
      </c>
      <c r="F850" s="154" t="s">
        <v>10372</v>
      </c>
      <c r="G850" s="154" t="s">
        <v>10373</v>
      </c>
      <c r="H850" s="154" t="s">
        <v>7346</v>
      </c>
      <c r="I850" s="154" t="s">
        <v>7123</v>
      </c>
    </row>
    <row r="851" customFormat="false" ht="84" hidden="false" customHeight="true" outlineLevel="0" collapsed="false">
      <c r="A851" s="154" t="s">
        <v>6435</v>
      </c>
      <c r="B851" s="154" t="s">
        <v>9705</v>
      </c>
      <c r="C851" s="154" t="s">
        <v>7347</v>
      </c>
      <c r="D851" s="154" t="s">
        <v>7348</v>
      </c>
      <c r="E851" s="154" t="s">
        <v>7349</v>
      </c>
      <c r="F851" s="154" t="s">
        <v>10374</v>
      </c>
      <c r="G851" s="154" t="s">
        <v>10375</v>
      </c>
      <c r="H851" s="154" t="s">
        <v>7352</v>
      </c>
      <c r="I851" s="154" t="s">
        <v>7123</v>
      </c>
    </row>
    <row r="852" customFormat="false" ht="76" hidden="false" customHeight="true" outlineLevel="0" collapsed="false">
      <c r="A852" s="154" t="s">
        <v>6435</v>
      </c>
      <c r="B852" s="154" t="s">
        <v>9705</v>
      </c>
      <c r="C852" s="154" t="s">
        <v>7353</v>
      </c>
      <c r="D852" s="154" t="s">
        <v>7354</v>
      </c>
      <c r="E852" s="154" t="s">
        <v>7355</v>
      </c>
      <c r="F852" s="154" t="s">
        <v>10376</v>
      </c>
      <c r="G852" s="154" t="s">
        <v>10377</v>
      </c>
      <c r="H852" s="154" t="s">
        <v>7358</v>
      </c>
      <c r="I852" s="154" t="s">
        <v>7123</v>
      </c>
    </row>
    <row r="853" customFormat="false" ht="76" hidden="false" customHeight="true" outlineLevel="0" collapsed="false">
      <c r="A853" s="154" t="s">
        <v>6435</v>
      </c>
      <c r="B853" s="154" t="s">
        <v>9705</v>
      </c>
      <c r="C853" s="154" t="s">
        <v>7359</v>
      </c>
      <c r="D853" s="154" t="s">
        <v>7360</v>
      </c>
      <c r="E853" s="154" t="s">
        <v>7361</v>
      </c>
      <c r="F853" s="154" t="s">
        <v>10378</v>
      </c>
      <c r="G853" s="154" t="s">
        <v>10379</v>
      </c>
      <c r="H853" s="154" t="s">
        <v>7364</v>
      </c>
      <c r="I853" s="154" t="s">
        <v>7123</v>
      </c>
    </row>
    <row r="854" customFormat="false" ht="76" hidden="false" customHeight="true" outlineLevel="0" collapsed="false">
      <c r="A854" s="154" t="s">
        <v>6435</v>
      </c>
      <c r="B854" s="154" t="s">
        <v>9705</v>
      </c>
      <c r="C854" s="154" t="s">
        <v>7365</v>
      </c>
      <c r="D854" s="154" t="s">
        <v>7366</v>
      </c>
      <c r="E854" s="154" t="s">
        <v>7367</v>
      </c>
      <c r="F854" s="154" t="s">
        <v>10380</v>
      </c>
      <c r="G854" s="154" t="s">
        <v>10381</v>
      </c>
      <c r="H854" s="154" t="s">
        <v>7370</v>
      </c>
      <c r="I854" s="154" t="s">
        <v>7123</v>
      </c>
    </row>
    <row r="855" customFormat="false" ht="112" hidden="false" customHeight="true" outlineLevel="0" collapsed="false">
      <c r="A855" s="154" t="s">
        <v>6435</v>
      </c>
      <c r="B855" s="154" t="s">
        <v>9705</v>
      </c>
      <c r="C855" s="154" t="s">
        <v>7371</v>
      </c>
      <c r="D855" s="154" t="s">
        <v>7372</v>
      </c>
      <c r="E855" s="154" t="s">
        <v>7373</v>
      </c>
      <c r="F855" s="154" t="s">
        <v>10382</v>
      </c>
      <c r="G855" s="154" t="s">
        <v>10383</v>
      </c>
      <c r="H855" s="154" t="s">
        <v>7376</v>
      </c>
      <c r="I855" s="154" t="s">
        <v>7123</v>
      </c>
    </row>
    <row r="856" customFormat="false" ht="76" hidden="false" customHeight="true" outlineLevel="0" collapsed="false">
      <c r="A856" s="154" t="s">
        <v>6435</v>
      </c>
      <c r="B856" s="154" t="s">
        <v>9705</v>
      </c>
      <c r="C856" s="154" t="s">
        <v>7377</v>
      </c>
      <c r="D856" s="154" t="s">
        <v>7378</v>
      </c>
      <c r="E856" s="154" t="s">
        <v>7379</v>
      </c>
      <c r="F856" s="154" t="s">
        <v>10384</v>
      </c>
      <c r="G856" s="154" t="s">
        <v>10385</v>
      </c>
      <c r="H856" s="154" t="s">
        <v>7382</v>
      </c>
      <c r="I856" s="154" t="s">
        <v>7123</v>
      </c>
    </row>
    <row r="857" customFormat="false" ht="322" hidden="false" customHeight="true" outlineLevel="0" collapsed="false">
      <c r="A857" s="154" t="s">
        <v>6435</v>
      </c>
      <c r="B857" s="154" t="s">
        <v>9705</v>
      </c>
      <c r="C857" s="154" t="s">
        <v>7383</v>
      </c>
      <c r="D857" s="154" t="s">
        <v>7384</v>
      </c>
      <c r="E857" s="154" t="s">
        <v>7385</v>
      </c>
      <c r="F857" s="154" t="s">
        <v>10386</v>
      </c>
      <c r="G857" s="154" t="s">
        <v>10387</v>
      </c>
      <c r="H857" s="154" t="s">
        <v>7388</v>
      </c>
      <c r="I857" s="154" t="s">
        <v>7123</v>
      </c>
    </row>
    <row r="858" customFormat="false" ht="294" hidden="false" customHeight="true" outlineLevel="0" collapsed="false">
      <c r="A858" s="154" t="s">
        <v>6435</v>
      </c>
      <c r="B858" s="154" t="s">
        <v>9705</v>
      </c>
      <c r="C858" s="154" t="s">
        <v>7389</v>
      </c>
      <c r="D858" s="154" t="s">
        <v>7390</v>
      </c>
      <c r="E858" s="154" t="s">
        <v>7391</v>
      </c>
      <c r="F858" s="154" t="s">
        <v>10388</v>
      </c>
      <c r="G858" s="154" t="s">
        <v>10389</v>
      </c>
      <c r="H858" s="154" t="s">
        <v>7394</v>
      </c>
      <c r="I858" s="154" t="s">
        <v>7123</v>
      </c>
    </row>
    <row r="859" customFormat="false" ht="294" hidden="false" customHeight="true" outlineLevel="0" collapsed="false">
      <c r="A859" s="154" t="s">
        <v>6435</v>
      </c>
      <c r="B859" s="154" t="s">
        <v>9705</v>
      </c>
      <c r="C859" s="154" t="s">
        <v>7395</v>
      </c>
      <c r="D859" s="154" t="s">
        <v>7121</v>
      </c>
      <c r="E859" s="154" t="s">
        <v>7396</v>
      </c>
      <c r="F859" s="154" t="s">
        <v>10390</v>
      </c>
      <c r="G859" s="154" t="s">
        <v>10391</v>
      </c>
      <c r="H859" s="154" t="s">
        <v>7399</v>
      </c>
      <c r="I859" s="154" t="s">
        <v>7123</v>
      </c>
    </row>
    <row r="860" customFormat="false" ht="76" hidden="false" customHeight="true" outlineLevel="0" collapsed="false">
      <c r="A860" s="154" t="s">
        <v>6435</v>
      </c>
      <c r="B860" s="154" t="s">
        <v>9705</v>
      </c>
      <c r="C860" s="154" t="s">
        <v>4743</v>
      </c>
      <c r="D860" s="154" t="s">
        <v>7121</v>
      </c>
      <c r="E860" s="154" t="s">
        <v>7935</v>
      </c>
      <c r="F860" s="154" t="s">
        <v>10392</v>
      </c>
      <c r="G860" s="154" t="s">
        <v>10393</v>
      </c>
      <c r="H860" s="154" t="s">
        <v>7938</v>
      </c>
      <c r="I860" s="154" t="s">
        <v>7123</v>
      </c>
    </row>
    <row r="861" customFormat="false" ht="84" hidden="false" customHeight="true" outlineLevel="0" collapsed="false">
      <c r="A861" s="154" t="s">
        <v>6435</v>
      </c>
      <c r="B861" s="154" t="s">
        <v>9705</v>
      </c>
      <c r="C861" s="154" t="s">
        <v>4743</v>
      </c>
      <c r="D861" s="154" t="s">
        <v>7121</v>
      </c>
      <c r="E861" s="154" t="s">
        <v>7402</v>
      </c>
      <c r="F861" s="154" t="s">
        <v>10394</v>
      </c>
      <c r="G861" s="154" t="s">
        <v>10395</v>
      </c>
      <c r="H861" s="154" t="s">
        <v>7405</v>
      </c>
      <c r="I861" s="154" t="s">
        <v>7123</v>
      </c>
    </row>
    <row r="862" customFormat="false" ht="76" hidden="false" customHeight="true" outlineLevel="0" collapsed="false">
      <c r="A862" s="154" t="s">
        <v>6435</v>
      </c>
      <c r="B862" s="154" t="s">
        <v>9705</v>
      </c>
      <c r="C862" s="154" t="s">
        <v>4743</v>
      </c>
      <c r="D862" s="154" t="s">
        <v>7121</v>
      </c>
      <c r="E862" s="154" t="s">
        <v>7406</v>
      </c>
      <c r="F862" s="154" t="s">
        <v>10396</v>
      </c>
      <c r="G862" s="154" t="s">
        <v>10397</v>
      </c>
      <c r="H862" s="154" t="s">
        <v>7409</v>
      </c>
      <c r="I862" s="154" t="s">
        <v>7123</v>
      </c>
    </row>
    <row r="863" customFormat="false" ht="76" hidden="false" customHeight="true" outlineLevel="0" collapsed="false">
      <c r="A863" s="154" t="s">
        <v>6714</v>
      </c>
      <c r="B863" s="154" t="s">
        <v>9705</v>
      </c>
      <c r="C863" s="154" t="s">
        <v>4743</v>
      </c>
      <c r="D863" s="154" t="s">
        <v>7121</v>
      </c>
      <c r="E863" s="154" t="s">
        <v>7129</v>
      </c>
      <c r="F863" s="154" t="s">
        <v>10398</v>
      </c>
      <c r="G863" s="154" t="s">
        <v>10399</v>
      </c>
      <c r="H863" s="154" t="s">
        <v>7132</v>
      </c>
      <c r="I863" s="154" t="s">
        <v>7123</v>
      </c>
    </row>
    <row r="864" customFormat="false" ht="84" hidden="false" customHeight="true" outlineLevel="0" collapsed="false">
      <c r="A864" s="154" t="s">
        <v>6714</v>
      </c>
      <c r="B864" s="154" t="s">
        <v>9705</v>
      </c>
      <c r="C864" s="154" t="s">
        <v>7658</v>
      </c>
      <c r="D864" s="154" t="s">
        <v>7659</v>
      </c>
      <c r="E864" s="154" t="s">
        <v>7660</v>
      </c>
      <c r="F864" s="154" t="s">
        <v>10400</v>
      </c>
      <c r="G864" s="154" t="s">
        <v>10401</v>
      </c>
      <c r="H864" s="154" t="s">
        <v>7663</v>
      </c>
      <c r="I864" s="154" t="s">
        <v>7123</v>
      </c>
    </row>
    <row r="865" customFormat="false" ht="84" hidden="false" customHeight="true" outlineLevel="0" collapsed="false">
      <c r="A865" s="154" t="s">
        <v>6714</v>
      </c>
      <c r="B865" s="154" t="s">
        <v>9705</v>
      </c>
      <c r="C865" s="154" t="s">
        <v>7664</v>
      </c>
      <c r="D865" s="154" t="s">
        <v>7665</v>
      </c>
      <c r="E865" s="154" t="s">
        <v>7666</v>
      </c>
      <c r="F865" s="154" t="s">
        <v>10402</v>
      </c>
      <c r="G865" s="154" t="s">
        <v>10403</v>
      </c>
      <c r="H865" s="154" t="s">
        <v>7669</v>
      </c>
      <c r="I865" s="154" t="s">
        <v>7123</v>
      </c>
    </row>
    <row r="866" customFormat="false" ht="76" hidden="false" customHeight="true" outlineLevel="0" collapsed="false">
      <c r="A866" s="154" t="s">
        <v>6714</v>
      </c>
      <c r="B866" s="154" t="s">
        <v>9705</v>
      </c>
      <c r="C866" s="154" t="s">
        <v>7670</v>
      </c>
      <c r="D866" s="154" t="s">
        <v>7671</v>
      </c>
      <c r="E866" s="154" t="s">
        <v>7672</v>
      </c>
      <c r="F866" s="154" t="s">
        <v>10404</v>
      </c>
      <c r="G866" s="154" t="s">
        <v>10405</v>
      </c>
      <c r="H866" s="154" t="s">
        <v>7675</v>
      </c>
      <c r="I866" s="154" t="s">
        <v>7123</v>
      </c>
    </row>
    <row r="867" customFormat="false" ht="76" hidden="false" customHeight="true" outlineLevel="0" collapsed="false">
      <c r="A867" s="154" t="s">
        <v>6714</v>
      </c>
      <c r="B867" s="154" t="s">
        <v>9705</v>
      </c>
      <c r="C867" s="154" t="s">
        <v>7676</v>
      </c>
      <c r="D867" s="154" t="s">
        <v>7677</v>
      </c>
      <c r="E867" s="154" t="s">
        <v>7678</v>
      </c>
      <c r="F867" s="154" t="s">
        <v>10406</v>
      </c>
      <c r="G867" s="154" t="s">
        <v>10407</v>
      </c>
      <c r="H867" s="154" t="s">
        <v>7681</v>
      </c>
      <c r="I867" s="154" t="s">
        <v>7123</v>
      </c>
    </row>
    <row r="868" customFormat="false" ht="76" hidden="false" customHeight="true" outlineLevel="0" collapsed="false">
      <c r="A868" s="154" t="s">
        <v>6714</v>
      </c>
      <c r="B868" s="154" t="s">
        <v>9705</v>
      </c>
      <c r="C868" s="154" t="s">
        <v>7682</v>
      </c>
      <c r="D868" s="154" t="s">
        <v>7683</v>
      </c>
      <c r="E868" s="154" t="s">
        <v>7684</v>
      </c>
      <c r="F868" s="154" t="s">
        <v>10408</v>
      </c>
      <c r="G868" s="154" t="s">
        <v>10409</v>
      </c>
      <c r="H868" s="154" t="s">
        <v>7687</v>
      </c>
      <c r="I868" s="154" t="s">
        <v>7123</v>
      </c>
    </row>
    <row r="869" customFormat="false" ht="76" hidden="false" customHeight="true" outlineLevel="0" collapsed="false">
      <c r="A869" s="154" t="s">
        <v>6714</v>
      </c>
      <c r="B869" s="154" t="s">
        <v>9705</v>
      </c>
      <c r="C869" s="154" t="s">
        <v>7688</v>
      </c>
      <c r="D869" s="154" t="s">
        <v>7689</v>
      </c>
      <c r="E869" s="154" t="s">
        <v>7690</v>
      </c>
      <c r="F869" s="154" t="s">
        <v>10410</v>
      </c>
      <c r="G869" s="154" t="s">
        <v>10411</v>
      </c>
      <c r="H869" s="154" t="s">
        <v>7693</v>
      </c>
      <c r="I869" s="154" t="s">
        <v>7123</v>
      </c>
    </row>
    <row r="870" customFormat="false" ht="76" hidden="false" customHeight="true" outlineLevel="0" collapsed="false">
      <c r="A870" s="154" t="s">
        <v>6714</v>
      </c>
      <c r="B870" s="154" t="s">
        <v>9705</v>
      </c>
      <c r="C870" s="154" t="s">
        <v>7694</v>
      </c>
      <c r="D870" s="154" t="s">
        <v>7695</v>
      </c>
      <c r="E870" s="154" t="s">
        <v>7696</v>
      </c>
      <c r="F870" s="154" t="s">
        <v>10412</v>
      </c>
      <c r="G870" s="154" t="s">
        <v>10413</v>
      </c>
      <c r="H870" s="154" t="s">
        <v>7699</v>
      </c>
      <c r="I870" s="154" t="s">
        <v>7123</v>
      </c>
    </row>
    <row r="871" customFormat="false" ht="84" hidden="false" customHeight="true" outlineLevel="0" collapsed="false">
      <c r="A871" s="154" t="s">
        <v>6714</v>
      </c>
      <c r="B871" s="154" t="s">
        <v>9705</v>
      </c>
      <c r="C871" s="154" t="s">
        <v>7700</v>
      </c>
      <c r="D871" s="154" t="s">
        <v>7701</v>
      </c>
      <c r="E871" s="154" t="s">
        <v>7702</v>
      </c>
      <c r="F871" s="154" t="s">
        <v>10414</v>
      </c>
      <c r="G871" s="154" t="s">
        <v>10415</v>
      </c>
      <c r="H871" s="154" t="s">
        <v>7705</v>
      </c>
      <c r="I871" s="154" t="s">
        <v>7123</v>
      </c>
    </row>
    <row r="872" customFormat="false" ht="76" hidden="false" customHeight="true" outlineLevel="0" collapsed="false">
      <c r="A872" s="154" t="s">
        <v>6714</v>
      </c>
      <c r="B872" s="154" t="s">
        <v>9705</v>
      </c>
      <c r="C872" s="154" t="s">
        <v>7706</v>
      </c>
      <c r="D872" s="154" t="s">
        <v>7707</v>
      </c>
      <c r="E872" s="154" t="s">
        <v>7708</v>
      </c>
      <c r="F872" s="154" t="s">
        <v>10416</v>
      </c>
      <c r="G872" s="154" t="s">
        <v>10417</v>
      </c>
      <c r="H872" s="154" t="s">
        <v>7711</v>
      </c>
      <c r="I872" s="154" t="s">
        <v>7123</v>
      </c>
    </row>
    <row r="873" customFormat="false" ht="84" hidden="false" customHeight="true" outlineLevel="0" collapsed="false">
      <c r="A873" s="154" t="s">
        <v>6714</v>
      </c>
      <c r="B873" s="154" t="s">
        <v>9705</v>
      </c>
      <c r="C873" s="154" t="s">
        <v>7712</v>
      </c>
      <c r="D873" s="154" t="s">
        <v>7713</v>
      </c>
      <c r="E873" s="154" t="s">
        <v>7714</v>
      </c>
      <c r="F873" s="154" t="s">
        <v>10418</v>
      </c>
      <c r="G873" s="154" t="s">
        <v>10419</v>
      </c>
      <c r="H873" s="154" t="s">
        <v>7717</v>
      </c>
      <c r="I873" s="154" t="s">
        <v>7123</v>
      </c>
    </row>
    <row r="874" customFormat="false" ht="182" hidden="false" customHeight="true" outlineLevel="0" collapsed="false">
      <c r="A874" s="154" t="s">
        <v>6714</v>
      </c>
      <c r="B874" s="154" t="s">
        <v>9705</v>
      </c>
      <c r="C874" s="154" t="s">
        <v>4743</v>
      </c>
      <c r="D874" s="154" t="s">
        <v>7121</v>
      </c>
      <c r="E874" s="154" t="s">
        <v>7718</v>
      </c>
      <c r="F874" s="154" t="s">
        <v>10420</v>
      </c>
      <c r="G874" s="154" t="s">
        <v>10421</v>
      </c>
      <c r="H874" s="154" t="s">
        <v>7721</v>
      </c>
      <c r="I874" s="154" t="s">
        <v>7123</v>
      </c>
    </row>
    <row r="875" customFormat="false" ht="76" hidden="false" customHeight="true" outlineLevel="0" collapsed="false">
      <c r="A875" s="154" t="s">
        <v>6714</v>
      </c>
      <c r="B875" s="154" t="s">
        <v>9705</v>
      </c>
      <c r="C875" s="154" t="s">
        <v>4743</v>
      </c>
      <c r="D875" s="154" t="s">
        <v>7121</v>
      </c>
      <c r="E875" s="154" t="s">
        <v>7935</v>
      </c>
      <c r="F875" s="154" t="s">
        <v>10422</v>
      </c>
      <c r="G875" s="154" t="s">
        <v>10423</v>
      </c>
      <c r="H875" s="154" t="s">
        <v>7938</v>
      </c>
      <c r="I875" s="154" t="s">
        <v>7123</v>
      </c>
    </row>
    <row r="876" customFormat="false" ht="76" hidden="false" customHeight="true" outlineLevel="0" collapsed="false">
      <c r="A876" s="154" t="s">
        <v>6714</v>
      </c>
      <c r="B876" s="154" t="s">
        <v>9705</v>
      </c>
      <c r="C876" s="154" t="s">
        <v>4743</v>
      </c>
      <c r="D876" s="154" t="s">
        <v>7121</v>
      </c>
      <c r="E876" s="154" t="s">
        <v>7724</v>
      </c>
      <c r="F876" s="154" t="s">
        <v>10424</v>
      </c>
      <c r="G876" s="154" t="s">
        <v>10425</v>
      </c>
      <c r="H876" s="154" t="s">
        <v>7727</v>
      </c>
      <c r="I876" s="154" t="s">
        <v>7123</v>
      </c>
    </row>
    <row r="877" customFormat="false" ht="76" hidden="false" customHeight="true" outlineLevel="0" collapsed="false">
      <c r="A877" s="154" t="s">
        <v>6714</v>
      </c>
      <c r="B877" s="154" t="s">
        <v>9705</v>
      </c>
      <c r="C877" s="154" t="s">
        <v>4743</v>
      </c>
      <c r="D877" s="154" t="s">
        <v>7121</v>
      </c>
      <c r="E877" s="154" t="s">
        <v>7728</v>
      </c>
      <c r="F877" s="154" t="s">
        <v>10426</v>
      </c>
      <c r="G877" s="154" t="s">
        <v>10427</v>
      </c>
      <c r="H877" s="154" t="s">
        <v>7731</v>
      </c>
      <c r="I877" s="154" t="s">
        <v>7123</v>
      </c>
    </row>
    <row r="878" customFormat="false" ht="76" hidden="false" customHeight="true" outlineLevel="0" collapsed="false">
      <c r="A878" s="154" t="s">
        <v>6734</v>
      </c>
      <c r="B878" s="154" t="s">
        <v>9705</v>
      </c>
      <c r="C878" s="154" t="s">
        <v>4743</v>
      </c>
      <c r="D878" s="154" t="s">
        <v>7121</v>
      </c>
      <c r="E878" s="154" t="s">
        <v>7129</v>
      </c>
      <c r="F878" s="154" t="s">
        <v>10428</v>
      </c>
      <c r="G878" s="154" t="s">
        <v>10429</v>
      </c>
      <c r="H878" s="154" t="s">
        <v>7132</v>
      </c>
      <c r="I878" s="154" t="s">
        <v>7123</v>
      </c>
    </row>
    <row r="879" customFormat="false" ht="126" hidden="false" customHeight="true" outlineLevel="0" collapsed="false">
      <c r="A879" s="154" t="s">
        <v>6734</v>
      </c>
      <c r="B879" s="154" t="s">
        <v>9705</v>
      </c>
      <c r="C879" s="154" t="s">
        <v>4743</v>
      </c>
      <c r="D879" s="154" t="s">
        <v>7121</v>
      </c>
      <c r="E879" s="154" t="s">
        <v>7771</v>
      </c>
      <c r="F879" s="154" t="s">
        <v>10430</v>
      </c>
      <c r="G879" s="154" t="s">
        <v>10431</v>
      </c>
      <c r="H879" s="154" t="s">
        <v>7774</v>
      </c>
      <c r="I879" s="154" t="s">
        <v>7123</v>
      </c>
    </row>
    <row r="880" customFormat="false" ht="322" hidden="false" customHeight="true" outlineLevel="0" collapsed="false">
      <c r="A880" s="154" t="s">
        <v>6734</v>
      </c>
      <c r="B880" s="154" t="s">
        <v>9705</v>
      </c>
      <c r="C880" s="154" t="s">
        <v>4743</v>
      </c>
      <c r="D880" s="154" t="s">
        <v>7121</v>
      </c>
      <c r="E880" s="154" t="s">
        <v>7775</v>
      </c>
      <c r="F880" s="154" t="s">
        <v>10432</v>
      </c>
      <c r="G880" s="154" t="s">
        <v>10433</v>
      </c>
      <c r="H880" s="154" t="s">
        <v>7778</v>
      </c>
      <c r="I880" s="154" t="s">
        <v>7123</v>
      </c>
    </row>
    <row r="881" customFormat="false" ht="76" hidden="false" customHeight="true" outlineLevel="0" collapsed="false">
      <c r="A881" s="154" t="s">
        <v>6734</v>
      </c>
      <c r="B881" s="154" t="s">
        <v>9705</v>
      </c>
      <c r="C881" s="154" t="s">
        <v>4743</v>
      </c>
      <c r="D881" s="154" t="s">
        <v>7121</v>
      </c>
      <c r="E881" s="154" t="s">
        <v>7935</v>
      </c>
      <c r="F881" s="154" t="s">
        <v>10434</v>
      </c>
      <c r="G881" s="154" t="s">
        <v>10435</v>
      </c>
      <c r="H881" s="154" t="s">
        <v>7938</v>
      </c>
      <c r="I881" s="154" t="s">
        <v>7123</v>
      </c>
    </row>
    <row r="882" customFormat="false" ht="76" hidden="false" customHeight="true" outlineLevel="0" collapsed="false">
      <c r="A882" s="154" t="s">
        <v>6734</v>
      </c>
      <c r="B882" s="154" t="s">
        <v>9705</v>
      </c>
      <c r="C882" s="154" t="s">
        <v>4743</v>
      </c>
      <c r="D882" s="154" t="s">
        <v>7121</v>
      </c>
      <c r="E882" s="154" t="s">
        <v>7781</v>
      </c>
      <c r="F882" s="154" t="s">
        <v>10436</v>
      </c>
      <c r="G882" s="154" t="s">
        <v>10437</v>
      </c>
      <c r="H882" s="154" t="s">
        <v>7784</v>
      </c>
      <c r="I882" s="154" t="s">
        <v>7123</v>
      </c>
    </row>
    <row r="883" customFormat="false" ht="76" hidden="false" customHeight="true" outlineLevel="0" collapsed="false">
      <c r="A883" s="154" t="s">
        <v>6734</v>
      </c>
      <c r="B883" s="154" t="s">
        <v>9705</v>
      </c>
      <c r="C883" s="154" t="s">
        <v>4743</v>
      </c>
      <c r="D883" s="154" t="s">
        <v>7121</v>
      </c>
      <c r="E883" s="154" t="s">
        <v>7785</v>
      </c>
      <c r="F883" s="154" t="s">
        <v>10438</v>
      </c>
      <c r="G883" s="154" t="s">
        <v>10439</v>
      </c>
      <c r="H883" s="154" t="s">
        <v>7788</v>
      </c>
      <c r="I883" s="154" t="s">
        <v>7123</v>
      </c>
    </row>
    <row r="884" customFormat="false" ht="76" hidden="false" customHeight="true" outlineLevel="0" collapsed="false">
      <c r="A884" s="154" t="s">
        <v>6790</v>
      </c>
      <c r="B884" s="154" t="s">
        <v>9705</v>
      </c>
      <c r="C884" s="154" t="s">
        <v>4743</v>
      </c>
      <c r="D884" s="154" t="s">
        <v>7121</v>
      </c>
      <c r="E884" s="154" t="s">
        <v>7129</v>
      </c>
      <c r="F884" s="154" t="s">
        <v>10440</v>
      </c>
      <c r="G884" s="154" t="s">
        <v>10441</v>
      </c>
      <c r="H884" s="154" t="s">
        <v>7132</v>
      </c>
      <c r="I884" s="154" t="s">
        <v>7123</v>
      </c>
    </row>
    <row r="885" customFormat="false" ht="84" hidden="false" customHeight="true" outlineLevel="0" collapsed="false">
      <c r="A885" s="154" t="s">
        <v>6790</v>
      </c>
      <c r="B885" s="154" t="s">
        <v>9705</v>
      </c>
      <c r="C885" s="154" t="s">
        <v>7950</v>
      </c>
      <c r="D885" s="154" t="s">
        <v>7951</v>
      </c>
      <c r="E885" s="154" t="s">
        <v>7952</v>
      </c>
      <c r="F885" s="154" t="s">
        <v>10442</v>
      </c>
      <c r="G885" s="154" t="s">
        <v>10443</v>
      </c>
      <c r="H885" s="154" t="s">
        <v>7955</v>
      </c>
      <c r="I885" s="154" t="s">
        <v>7123</v>
      </c>
    </row>
    <row r="886" customFormat="false" ht="76" hidden="false" customHeight="true" outlineLevel="0" collapsed="false">
      <c r="A886" s="154" t="s">
        <v>6790</v>
      </c>
      <c r="B886" s="154" t="s">
        <v>9705</v>
      </c>
      <c r="C886" s="154" t="s">
        <v>7956</v>
      </c>
      <c r="D886" s="154" t="s">
        <v>7957</v>
      </c>
      <c r="E886" s="154" t="s">
        <v>7958</v>
      </c>
      <c r="F886" s="154" t="s">
        <v>10444</v>
      </c>
      <c r="G886" s="154" t="s">
        <v>10445</v>
      </c>
      <c r="H886" s="154" t="s">
        <v>7961</v>
      </c>
      <c r="I886" s="154" t="s">
        <v>7123</v>
      </c>
    </row>
    <row r="887" customFormat="false" ht="84" hidden="false" customHeight="true" outlineLevel="0" collapsed="false">
      <c r="A887" s="154" t="s">
        <v>6790</v>
      </c>
      <c r="B887" s="154" t="s">
        <v>9705</v>
      </c>
      <c r="C887" s="154" t="s">
        <v>7962</v>
      </c>
      <c r="D887" s="154" t="s">
        <v>7963</v>
      </c>
      <c r="E887" s="154" t="s">
        <v>7964</v>
      </c>
      <c r="F887" s="154" t="s">
        <v>10446</v>
      </c>
      <c r="G887" s="154" t="s">
        <v>10447</v>
      </c>
      <c r="H887" s="154" t="s">
        <v>7967</v>
      </c>
      <c r="I887" s="154" t="s">
        <v>7123</v>
      </c>
    </row>
    <row r="888" customFormat="false" ht="76" hidden="false" customHeight="true" outlineLevel="0" collapsed="false">
      <c r="A888" s="154" t="s">
        <v>6790</v>
      </c>
      <c r="B888" s="154" t="s">
        <v>9705</v>
      </c>
      <c r="C888" s="154" t="s">
        <v>7968</v>
      </c>
      <c r="D888" s="154" t="s">
        <v>7969</v>
      </c>
      <c r="E888" s="154" t="s">
        <v>7970</v>
      </c>
      <c r="F888" s="154" t="s">
        <v>10448</v>
      </c>
      <c r="G888" s="154" t="s">
        <v>10449</v>
      </c>
      <c r="H888" s="154" t="s">
        <v>7973</v>
      </c>
      <c r="I888" s="154" t="s">
        <v>7123</v>
      </c>
    </row>
    <row r="889" customFormat="false" ht="76" hidden="false" customHeight="true" outlineLevel="0" collapsed="false">
      <c r="A889" s="154" t="s">
        <v>6790</v>
      </c>
      <c r="B889" s="154" t="s">
        <v>9705</v>
      </c>
      <c r="C889" s="154" t="s">
        <v>7974</v>
      </c>
      <c r="D889" s="154" t="s">
        <v>7975</v>
      </c>
      <c r="E889" s="154" t="s">
        <v>7976</v>
      </c>
      <c r="F889" s="154" t="s">
        <v>10450</v>
      </c>
      <c r="G889" s="154" t="s">
        <v>10451</v>
      </c>
      <c r="H889" s="154" t="s">
        <v>7979</v>
      </c>
      <c r="I889" s="154" t="s">
        <v>7123</v>
      </c>
    </row>
    <row r="890" customFormat="false" ht="76" hidden="false" customHeight="true" outlineLevel="0" collapsed="false">
      <c r="A890" s="154" t="s">
        <v>6790</v>
      </c>
      <c r="B890" s="154" t="s">
        <v>9705</v>
      </c>
      <c r="C890" s="154" t="s">
        <v>7980</v>
      </c>
      <c r="D890" s="154" t="s">
        <v>7981</v>
      </c>
      <c r="E890" s="154" t="s">
        <v>7982</v>
      </c>
      <c r="F890" s="154" t="s">
        <v>10452</v>
      </c>
      <c r="G890" s="154" t="s">
        <v>10453</v>
      </c>
      <c r="H890" s="154" t="s">
        <v>7985</v>
      </c>
      <c r="I890" s="154" t="s">
        <v>7123</v>
      </c>
    </row>
    <row r="891" customFormat="false" ht="76" hidden="false" customHeight="true" outlineLevel="0" collapsed="false">
      <c r="A891" s="154" t="s">
        <v>6790</v>
      </c>
      <c r="B891" s="154" t="s">
        <v>9705</v>
      </c>
      <c r="C891" s="154" t="s">
        <v>7986</v>
      </c>
      <c r="D891" s="154" t="s">
        <v>7987</v>
      </c>
      <c r="E891" s="154" t="s">
        <v>7988</v>
      </c>
      <c r="F891" s="154" t="s">
        <v>10454</v>
      </c>
      <c r="G891" s="154" t="s">
        <v>10455</v>
      </c>
      <c r="H891" s="154" t="s">
        <v>7991</v>
      </c>
      <c r="I891" s="154" t="s">
        <v>7123</v>
      </c>
    </row>
    <row r="892" customFormat="false" ht="98" hidden="false" customHeight="true" outlineLevel="0" collapsed="false">
      <c r="A892" s="154" t="s">
        <v>6790</v>
      </c>
      <c r="B892" s="154" t="s">
        <v>9705</v>
      </c>
      <c r="C892" s="154" t="s">
        <v>7992</v>
      </c>
      <c r="D892" s="154" t="s">
        <v>7993</v>
      </c>
      <c r="E892" s="154" t="s">
        <v>7994</v>
      </c>
      <c r="F892" s="154" t="s">
        <v>10456</v>
      </c>
      <c r="G892" s="154" t="s">
        <v>10457</v>
      </c>
      <c r="H892" s="154" t="s">
        <v>7997</v>
      </c>
      <c r="I892" s="154" t="s">
        <v>7123</v>
      </c>
    </row>
    <row r="893" customFormat="false" ht="84" hidden="false" customHeight="true" outlineLevel="0" collapsed="false">
      <c r="A893" s="154" t="s">
        <v>6790</v>
      </c>
      <c r="B893" s="154" t="s">
        <v>9705</v>
      </c>
      <c r="C893" s="154" t="s">
        <v>7998</v>
      </c>
      <c r="D893" s="154" t="s">
        <v>7999</v>
      </c>
      <c r="E893" s="154" t="s">
        <v>8000</v>
      </c>
      <c r="F893" s="154" t="s">
        <v>10458</v>
      </c>
      <c r="G893" s="154" t="s">
        <v>10459</v>
      </c>
      <c r="H893" s="154" t="s">
        <v>8003</v>
      </c>
      <c r="I893" s="154" t="s">
        <v>7123</v>
      </c>
    </row>
    <row r="894" customFormat="false" ht="76" hidden="false" customHeight="true" outlineLevel="0" collapsed="false">
      <c r="A894" s="154" t="s">
        <v>6790</v>
      </c>
      <c r="B894" s="154" t="s">
        <v>9705</v>
      </c>
      <c r="C894" s="154" t="s">
        <v>8004</v>
      </c>
      <c r="D894" s="154" t="s">
        <v>8005</v>
      </c>
      <c r="E894" s="154" t="s">
        <v>8006</v>
      </c>
      <c r="F894" s="154" t="s">
        <v>10460</v>
      </c>
      <c r="G894" s="154" t="s">
        <v>10461</v>
      </c>
      <c r="H894" s="154" t="s">
        <v>8009</v>
      </c>
      <c r="I894" s="154" t="s">
        <v>7123</v>
      </c>
    </row>
    <row r="895" customFormat="false" ht="322" hidden="false" customHeight="true" outlineLevel="0" collapsed="false">
      <c r="A895" s="154" t="s">
        <v>6790</v>
      </c>
      <c r="B895" s="154" t="s">
        <v>9705</v>
      </c>
      <c r="C895" s="154" t="s">
        <v>8010</v>
      </c>
      <c r="D895" s="154" t="s">
        <v>8011</v>
      </c>
      <c r="E895" s="154" t="s">
        <v>8012</v>
      </c>
      <c r="F895" s="154" t="s">
        <v>10462</v>
      </c>
      <c r="G895" s="154" t="s">
        <v>10463</v>
      </c>
      <c r="H895" s="154" t="s">
        <v>8015</v>
      </c>
      <c r="I895" s="154" t="s">
        <v>7123</v>
      </c>
    </row>
    <row r="896" customFormat="false" ht="112" hidden="false" customHeight="true" outlineLevel="0" collapsed="false">
      <c r="A896" s="154" t="s">
        <v>6790</v>
      </c>
      <c r="B896" s="154" t="s">
        <v>9705</v>
      </c>
      <c r="C896" s="154" t="s">
        <v>8016</v>
      </c>
      <c r="D896" s="154" t="s">
        <v>8017</v>
      </c>
      <c r="E896" s="154" t="s">
        <v>8018</v>
      </c>
      <c r="F896" s="154" t="s">
        <v>10464</v>
      </c>
      <c r="G896" s="154" t="s">
        <v>10465</v>
      </c>
      <c r="H896" s="154" t="s">
        <v>8021</v>
      </c>
      <c r="I896" s="154" t="s">
        <v>7123</v>
      </c>
    </row>
    <row r="897" customFormat="false" ht="76" hidden="false" customHeight="true" outlineLevel="0" collapsed="false">
      <c r="A897" s="154" t="s">
        <v>6790</v>
      </c>
      <c r="B897" s="154" t="s">
        <v>9705</v>
      </c>
      <c r="C897" s="154" t="s">
        <v>4743</v>
      </c>
      <c r="D897" s="154" t="s">
        <v>7121</v>
      </c>
      <c r="E897" s="154" t="s">
        <v>7935</v>
      </c>
      <c r="F897" s="154" t="s">
        <v>10466</v>
      </c>
      <c r="G897" s="154" t="s">
        <v>10467</v>
      </c>
      <c r="H897" s="154" t="s">
        <v>7938</v>
      </c>
      <c r="I897" s="154" t="s">
        <v>7123</v>
      </c>
    </row>
    <row r="898" customFormat="false" ht="76" hidden="false" customHeight="true" outlineLevel="0" collapsed="false">
      <c r="A898" s="154" t="s">
        <v>6790</v>
      </c>
      <c r="B898" s="154" t="s">
        <v>9705</v>
      </c>
      <c r="C898" s="154" t="s">
        <v>4743</v>
      </c>
      <c r="D898" s="154" t="s">
        <v>7121</v>
      </c>
      <c r="E898" s="154" t="s">
        <v>8024</v>
      </c>
      <c r="F898" s="154" t="s">
        <v>10468</v>
      </c>
      <c r="G898" s="154" t="s">
        <v>10469</v>
      </c>
      <c r="H898" s="154" t="s">
        <v>8027</v>
      </c>
      <c r="I898" s="154" t="s">
        <v>7123</v>
      </c>
    </row>
    <row r="899" customFormat="false" ht="76" hidden="false" customHeight="true" outlineLevel="0" collapsed="false">
      <c r="A899" s="154" t="s">
        <v>6790</v>
      </c>
      <c r="B899" s="154" t="s">
        <v>9705</v>
      </c>
      <c r="C899" s="154" t="s">
        <v>4743</v>
      </c>
      <c r="D899" s="154" t="s">
        <v>7121</v>
      </c>
      <c r="E899" s="154" t="s">
        <v>8028</v>
      </c>
      <c r="F899" s="154" t="s">
        <v>10470</v>
      </c>
      <c r="G899" s="154" t="s">
        <v>10471</v>
      </c>
      <c r="H899" s="154" t="s">
        <v>8031</v>
      </c>
      <c r="I899" s="154" t="s">
        <v>7123</v>
      </c>
    </row>
    <row r="900" customFormat="false" ht="76" hidden="false" customHeight="true" outlineLevel="0" collapsed="false">
      <c r="A900" s="154" t="s">
        <v>6866</v>
      </c>
      <c r="B900" s="154" t="s">
        <v>9705</v>
      </c>
      <c r="C900" s="154" t="s">
        <v>4743</v>
      </c>
      <c r="D900" s="154" t="s">
        <v>7121</v>
      </c>
      <c r="E900" s="154" t="s">
        <v>7129</v>
      </c>
      <c r="F900" s="154" t="s">
        <v>10472</v>
      </c>
      <c r="G900" s="154" t="s">
        <v>10473</v>
      </c>
      <c r="H900" s="154" t="s">
        <v>7132</v>
      </c>
      <c r="I900" s="154" t="s">
        <v>7123</v>
      </c>
    </row>
    <row r="901" customFormat="false" ht="76" hidden="false" customHeight="true" outlineLevel="0" collapsed="false">
      <c r="A901" s="154" t="s">
        <v>6866</v>
      </c>
      <c r="B901" s="154" t="s">
        <v>9705</v>
      </c>
      <c r="C901" s="154" t="s">
        <v>8407</v>
      </c>
      <c r="D901" s="154" t="s">
        <v>8146</v>
      </c>
      <c r="E901" s="154" t="s">
        <v>8408</v>
      </c>
      <c r="F901" s="154" t="s">
        <v>10474</v>
      </c>
      <c r="G901" s="154" t="s">
        <v>10475</v>
      </c>
      <c r="H901" s="154" t="s">
        <v>8411</v>
      </c>
      <c r="I901" s="154" t="s">
        <v>7123</v>
      </c>
    </row>
    <row r="902" customFormat="false" ht="76" hidden="false" customHeight="true" outlineLevel="0" collapsed="false">
      <c r="A902" s="154" t="s">
        <v>6866</v>
      </c>
      <c r="B902" s="154" t="s">
        <v>9705</v>
      </c>
      <c r="C902" s="154" t="s">
        <v>8412</v>
      </c>
      <c r="D902" s="154" t="s">
        <v>7957</v>
      </c>
      <c r="E902" s="154" t="s">
        <v>8413</v>
      </c>
      <c r="F902" s="154" t="s">
        <v>10476</v>
      </c>
      <c r="G902" s="154" t="s">
        <v>10477</v>
      </c>
      <c r="H902" s="154" t="s">
        <v>8416</v>
      </c>
      <c r="I902" s="154" t="s">
        <v>7123</v>
      </c>
    </row>
    <row r="903" customFormat="false" ht="76" hidden="false" customHeight="true" outlineLevel="0" collapsed="false">
      <c r="A903" s="154" t="s">
        <v>6866</v>
      </c>
      <c r="B903" s="154" t="s">
        <v>9705</v>
      </c>
      <c r="C903" s="154" t="s">
        <v>8417</v>
      </c>
      <c r="D903" s="154" t="s">
        <v>8418</v>
      </c>
      <c r="E903" s="154" t="s">
        <v>8419</v>
      </c>
      <c r="F903" s="154" t="s">
        <v>10478</v>
      </c>
      <c r="G903" s="154" t="s">
        <v>10479</v>
      </c>
      <c r="H903" s="154" t="s">
        <v>8422</v>
      </c>
      <c r="I903" s="154" t="s">
        <v>7123</v>
      </c>
    </row>
    <row r="904" customFormat="false" ht="84" hidden="false" customHeight="true" outlineLevel="0" collapsed="false">
      <c r="A904" s="154" t="s">
        <v>6866</v>
      </c>
      <c r="B904" s="154" t="s">
        <v>9705</v>
      </c>
      <c r="C904" s="154" t="s">
        <v>8423</v>
      </c>
      <c r="D904" s="154" t="s">
        <v>5849</v>
      </c>
      <c r="E904" s="154" t="s">
        <v>8424</v>
      </c>
      <c r="F904" s="154" t="s">
        <v>10480</v>
      </c>
      <c r="G904" s="154" t="s">
        <v>10481</v>
      </c>
      <c r="H904" s="154" t="s">
        <v>8427</v>
      </c>
      <c r="I904" s="154" t="s">
        <v>7123</v>
      </c>
    </row>
    <row r="905" customFormat="false" ht="84" hidden="false" customHeight="true" outlineLevel="0" collapsed="false">
      <c r="A905" s="154" t="s">
        <v>6866</v>
      </c>
      <c r="B905" s="154" t="s">
        <v>9705</v>
      </c>
      <c r="C905" s="154" t="s">
        <v>8428</v>
      </c>
      <c r="D905" s="154" t="s">
        <v>8429</v>
      </c>
      <c r="E905" s="154" t="s">
        <v>8430</v>
      </c>
      <c r="F905" s="154" t="s">
        <v>10482</v>
      </c>
      <c r="G905" s="154" t="s">
        <v>10483</v>
      </c>
      <c r="H905" s="154" t="s">
        <v>8433</v>
      </c>
      <c r="I905" s="154" t="s">
        <v>7123</v>
      </c>
    </row>
    <row r="906" customFormat="false" ht="98" hidden="false" customHeight="true" outlineLevel="0" collapsed="false">
      <c r="A906" s="154" t="s">
        <v>6866</v>
      </c>
      <c r="B906" s="154" t="s">
        <v>9705</v>
      </c>
      <c r="C906" s="154" t="s">
        <v>8434</v>
      </c>
      <c r="D906" s="154" t="s">
        <v>8435</v>
      </c>
      <c r="E906" s="154" t="s">
        <v>8436</v>
      </c>
      <c r="F906" s="154" t="s">
        <v>10484</v>
      </c>
      <c r="G906" s="154" t="s">
        <v>10485</v>
      </c>
      <c r="H906" s="154" t="s">
        <v>8439</v>
      </c>
      <c r="I906" s="154" t="s">
        <v>7123</v>
      </c>
    </row>
    <row r="907" customFormat="false" ht="98" hidden="false" customHeight="true" outlineLevel="0" collapsed="false">
      <c r="A907" s="154" t="s">
        <v>6866</v>
      </c>
      <c r="B907" s="154" t="s">
        <v>9705</v>
      </c>
      <c r="C907" s="154" t="s">
        <v>8440</v>
      </c>
      <c r="D907" s="154" t="s">
        <v>8441</v>
      </c>
      <c r="E907" s="154" t="s">
        <v>8442</v>
      </c>
      <c r="F907" s="154" t="s">
        <v>10486</v>
      </c>
      <c r="G907" s="154" t="s">
        <v>10487</v>
      </c>
      <c r="H907" s="154" t="s">
        <v>8445</v>
      </c>
      <c r="I907" s="154" t="s">
        <v>7123</v>
      </c>
    </row>
    <row r="908" customFormat="false" ht="196" hidden="false" customHeight="true" outlineLevel="0" collapsed="false">
      <c r="A908" s="154" t="s">
        <v>6866</v>
      </c>
      <c r="B908" s="154" t="s">
        <v>9705</v>
      </c>
      <c r="C908" s="154" t="s">
        <v>4743</v>
      </c>
      <c r="D908" s="154" t="s">
        <v>7121</v>
      </c>
      <c r="E908" s="154" t="s">
        <v>8446</v>
      </c>
      <c r="F908" s="154" t="s">
        <v>10488</v>
      </c>
      <c r="G908" s="154" t="s">
        <v>10489</v>
      </c>
      <c r="H908" s="154" t="s">
        <v>8449</v>
      </c>
      <c r="I908" s="154" t="s">
        <v>7123</v>
      </c>
    </row>
    <row r="909" customFormat="false" ht="76" hidden="false" customHeight="true" outlineLevel="0" collapsed="false">
      <c r="A909" s="154" t="s">
        <v>6866</v>
      </c>
      <c r="B909" s="154" t="s">
        <v>9705</v>
      </c>
      <c r="C909" s="154" t="s">
        <v>4743</v>
      </c>
      <c r="D909" s="154" t="s">
        <v>7121</v>
      </c>
      <c r="E909" s="154" t="s">
        <v>7935</v>
      </c>
      <c r="F909" s="154" t="s">
        <v>10490</v>
      </c>
      <c r="G909" s="154" t="s">
        <v>10491</v>
      </c>
      <c r="H909" s="154" t="s">
        <v>7938</v>
      </c>
      <c r="I909" s="154" t="s">
        <v>7123</v>
      </c>
    </row>
    <row r="910" customFormat="false" ht="76" hidden="false" customHeight="true" outlineLevel="0" collapsed="false">
      <c r="A910" s="154" t="s">
        <v>6866</v>
      </c>
      <c r="B910" s="154" t="s">
        <v>9705</v>
      </c>
      <c r="C910" s="154" t="s">
        <v>4743</v>
      </c>
      <c r="D910" s="154" t="s">
        <v>7121</v>
      </c>
      <c r="E910" s="154" t="s">
        <v>8452</v>
      </c>
      <c r="F910" s="154" t="s">
        <v>10492</v>
      </c>
      <c r="G910" s="154" t="s">
        <v>10493</v>
      </c>
      <c r="H910" s="154" t="s">
        <v>8455</v>
      </c>
      <c r="I910" s="154" t="s">
        <v>7123</v>
      </c>
    </row>
    <row r="911" customFormat="false" ht="76" hidden="false" customHeight="true" outlineLevel="0" collapsed="false">
      <c r="A911" s="154" t="s">
        <v>6866</v>
      </c>
      <c r="B911" s="154" t="s">
        <v>9705</v>
      </c>
      <c r="C911" s="154" t="s">
        <v>4743</v>
      </c>
      <c r="D911" s="154" t="s">
        <v>7121</v>
      </c>
      <c r="E911" s="154" t="s">
        <v>8456</v>
      </c>
      <c r="F911" s="154" t="s">
        <v>10494</v>
      </c>
      <c r="G911" s="154" t="s">
        <v>10495</v>
      </c>
      <c r="H911" s="154" t="s">
        <v>8459</v>
      </c>
      <c r="I911" s="154" t="s">
        <v>7123</v>
      </c>
    </row>
    <row r="912" customFormat="false" ht="76" hidden="false" customHeight="true" outlineLevel="0" collapsed="false">
      <c r="A912" s="154" t="s">
        <v>6941</v>
      </c>
      <c r="B912" s="154" t="s">
        <v>9705</v>
      </c>
      <c r="C912" s="154" t="s">
        <v>4743</v>
      </c>
      <c r="D912" s="154" t="s">
        <v>7121</v>
      </c>
      <c r="E912" s="154" t="s">
        <v>7129</v>
      </c>
      <c r="F912" s="154" t="s">
        <v>10496</v>
      </c>
      <c r="G912" s="154" t="s">
        <v>10497</v>
      </c>
      <c r="H912" s="154" t="s">
        <v>7132</v>
      </c>
      <c r="I912" s="154" t="s">
        <v>7123</v>
      </c>
    </row>
    <row r="913" customFormat="false" ht="224" hidden="false" customHeight="true" outlineLevel="0" collapsed="false">
      <c r="A913" s="154" t="s">
        <v>6941</v>
      </c>
      <c r="B913" s="154" t="s">
        <v>9705</v>
      </c>
      <c r="C913" s="154" t="s">
        <v>4743</v>
      </c>
      <c r="D913" s="154" t="s">
        <v>7121</v>
      </c>
      <c r="E913" s="154" t="s">
        <v>8784</v>
      </c>
      <c r="F913" s="154" t="s">
        <v>10498</v>
      </c>
      <c r="G913" s="154" t="s">
        <v>10499</v>
      </c>
      <c r="H913" s="154" t="s">
        <v>8787</v>
      </c>
      <c r="I913" s="154" t="s">
        <v>7123</v>
      </c>
    </row>
    <row r="914" customFormat="false" ht="76" hidden="false" customHeight="true" outlineLevel="0" collapsed="false">
      <c r="A914" s="154" t="s">
        <v>6941</v>
      </c>
      <c r="B914" s="154" t="s">
        <v>9705</v>
      </c>
      <c r="C914" s="154" t="s">
        <v>8788</v>
      </c>
      <c r="D914" s="154" t="s">
        <v>8789</v>
      </c>
      <c r="E914" s="154" t="s">
        <v>8790</v>
      </c>
      <c r="F914" s="154" t="s">
        <v>10500</v>
      </c>
      <c r="G914" s="154" t="s">
        <v>10501</v>
      </c>
      <c r="H914" s="154" t="s">
        <v>8793</v>
      </c>
      <c r="I914" s="154" t="s">
        <v>7123</v>
      </c>
    </row>
    <row r="915" customFormat="false" ht="76" hidden="false" customHeight="true" outlineLevel="0" collapsed="false">
      <c r="A915" s="154" t="s">
        <v>6941</v>
      </c>
      <c r="B915" s="154" t="s">
        <v>9705</v>
      </c>
      <c r="C915" s="154" t="s">
        <v>8788</v>
      </c>
      <c r="D915" s="154" t="s">
        <v>8789</v>
      </c>
      <c r="E915" s="154" t="s">
        <v>8794</v>
      </c>
      <c r="F915" s="154" t="s">
        <v>10502</v>
      </c>
      <c r="G915" s="154" t="s">
        <v>10503</v>
      </c>
      <c r="H915" s="154" t="s">
        <v>8797</v>
      </c>
      <c r="I915" s="154" t="s">
        <v>7123</v>
      </c>
    </row>
    <row r="916" customFormat="false" ht="154" hidden="false" customHeight="true" outlineLevel="0" collapsed="false">
      <c r="A916" s="154" t="s">
        <v>6941</v>
      </c>
      <c r="B916" s="154" t="s">
        <v>9705</v>
      </c>
      <c r="C916" s="154" t="s">
        <v>8788</v>
      </c>
      <c r="D916" s="154" t="s">
        <v>8789</v>
      </c>
      <c r="E916" s="154" t="s">
        <v>8798</v>
      </c>
      <c r="F916" s="154" t="s">
        <v>10504</v>
      </c>
      <c r="G916" s="154" t="s">
        <v>10505</v>
      </c>
      <c r="H916" s="154" t="s">
        <v>8801</v>
      </c>
      <c r="I916" s="154" t="s">
        <v>7123</v>
      </c>
    </row>
    <row r="917" customFormat="false" ht="154" hidden="false" customHeight="true" outlineLevel="0" collapsed="false">
      <c r="A917" s="154" t="s">
        <v>6941</v>
      </c>
      <c r="B917" s="154" t="s">
        <v>9705</v>
      </c>
      <c r="C917" s="154" t="s">
        <v>8788</v>
      </c>
      <c r="D917" s="154" t="s">
        <v>8789</v>
      </c>
      <c r="E917" s="154" t="s">
        <v>8802</v>
      </c>
      <c r="F917" s="154" t="s">
        <v>10506</v>
      </c>
      <c r="G917" s="154" t="s">
        <v>10507</v>
      </c>
      <c r="H917" s="154" t="s">
        <v>8805</v>
      </c>
      <c r="I917" s="154" t="s">
        <v>7123</v>
      </c>
    </row>
    <row r="918" customFormat="false" ht="126" hidden="false" customHeight="true" outlineLevel="0" collapsed="false">
      <c r="A918" s="154" t="s">
        <v>6941</v>
      </c>
      <c r="B918" s="154" t="s">
        <v>9705</v>
      </c>
      <c r="C918" s="154" t="s">
        <v>8788</v>
      </c>
      <c r="D918" s="154" t="s">
        <v>8789</v>
      </c>
      <c r="E918" s="154" t="s">
        <v>8806</v>
      </c>
      <c r="F918" s="154" t="s">
        <v>10508</v>
      </c>
      <c r="G918" s="154" t="s">
        <v>10509</v>
      </c>
      <c r="H918" s="154" t="s">
        <v>8809</v>
      </c>
      <c r="I918" s="154" t="s">
        <v>7123</v>
      </c>
    </row>
    <row r="919" customFormat="false" ht="76" hidden="false" customHeight="true" outlineLevel="0" collapsed="false">
      <c r="A919" s="154" t="s">
        <v>6941</v>
      </c>
      <c r="B919" s="154" t="s">
        <v>9705</v>
      </c>
      <c r="C919" s="154" t="s">
        <v>8788</v>
      </c>
      <c r="D919" s="154" t="s">
        <v>8789</v>
      </c>
      <c r="E919" s="154" t="s">
        <v>8789</v>
      </c>
      <c r="F919" s="154" t="s">
        <v>10510</v>
      </c>
      <c r="G919" s="154" t="s">
        <v>10511</v>
      </c>
      <c r="H919" s="154" t="s">
        <v>8812</v>
      </c>
      <c r="I919" s="154" t="s">
        <v>7123</v>
      </c>
    </row>
    <row r="920" customFormat="false" ht="76" hidden="false" customHeight="true" outlineLevel="0" collapsed="false">
      <c r="A920" s="154" t="s">
        <v>6941</v>
      </c>
      <c r="B920" s="154" t="s">
        <v>9705</v>
      </c>
      <c r="C920" s="154" t="s">
        <v>8788</v>
      </c>
      <c r="D920" s="154" t="s">
        <v>8789</v>
      </c>
      <c r="E920" s="154" t="s">
        <v>8813</v>
      </c>
      <c r="F920" s="154" t="s">
        <v>10512</v>
      </c>
      <c r="G920" s="154" t="s">
        <v>10513</v>
      </c>
      <c r="H920" s="154" t="s">
        <v>8816</v>
      </c>
      <c r="I920" s="154" t="s">
        <v>7123</v>
      </c>
    </row>
    <row r="921" customFormat="false" ht="84" hidden="false" customHeight="true" outlineLevel="0" collapsed="false">
      <c r="A921" s="154" t="s">
        <v>6941</v>
      </c>
      <c r="B921" s="154" t="s">
        <v>9705</v>
      </c>
      <c r="C921" s="154" t="s">
        <v>8817</v>
      </c>
      <c r="D921" s="154" t="s">
        <v>8818</v>
      </c>
      <c r="E921" s="154" t="s">
        <v>8819</v>
      </c>
      <c r="F921" s="154" t="s">
        <v>10514</v>
      </c>
      <c r="G921" s="154" t="s">
        <v>10515</v>
      </c>
      <c r="H921" s="154" t="s">
        <v>8822</v>
      </c>
      <c r="I921" s="154" t="s">
        <v>7123</v>
      </c>
    </row>
    <row r="922" customFormat="false" ht="76" hidden="false" customHeight="true" outlineLevel="0" collapsed="false">
      <c r="A922" s="154" t="s">
        <v>6941</v>
      </c>
      <c r="B922" s="154" t="s">
        <v>9705</v>
      </c>
      <c r="C922" s="154" t="s">
        <v>8823</v>
      </c>
      <c r="D922" s="154" t="s">
        <v>8824</v>
      </c>
      <c r="E922" s="154" t="s">
        <v>8825</v>
      </c>
      <c r="F922" s="154" t="s">
        <v>10516</v>
      </c>
      <c r="G922" s="154" t="s">
        <v>10517</v>
      </c>
      <c r="H922" s="154" t="s">
        <v>8828</v>
      </c>
      <c r="I922" s="154" t="s">
        <v>7123</v>
      </c>
    </row>
    <row r="923" customFormat="false" ht="76" hidden="false" customHeight="true" outlineLevel="0" collapsed="false">
      <c r="A923" s="154" t="s">
        <v>6941</v>
      </c>
      <c r="B923" s="154" t="s">
        <v>9705</v>
      </c>
      <c r="C923" s="154" t="s">
        <v>4743</v>
      </c>
      <c r="D923" s="154" t="s">
        <v>7121</v>
      </c>
      <c r="E923" s="154" t="s">
        <v>7935</v>
      </c>
      <c r="F923" s="154" t="s">
        <v>10518</v>
      </c>
      <c r="G923" s="154" t="s">
        <v>10519</v>
      </c>
      <c r="H923" s="154" t="s">
        <v>7938</v>
      </c>
      <c r="I923" s="154" t="s">
        <v>7123</v>
      </c>
    </row>
    <row r="924" customFormat="false" ht="76" hidden="false" customHeight="true" outlineLevel="0" collapsed="false">
      <c r="A924" s="154" t="s">
        <v>6941</v>
      </c>
      <c r="B924" s="154" t="s">
        <v>9705</v>
      </c>
      <c r="C924" s="154" t="s">
        <v>4743</v>
      </c>
      <c r="D924" s="154" t="s">
        <v>7121</v>
      </c>
      <c r="E924" s="154" t="s">
        <v>8831</v>
      </c>
      <c r="F924" s="154" t="s">
        <v>10520</v>
      </c>
      <c r="G924" s="154" t="s">
        <v>10521</v>
      </c>
      <c r="H924" s="154" t="s">
        <v>8834</v>
      </c>
      <c r="I924" s="154" t="s">
        <v>7123</v>
      </c>
    </row>
    <row r="925" customFormat="false" ht="76" hidden="false" customHeight="true" outlineLevel="0" collapsed="false">
      <c r="A925" s="154" t="s">
        <v>6941</v>
      </c>
      <c r="B925" s="154" t="s">
        <v>9705</v>
      </c>
      <c r="C925" s="154" t="s">
        <v>4743</v>
      </c>
      <c r="D925" s="154" t="s">
        <v>7121</v>
      </c>
      <c r="E925" s="154" t="s">
        <v>8835</v>
      </c>
      <c r="F925" s="154" t="s">
        <v>10522</v>
      </c>
      <c r="G925" s="154" t="s">
        <v>10523</v>
      </c>
      <c r="H925" s="154" t="s">
        <v>8838</v>
      </c>
      <c r="I925" s="154" t="s">
        <v>7123</v>
      </c>
    </row>
    <row r="926" customFormat="false" ht="76" hidden="false" customHeight="true" outlineLevel="0" collapsed="false">
      <c r="A926" s="154" t="s">
        <v>6960</v>
      </c>
      <c r="B926" s="154" t="s">
        <v>9705</v>
      </c>
      <c r="C926" s="154" t="s">
        <v>4743</v>
      </c>
      <c r="D926" s="154" t="s">
        <v>7121</v>
      </c>
      <c r="E926" s="154" t="s">
        <v>7129</v>
      </c>
      <c r="F926" s="154" t="s">
        <v>10524</v>
      </c>
      <c r="G926" s="154" t="s">
        <v>10525</v>
      </c>
      <c r="H926" s="154" t="s">
        <v>7132</v>
      </c>
      <c r="I926" s="154" t="s">
        <v>7123</v>
      </c>
    </row>
    <row r="927" customFormat="false" ht="76" hidden="false" customHeight="true" outlineLevel="0" collapsed="false">
      <c r="A927" s="154" t="s">
        <v>6960</v>
      </c>
      <c r="B927" s="154" t="s">
        <v>9705</v>
      </c>
      <c r="C927" s="154" t="s">
        <v>8882</v>
      </c>
      <c r="D927" s="154" t="s">
        <v>8883</v>
      </c>
      <c r="E927" s="154" t="s">
        <v>8884</v>
      </c>
      <c r="F927" s="154" t="s">
        <v>10526</v>
      </c>
      <c r="G927" s="154" t="s">
        <v>10527</v>
      </c>
      <c r="H927" s="154" t="s">
        <v>8887</v>
      </c>
      <c r="I927" s="154" t="s">
        <v>7123</v>
      </c>
    </row>
    <row r="928" customFormat="false" ht="76" hidden="false" customHeight="true" outlineLevel="0" collapsed="false">
      <c r="A928" s="154" t="s">
        <v>6960</v>
      </c>
      <c r="B928" s="154" t="s">
        <v>9705</v>
      </c>
      <c r="C928" s="154" t="s">
        <v>8888</v>
      </c>
      <c r="D928" s="154" t="s">
        <v>8889</v>
      </c>
      <c r="E928" s="154" t="s">
        <v>8890</v>
      </c>
      <c r="F928" s="154" t="s">
        <v>10528</v>
      </c>
      <c r="G928" s="154" t="s">
        <v>10529</v>
      </c>
      <c r="H928" s="154" t="s">
        <v>8893</v>
      </c>
      <c r="I928" s="154" t="s">
        <v>7123</v>
      </c>
    </row>
    <row r="929" customFormat="false" ht="76" hidden="false" customHeight="true" outlineLevel="0" collapsed="false">
      <c r="A929" s="154" t="s">
        <v>6960</v>
      </c>
      <c r="B929" s="154" t="s">
        <v>9705</v>
      </c>
      <c r="C929" s="154" t="s">
        <v>8894</v>
      </c>
      <c r="D929" s="154" t="s">
        <v>8895</v>
      </c>
      <c r="E929" s="154" t="s">
        <v>8896</v>
      </c>
      <c r="F929" s="154" t="s">
        <v>10530</v>
      </c>
      <c r="G929" s="154" t="s">
        <v>10531</v>
      </c>
      <c r="H929" s="154" t="s">
        <v>8899</v>
      </c>
      <c r="I929" s="154" t="s">
        <v>7123</v>
      </c>
    </row>
    <row r="930" customFormat="false" ht="98" hidden="false" customHeight="true" outlineLevel="0" collapsed="false">
      <c r="A930" s="154" t="s">
        <v>6960</v>
      </c>
      <c r="B930" s="154" t="s">
        <v>9705</v>
      </c>
      <c r="C930" s="154" t="s">
        <v>8900</v>
      </c>
      <c r="D930" s="154" t="s">
        <v>8901</v>
      </c>
      <c r="E930" s="154" t="s">
        <v>8902</v>
      </c>
      <c r="F930" s="154" t="s">
        <v>10532</v>
      </c>
      <c r="G930" s="154" t="s">
        <v>10533</v>
      </c>
      <c r="H930" s="154" t="s">
        <v>8905</v>
      </c>
      <c r="I930" s="154" t="s">
        <v>7123</v>
      </c>
    </row>
    <row r="931" customFormat="false" ht="98" hidden="false" customHeight="true" outlineLevel="0" collapsed="false">
      <c r="A931" s="154" t="s">
        <v>6960</v>
      </c>
      <c r="B931" s="154" t="s">
        <v>9705</v>
      </c>
      <c r="C931" s="154" t="s">
        <v>8906</v>
      </c>
      <c r="D931" s="154" t="s">
        <v>8907</v>
      </c>
      <c r="E931" s="154" t="s">
        <v>8908</v>
      </c>
      <c r="F931" s="154" t="s">
        <v>10534</v>
      </c>
      <c r="G931" s="154" t="s">
        <v>10535</v>
      </c>
      <c r="H931" s="154" t="s">
        <v>8911</v>
      </c>
      <c r="I931" s="154" t="s">
        <v>7123</v>
      </c>
    </row>
    <row r="932" customFormat="false" ht="112" hidden="false" customHeight="true" outlineLevel="0" collapsed="false">
      <c r="A932" s="154" t="s">
        <v>6960</v>
      </c>
      <c r="B932" s="154" t="s">
        <v>9705</v>
      </c>
      <c r="C932" s="154" t="s">
        <v>8912</v>
      </c>
      <c r="D932" s="154" t="s">
        <v>8913</v>
      </c>
      <c r="E932" s="154" t="s">
        <v>8914</v>
      </c>
      <c r="F932" s="154" t="s">
        <v>10536</v>
      </c>
      <c r="G932" s="154" t="s">
        <v>10537</v>
      </c>
      <c r="H932" s="154" t="s">
        <v>8917</v>
      </c>
      <c r="I932" s="154" t="s">
        <v>7123</v>
      </c>
    </row>
    <row r="933" customFormat="false" ht="112" hidden="false" customHeight="true" outlineLevel="0" collapsed="false">
      <c r="A933" s="154" t="s">
        <v>6960</v>
      </c>
      <c r="B933" s="154" t="s">
        <v>9705</v>
      </c>
      <c r="C933" s="154" t="s">
        <v>8918</v>
      </c>
      <c r="D933" s="154" t="s">
        <v>8919</v>
      </c>
      <c r="E933" s="154" t="s">
        <v>8920</v>
      </c>
      <c r="F933" s="154" t="s">
        <v>10538</v>
      </c>
      <c r="G933" s="154" t="s">
        <v>10539</v>
      </c>
      <c r="H933" s="154" t="s">
        <v>8923</v>
      </c>
      <c r="I933" s="154" t="s">
        <v>7123</v>
      </c>
    </row>
    <row r="934" customFormat="false" ht="98" hidden="false" customHeight="true" outlineLevel="0" collapsed="false">
      <c r="A934" s="154" t="s">
        <v>6960</v>
      </c>
      <c r="B934" s="154" t="s">
        <v>9705</v>
      </c>
      <c r="C934" s="154" t="s">
        <v>8924</v>
      </c>
      <c r="D934" s="154" t="s">
        <v>8925</v>
      </c>
      <c r="E934" s="154" t="s">
        <v>8926</v>
      </c>
      <c r="F934" s="154" t="s">
        <v>10540</v>
      </c>
      <c r="G934" s="154" t="s">
        <v>10541</v>
      </c>
      <c r="H934" s="154" t="s">
        <v>8929</v>
      </c>
      <c r="I934" s="154" t="s">
        <v>7123</v>
      </c>
    </row>
    <row r="935" customFormat="false" ht="76" hidden="false" customHeight="true" outlineLevel="0" collapsed="false">
      <c r="A935" s="154" t="s">
        <v>6960</v>
      </c>
      <c r="B935" s="154" t="s">
        <v>9705</v>
      </c>
      <c r="C935" s="154" t="s">
        <v>8930</v>
      </c>
      <c r="D935" s="154" t="s">
        <v>8931</v>
      </c>
      <c r="E935" s="154" t="s">
        <v>8932</v>
      </c>
      <c r="F935" s="154" t="s">
        <v>10542</v>
      </c>
      <c r="G935" s="154" t="s">
        <v>10543</v>
      </c>
      <c r="H935" s="154" t="s">
        <v>8935</v>
      </c>
      <c r="I935" s="154" t="s">
        <v>7123</v>
      </c>
    </row>
    <row r="936" customFormat="false" ht="84" hidden="false" customHeight="true" outlineLevel="0" collapsed="false">
      <c r="A936" s="154" t="s">
        <v>6960</v>
      </c>
      <c r="B936" s="154" t="s">
        <v>9705</v>
      </c>
      <c r="C936" s="154" t="s">
        <v>8936</v>
      </c>
      <c r="D936" s="154" t="s">
        <v>8937</v>
      </c>
      <c r="E936" s="154" t="s">
        <v>8938</v>
      </c>
      <c r="F936" s="154" t="s">
        <v>10544</v>
      </c>
      <c r="G936" s="154" t="s">
        <v>10545</v>
      </c>
      <c r="H936" s="154" t="s">
        <v>8941</v>
      </c>
      <c r="I936" s="154" t="s">
        <v>7123</v>
      </c>
    </row>
    <row r="937" customFormat="false" ht="98" hidden="false" customHeight="true" outlineLevel="0" collapsed="false">
      <c r="A937" s="154" t="s">
        <v>6960</v>
      </c>
      <c r="B937" s="154" t="s">
        <v>9705</v>
      </c>
      <c r="C937" s="154" t="s">
        <v>8942</v>
      </c>
      <c r="D937" s="154" t="s">
        <v>8943</v>
      </c>
      <c r="E937" s="154" t="s">
        <v>8944</v>
      </c>
      <c r="F937" s="154" t="s">
        <v>10546</v>
      </c>
      <c r="G937" s="154" t="s">
        <v>10547</v>
      </c>
      <c r="H937" s="154" t="s">
        <v>8947</v>
      </c>
      <c r="I937" s="154" t="s">
        <v>7123</v>
      </c>
    </row>
    <row r="938" customFormat="false" ht="76" hidden="false" customHeight="true" outlineLevel="0" collapsed="false">
      <c r="A938" s="154" t="s">
        <v>6960</v>
      </c>
      <c r="B938" s="154" t="s">
        <v>9705</v>
      </c>
      <c r="C938" s="154" t="s">
        <v>8948</v>
      </c>
      <c r="D938" s="154" t="s">
        <v>8949</v>
      </c>
      <c r="E938" s="154" t="s">
        <v>8950</v>
      </c>
      <c r="F938" s="154" t="s">
        <v>10548</v>
      </c>
      <c r="G938" s="154" t="s">
        <v>10549</v>
      </c>
      <c r="H938" s="154" t="s">
        <v>8953</v>
      </c>
      <c r="I938" s="154" t="s">
        <v>7123</v>
      </c>
    </row>
    <row r="939" customFormat="false" ht="182" hidden="false" customHeight="true" outlineLevel="0" collapsed="false">
      <c r="A939" s="154" t="s">
        <v>6960</v>
      </c>
      <c r="B939" s="154" t="s">
        <v>9705</v>
      </c>
      <c r="C939" s="154" t="s">
        <v>8954</v>
      </c>
      <c r="D939" s="154" t="s">
        <v>8955</v>
      </c>
      <c r="E939" s="154" t="s">
        <v>8956</v>
      </c>
      <c r="F939" s="154" t="s">
        <v>10550</v>
      </c>
      <c r="G939" s="154" t="s">
        <v>10551</v>
      </c>
      <c r="H939" s="154" t="s">
        <v>8959</v>
      </c>
      <c r="I939" s="154" t="s">
        <v>7123</v>
      </c>
    </row>
    <row r="940" customFormat="false" ht="76" hidden="false" customHeight="true" outlineLevel="0" collapsed="false">
      <c r="A940" s="154" t="s">
        <v>6960</v>
      </c>
      <c r="B940" s="154" t="s">
        <v>9705</v>
      </c>
      <c r="C940" s="154" t="s">
        <v>8960</v>
      </c>
      <c r="D940" s="154" t="s">
        <v>8961</v>
      </c>
      <c r="E940" s="154" t="s">
        <v>8962</v>
      </c>
      <c r="F940" s="154" t="s">
        <v>10552</v>
      </c>
      <c r="G940" s="154" t="s">
        <v>10553</v>
      </c>
      <c r="H940" s="154" t="s">
        <v>8965</v>
      </c>
      <c r="I940" s="154" t="s">
        <v>7123</v>
      </c>
    </row>
    <row r="941" customFormat="false" ht="76" hidden="false" customHeight="true" outlineLevel="0" collapsed="false">
      <c r="A941" s="154" t="s">
        <v>6960</v>
      </c>
      <c r="B941" s="154" t="s">
        <v>9705</v>
      </c>
      <c r="C941" s="154" t="s">
        <v>4743</v>
      </c>
      <c r="D941" s="154" t="s">
        <v>7121</v>
      </c>
      <c r="E941" s="154" t="s">
        <v>7935</v>
      </c>
      <c r="F941" s="154" t="s">
        <v>10554</v>
      </c>
      <c r="G941" s="154" t="s">
        <v>10555</v>
      </c>
      <c r="H941" s="154" t="s">
        <v>7938</v>
      </c>
      <c r="I941" s="154" t="s">
        <v>7123</v>
      </c>
    </row>
    <row r="942" customFormat="false" ht="76" hidden="false" customHeight="true" outlineLevel="0" collapsed="false">
      <c r="A942" s="154" t="s">
        <v>6960</v>
      </c>
      <c r="B942" s="154" t="s">
        <v>9705</v>
      </c>
      <c r="C942" s="154" t="s">
        <v>4743</v>
      </c>
      <c r="D942" s="154" t="s">
        <v>7121</v>
      </c>
      <c r="E942" s="154" t="s">
        <v>8968</v>
      </c>
      <c r="F942" s="154" t="s">
        <v>10556</v>
      </c>
      <c r="G942" s="154" t="s">
        <v>10557</v>
      </c>
      <c r="H942" s="154" t="s">
        <v>8971</v>
      </c>
      <c r="I942" s="154" t="s">
        <v>7123</v>
      </c>
    </row>
    <row r="943" customFormat="false" ht="76" hidden="false" customHeight="true" outlineLevel="0" collapsed="false">
      <c r="A943" s="154" t="s">
        <v>6960</v>
      </c>
      <c r="B943" s="154" t="s">
        <v>9705</v>
      </c>
      <c r="C943" s="154" t="s">
        <v>4743</v>
      </c>
      <c r="D943" s="154" t="s">
        <v>7121</v>
      </c>
      <c r="E943" s="154" t="s">
        <v>8972</v>
      </c>
      <c r="F943" s="154" t="s">
        <v>10558</v>
      </c>
      <c r="G943" s="154" t="s">
        <v>10559</v>
      </c>
      <c r="H943" s="154" t="s">
        <v>8975</v>
      </c>
      <c r="I943" s="154" t="s">
        <v>7123</v>
      </c>
    </row>
    <row r="944" customFormat="false" ht="76" hidden="false" customHeight="true" outlineLevel="0" collapsed="false">
      <c r="A944" s="154" t="s">
        <v>9704</v>
      </c>
      <c r="B944" s="154" t="s">
        <v>9705</v>
      </c>
      <c r="C944" s="154" t="s">
        <v>4743</v>
      </c>
      <c r="D944" s="154" t="s">
        <v>7121</v>
      </c>
      <c r="E944" s="154" t="s">
        <v>10560</v>
      </c>
      <c r="F944" s="154" t="s">
        <v>10561</v>
      </c>
      <c r="G944" s="154" t="s">
        <v>10562</v>
      </c>
      <c r="H944" s="154" t="s">
        <v>10563</v>
      </c>
      <c r="I944" s="154" t="s">
        <v>7123</v>
      </c>
    </row>
    <row r="945" customFormat="false" ht="98" hidden="false" customHeight="true" outlineLevel="0" collapsed="false">
      <c r="A945" s="154" t="s">
        <v>9704</v>
      </c>
      <c r="B945" s="154" t="s">
        <v>9705</v>
      </c>
      <c r="C945" s="154" t="s">
        <v>4743</v>
      </c>
      <c r="D945" s="154" t="s">
        <v>7121</v>
      </c>
      <c r="E945" s="154" t="s">
        <v>10564</v>
      </c>
      <c r="F945" s="154" t="s">
        <v>10565</v>
      </c>
      <c r="G945" s="154" t="s">
        <v>10566</v>
      </c>
      <c r="H945" s="154" t="s">
        <v>10567</v>
      </c>
      <c r="I945" s="154" t="s">
        <v>7123</v>
      </c>
    </row>
    <row r="946" customFormat="false" ht="98" hidden="false" customHeight="true" outlineLevel="0" collapsed="false">
      <c r="A946" s="154" t="s">
        <v>9704</v>
      </c>
      <c r="B946" s="154" t="s">
        <v>9705</v>
      </c>
      <c r="C946" s="154" t="s">
        <v>4743</v>
      </c>
      <c r="D946" s="154" t="s">
        <v>7121</v>
      </c>
      <c r="E946" s="154" t="s">
        <v>10568</v>
      </c>
      <c r="F946" s="154" t="s">
        <v>10569</v>
      </c>
      <c r="G946" s="154" t="s">
        <v>10570</v>
      </c>
      <c r="H946" s="154" t="s">
        <v>10571</v>
      </c>
      <c r="I946" s="154" t="s">
        <v>7123</v>
      </c>
    </row>
    <row r="947" customFormat="false" ht="126" hidden="false" customHeight="true" outlineLevel="0" collapsed="false">
      <c r="A947" s="154" t="s">
        <v>6753</v>
      </c>
      <c r="B947" s="154" t="s">
        <v>9705</v>
      </c>
      <c r="C947" s="154" t="s">
        <v>4743</v>
      </c>
      <c r="D947" s="154" t="s">
        <v>7121</v>
      </c>
      <c r="E947" s="154" t="s">
        <v>10572</v>
      </c>
      <c r="F947" s="154" t="s">
        <v>10573</v>
      </c>
      <c r="G947" s="154" t="s">
        <v>10574</v>
      </c>
      <c r="H947" s="154" t="s">
        <v>10575</v>
      </c>
      <c r="I947" s="154" t="s">
        <v>7123</v>
      </c>
    </row>
    <row r="948" customFormat="false" ht="126" hidden="false" customHeight="true" outlineLevel="0" collapsed="false">
      <c r="A948" s="154" t="s">
        <v>6753</v>
      </c>
      <c r="B948" s="154" t="s">
        <v>9705</v>
      </c>
      <c r="C948" s="154" t="s">
        <v>4743</v>
      </c>
      <c r="D948" s="154" t="s">
        <v>7121</v>
      </c>
      <c r="E948" s="154" t="s">
        <v>10576</v>
      </c>
      <c r="F948" s="154" t="s">
        <v>10577</v>
      </c>
      <c r="G948" s="154" t="s">
        <v>10578</v>
      </c>
      <c r="H948" s="154" t="s">
        <v>10579</v>
      </c>
      <c r="I948" s="154" t="s">
        <v>7123</v>
      </c>
    </row>
    <row r="949" customFormat="false" ht="140" hidden="false" customHeight="true" outlineLevel="0" collapsed="false">
      <c r="A949" s="154" t="s">
        <v>6828</v>
      </c>
      <c r="B949" s="154" t="s">
        <v>9705</v>
      </c>
      <c r="C949" s="154" t="s">
        <v>4743</v>
      </c>
      <c r="D949" s="154" t="s">
        <v>7121</v>
      </c>
      <c r="E949" s="154" t="s">
        <v>10580</v>
      </c>
      <c r="F949" s="154" t="s">
        <v>10581</v>
      </c>
      <c r="G949" s="154" t="s">
        <v>10582</v>
      </c>
      <c r="H949" s="154" t="s">
        <v>10583</v>
      </c>
      <c r="I949" s="154" t="s">
        <v>7123</v>
      </c>
    </row>
    <row r="950" customFormat="false" ht="112" hidden="false" customHeight="true" outlineLevel="0" collapsed="false">
      <c r="A950" s="154" t="s">
        <v>6828</v>
      </c>
      <c r="B950" s="154" t="s">
        <v>9705</v>
      </c>
      <c r="C950" s="154" t="s">
        <v>4743</v>
      </c>
      <c r="D950" s="154" t="s">
        <v>7121</v>
      </c>
      <c r="E950" s="154" t="s">
        <v>10584</v>
      </c>
      <c r="F950" s="154" t="s">
        <v>10585</v>
      </c>
      <c r="G950" s="154" t="s">
        <v>10586</v>
      </c>
      <c r="H950" s="154" t="s">
        <v>10587</v>
      </c>
      <c r="I950" s="154" t="s">
        <v>7123</v>
      </c>
    </row>
    <row r="951" customFormat="false" ht="112" hidden="false" customHeight="true" outlineLevel="0" collapsed="false">
      <c r="A951" s="154" t="s">
        <v>6885</v>
      </c>
      <c r="B951" s="154" t="s">
        <v>9705</v>
      </c>
      <c r="C951" s="154" t="s">
        <v>4743</v>
      </c>
      <c r="D951" s="154" t="s">
        <v>7121</v>
      </c>
      <c r="E951" s="154" t="s">
        <v>10588</v>
      </c>
      <c r="F951" s="154" t="s">
        <v>10589</v>
      </c>
      <c r="G951" s="154" t="s">
        <v>10590</v>
      </c>
      <c r="H951" s="154" t="s">
        <v>10591</v>
      </c>
      <c r="I951" s="154" t="s">
        <v>7123</v>
      </c>
    </row>
    <row r="952" customFormat="false" ht="112" hidden="false" customHeight="true" outlineLevel="0" collapsed="false">
      <c r="A952" s="154" t="s">
        <v>6885</v>
      </c>
      <c r="B952" s="154" t="s">
        <v>9705</v>
      </c>
      <c r="C952" s="154" t="s">
        <v>4743</v>
      </c>
      <c r="D952" s="154" t="s">
        <v>7121</v>
      </c>
      <c r="E952" s="154" t="s">
        <v>10592</v>
      </c>
      <c r="F952" s="154" t="s">
        <v>10593</v>
      </c>
      <c r="G952" s="154" t="s">
        <v>10594</v>
      </c>
      <c r="H952" s="154" t="s">
        <v>10595</v>
      </c>
      <c r="I952" s="154" t="s">
        <v>7123</v>
      </c>
    </row>
    <row r="953" customFormat="false" ht="98" hidden="false" customHeight="true" outlineLevel="0" collapsed="false">
      <c r="A953" s="154" t="s">
        <v>6885</v>
      </c>
      <c r="B953" s="154" t="s">
        <v>9705</v>
      </c>
      <c r="C953" s="154" t="s">
        <v>4743</v>
      </c>
      <c r="D953" s="154" t="s">
        <v>7121</v>
      </c>
      <c r="E953" s="154" t="s">
        <v>10596</v>
      </c>
      <c r="F953" s="154" t="s">
        <v>10597</v>
      </c>
      <c r="G953" s="154" t="s">
        <v>10598</v>
      </c>
      <c r="H953" s="154" t="s">
        <v>10599</v>
      </c>
      <c r="I953" s="154" t="s">
        <v>7123</v>
      </c>
    </row>
    <row r="954" customFormat="false" ht="126" hidden="false" customHeight="true" outlineLevel="0" collapsed="false">
      <c r="A954" s="154" t="s">
        <v>6885</v>
      </c>
      <c r="B954" s="154" t="s">
        <v>9705</v>
      </c>
      <c r="C954" s="154" t="s">
        <v>4743</v>
      </c>
      <c r="D954" s="154" t="s">
        <v>7121</v>
      </c>
      <c r="E954" s="154" t="s">
        <v>10600</v>
      </c>
      <c r="F954" s="154" t="s">
        <v>10601</v>
      </c>
      <c r="G954" s="154" t="s">
        <v>10602</v>
      </c>
      <c r="H954" s="154" t="s">
        <v>10603</v>
      </c>
      <c r="I954" s="154" t="s">
        <v>7123</v>
      </c>
    </row>
    <row r="955" customFormat="false" ht="112" hidden="false" customHeight="true" outlineLevel="0" collapsed="false">
      <c r="A955" s="154" t="s">
        <v>6885</v>
      </c>
      <c r="B955" s="154" t="s">
        <v>9705</v>
      </c>
      <c r="C955" s="154" t="s">
        <v>4743</v>
      </c>
      <c r="D955" s="154" t="s">
        <v>7121</v>
      </c>
      <c r="E955" s="154" t="s">
        <v>10604</v>
      </c>
      <c r="F955" s="154" t="s">
        <v>10605</v>
      </c>
      <c r="G955" s="154" t="s">
        <v>10606</v>
      </c>
      <c r="H955" s="154" t="s">
        <v>10607</v>
      </c>
      <c r="I955" s="154" t="s">
        <v>7123</v>
      </c>
    </row>
    <row r="956" customFormat="false" ht="76" hidden="false" customHeight="true" outlineLevel="0" collapsed="false">
      <c r="A956" s="154" t="s">
        <v>9704</v>
      </c>
      <c r="B956" s="154" t="s">
        <v>9705</v>
      </c>
      <c r="C956" s="154" t="s">
        <v>4743</v>
      </c>
      <c r="D956" s="154" t="s">
        <v>7121</v>
      </c>
      <c r="E956" s="154" t="s">
        <v>10608</v>
      </c>
      <c r="F956" s="154" t="s">
        <v>10609</v>
      </c>
      <c r="G956" s="154" t="s">
        <v>10610</v>
      </c>
      <c r="H956" s="154" t="s">
        <v>10611</v>
      </c>
      <c r="I956" s="154" t="s">
        <v>7123</v>
      </c>
    </row>
    <row r="957" customFormat="false" ht="76" hidden="false" customHeight="true" outlineLevel="0" collapsed="false">
      <c r="A957" s="154" t="s">
        <v>9704</v>
      </c>
      <c r="B957" s="154" t="s">
        <v>9705</v>
      </c>
      <c r="C957" s="154" t="s">
        <v>4743</v>
      </c>
      <c r="D957" s="154" t="s">
        <v>7121</v>
      </c>
      <c r="E957" s="154" t="s">
        <v>10612</v>
      </c>
      <c r="F957" s="154" t="s">
        <v>10613</v>
      </c>
      <c r="G957" s="154" t="s">
        <v>10614</v>
      </c>
      <c r="H957" s="154" t="s">
        <v>10615</v>
      </c>
      <c r="I957" s="154" t="s">
        <v>7123</v>
      </c>
    </row>
    <row r="958" customFormat="false" ht="76" hidden="false" customHeight="true" outlineLevel="0" collapsed="false">
      <c r="A958" s="154" t="s">
        <v>9704</v>
      </c>
      <c r="B958" s="154" t="s">
        <v>9705</v>
      </c>
      <c r="C958" s="154" t="s">
        <v>4743</v>
      </c>
      <c r="D958" s="154" t="s">
        <v>7121</v>
      </c>
      <c r="E958" s="154" t="s">
        <v>10616</v>
      </c>
      <c r="F958" s="154" t="s">
        <v>10617</v>
      </c>
      <c r="G958" s="154" t="s">
        <v>10618</v>
      </c>
      <c r="H958" s="154" t="s">
        <v>10619</v>
      </c>
      <c r="I958" s="154" t="s">
        <v>7123</v>
      </c>
    </row>
    <row r="959" customFormat="false" ht="76" hidden="false" customHeight="true" outlineLevel="0" collapsed="false">
      <c r="A959" s="154" t="s">
        <v>9704</v>
      </c>
      <c r="B959" s="154" t="s">
        <v>9705</v>
      </c>
      <c r="C959" s="154" t="s">
        <v>4743</v>
      </c>
      <c r="D959" s="154" t="s">
        <v>7121</v>
      </c>
      <c r="E959" s="154" t="s">
        <v>10620</v>
      </c>
      <c r="F959" s="154" t="s">
        <v>10621</v>
      </c>
      <c r="G959" s="154" t="s">
        <v>10622</v>
      </c>
      <c r="H959" s="154" t="s">
        <v>10623</v>
      </c>
      <c r="I959" s="154" t="s">
        <v>7123</v>
      </c>
    </row>
    <row r="960" customFormat="false" ht="76" hidden="false" customHeight="true" outlineLevel="0" collapsed="false">
      <c r="A960" s="154" t="s">
        <v>9704</v>
      </c>
      <c r="B960" s="154" t="s">
        <v>9705</v>
      </c>
      <c r="C960" s="154" t="s">
        <v>4743</v>
      </c>
      <c r="D960" s="154" t="s">
        <v>7121</v>
      </c>
      <c r="E960" s="154" t="s">
        <v>7935</v>
      </c>
      <c r="F960" s="154" t="s">
        <v>10624</v>
      </c>
      <c r="G960" s="154" t="s">
        <v>10625</v>
      </c>
      <c r="H960" s="154" t="s">
        <v>7938</v>
      </c>
      <c r="I960" s="154" t="s">
        <v>7123</v>
      </c>
    </row>
    <row r="961" customFormat="false" ht="76" hidden="false" customHeight="true" outlineLevel="0" collapsed="false">
      <c r="A961" s="154" t="s">
        <v>9704</v>
      </c>
      <c r="B961" s="154" t="s">
        <v>9705</v>
      </c>
      <c r="C961" s="154" t="s">
        <v>4743</v>
      </c>
      <c r="D961" s="154" t="s">
        <v>7121</v>
      </c>
      <c r="E961" s="154" t="s">
        <v>10626</v>
      </c>
      <c r="F961" s="154" t="s">
        <v>10627</v>
      </c>
      <c r="G961" s="154" t="s">
        <v>10628</v>
      </c>
      <c r="H961" s="154" t="s">
        <v>10629</v>
      </c>
      <c r="I961" s="154" t="s">
        <v>7123</v>
      </c>
    </row>
    <row r="962" customFormat="false" ht="140" hidden="false" customHeight="true" outlineLevel="0" collapsed="false">
      <c r="A962" s="154" t="s">
        <v>6585</v>
      </c>
      <c r="B962" s="154" t="s">
        <v>9705</v>
      </c>
      <c r="C962" s="154" t="s">
        <v>4743</v>
      </c>
      <c r="D962" s="154" t="s">
        <v>7121</v>
      </c>
      <c r="E962" s="154" t="s">
        <v>10630</v>
      </c>
      <c r="F962" s="154" t="s">
        <v>10631</v>
      </c>
      <c r="G962" s="154" t="s">
        <v>10632</v>
      </c>
      <c r="H962" s="154" t="s">
        <v>10633</v>
      </c>
      <c r="I962" s="154" t="s">
        <v>7123</v>
      </c>
    </row>
    <row r="963" customFormat="false" ht="154" hidden="false" customHeight="true" outlineLevel="0" collapsed="false">
      <c r="A963" s="154" t="s">
        <v>6605</v>
      </c>
      <c r="B963" s="154" t="s">
        <v>9705</v>
      </c>
      <c r="C963" s="154" t="s">
        <v>4743</v>
      </c>
      <c r="D963" s="154" t="s">
        <v>7121</v>
      </c>
      <c r="E963" s="154" t="s">
        <v>10634</v>
      </c>
      <c r="F963" s="154" t="s">
        <v>10635</v>
      </c>
      <c r="G963" s="154" t="s">
        <v>10636</v>
      </c>
      <c r="H963" s="154" t="s">
        <v>10637</v>
      </c>
      <c r="I963" s="154" t="s">
        <v>7123</v>
      </c>
    </row>
    <row r="964" customFormat="false" ht="182" hidden="false" customHeight="true" outlineLevel="0" collapsed="false">
      <c r="A964" s="154" t="s">
        <v>6623</v>
      </c>
      <c r="B964" s="154" t="s">
        <v>9705</v>
      </c>
      <c r="C964" s="154" t="s">
        <v>4743</v>
      </c>
      <c r="D964" s="154" t="s">
        <v>7121</v>
      </c>
      <c r="E964" s="154" t="s">
        <v>10638</v>
      </c>
      <c r="F964" s="154" t="s">
        <v>10639</v>
      </c>
      <c r="G964" s="154" t="s">
        <v>10640</v>
      </c>
      <c r="H964" s="154" t="s">
        <v>10641</v>
      </c>
      <c r="I964" s="154" t="s">
        <v>7123</v>
      </c>
    </row>
    <row r="965" customFormat="false" ht="280" hidden="false" customHeight="true" outlineLevel="0" collapsed="false">
      <c r="A965" s="154" t="s">
        <v>6753</v>
      </c>
      <c r="B965" s="154" t="s">
        <v>9705</v>
      </c>
      <c r="C965" s="154" t="s">
        <v>4743</v>
      </c>
      <c r="D965" s="154" t="s">
        <v>7121</v>
      </c>
      <c r="E965" s="154" t="s">
        <v>10642</v>
      </c>
      <c r="F965" s="154" t="s">
        <v>10643</v>
      </c>
      <c r="G965" s="154" t="s">
        <v>10644</v>
      </c>
      <c r="H965" s="154" t="s">
        <v>10645</v>
      </c>
      <c r="I965" s="154" t="s">
        <v>7123</v>
      </c>
    </row>
    <row r="966" customFormat="false" ht="280" hidden="false" customHeight="true" outlineLevel="0" collapsed="false">
      <c r="A966" s="154" t="s">
        <v>6771</v>
      </c>
      <c r="B966" s="154" t="s">
        <v>9705</v>
      </c>
      <c r="C966" s="154" t="s">
        <v>4743</v>
      </c>
      <c r="D966" s="154" t="s">
        <v>7121</v>
      </c>
      <c r="E966" s="154" t="s">
        <v>10646</v>
      </c>
      <c r="F966" s="154" t="s">
        <v>10647</v>
      </c>
      <c r="G966" s="154" t="s">
        <v>10648</v>
      </c>
      <c r="H966" s="154" t="s">
        <v>10649</v>
      </c>
      <c r="I966" s="154" t="s">
        <v>7123</v>
      </c>
    </row>
    <row r="967" customFormat="false" ht="322" hidden="false" customHeight="true" outlineLevel="0" collapsed="false">
      <c r="A967" s="154" t="s">
        <v>6828</v>
      </c>
      <c r="B967" s="154" t="s">
        <v>9705</v>
      </c>
      <c r="C967" s="154" t="s">
        <v>4743</v>
      </c>
      <c r="D967" s="154" t="s">
        <v>7121</v>
      </c>
      <c r="E967" s="154" t="s">
        <v>10650</v>
      </c>
      <c r="F967" s="154" t="s">
        <v>10651</v>
      </c>
      <c r="G967" s="154" t="s">
        <v>10652</v>
      </c>
      <c r="H967" s="154" t="s">
        <v>10653</v>
      </c>
      <c r="I967" s="154" t="s">
        <v>7123</v>
      </c>
    </row>
    <row r="968" customFormat="false" ht="76" hidden="false" customHeight="true" outlineLevel="0" collapsed="false">
      <c r="A968" s="154" t="s">
        <v>6885</v>
      </c>
      <c r="B968" s="154" t="s">
        <v>9705</v>
      </c>
      <c r="C968" s="154" t="s">
        <v>4743</v>
      </c>
      <c r="D968" s="154" t="s">
        <v>7121</v>
      </c>
      <c r="E968" s="154" t="s">
        <v>10654</v>
      </c>
      <c r="F968" s="154" t="s">
        <v>10655</v>
      </c>
      <c r="G968" s="154" t="s">
        <v>10656</v>
      </c>
      <c r="H968" s="154" t="s">
        <v>10657</v>
      </c>
      <c r="I968" s="154" t="s">
        <v>7123</v>
      </c>
    </row>
    <row r="969" customFormat="false" ht="364" hidden="false" customHeight="true" outlineLevel="0" collapsed="false">
      <c r="A969" s="154" t="s">
        <v>6885</v>
      </c>
      <c r="B969" s="154" t="s">
        <v>9705</v>
      </c>
      <c r="C969" s="154" t="s">
        <v>4743</v>
      </c>
      <c r="D969" s="154" t="s">
        <v>7121</v>
      </c>
      <c r="E969" s="154" t="s">
        <v>8507</v>
      </c>
      <c r="F969" s="154" t="s">
        <v>10658</v>
      </c>
      <c r="G969" s="154" t="s">
        <v>10659</v>
      </c>
      <c r="H969" s="154" t="s">
        <v>8510</v>
      </c>
      <c r="I969" s="154" t="s">
        <v>7123</v>
      </c>
    </row>
    <row r="970" customFormat="false" ht="76" hidden="false" customHeight="true" outlineLevel="0" collapsed="false">
      <c r="A970" s="154" t="s">
        <v>6885</v>
      </c>
      <c r="B970" s="154" t="s">
        <v>9705</v>
      </c>
      <c r="C970" s="154" t="s">
        <v>4743</v>
      </c>
      <c r="D970" s="154" t="s">
        <v>7121</v>
      </c>
      <c r="E970" s="154" t="s">
        <v>8497</v>
      </c>
      <c r="F970" s="154" t="s">
        <v>10660</v>
      </c>
      <c r="G970" s="154" t="s">
        <v>10661</v>
      </c>
      <c r="H970" s="154" t="s">
        <v>8500</v>
      </c>
      <c r="I970" s="154" t="s">
        <v>7123</v>
      </c>
    </row>
    <row r="971" customFormat="false" ht="76" hidden="false" customHeight="true" outlineLevel="0" collapsed="false">
      <c r="A971" s="154" t="s">
        <v>6885</v>
      </c>
      <c r="B971" s="154" t="s">
        <v>9705</v>
      </c>
      <c r="C971" s="154" t="s">
        <v>4743</v>
      </c>
      <c r="D971" s="154" t="s">
        <v>7121</v>
      </c>
      <c r="E971" s="154" t="s">
        <v>7129</v>
      </c>
      <c r="F971" s="154" t="s">
        <v>10662</v>
      </c>
      <c r="G971" s="154" t="s">
        <v>10663</v>
      </c>
      <c r="H971" s="154" t="s">
        <v>7132</v>
      </c>
      <c r="I971" s="154" t="s">
        <v>7123</v>
      </c>
    </row>
    <row r="972" customFormat="false" ht="76" hidden="false" customHeight="true" outlineLevel="0" collapsed="false">
      <c r="A972" s="154" t="s">
        <v>6885</v>
      </c>
      <c r="B972" s="154" t="s">
        <v>9705</v>
      </c>
      <c r="C972" s="154" t="s">
        <v>4743</v>
      </c>
      <c r="D972" s="154" t="s">
        <v>7121</v>
      </c>
      <c r="E972" s="154" t="s">
        <v>8513</v>
      </c>
      <c r="F972" s="154" t="s">
        <v>10664</v>
      </c>
      <c r="G972" s="154" t="s">
        <v>10665</v>
      </c>
      <c r="H972" s="154" t="s">
        <v>8516</v>
      </c>
      <c r="I972" s="154" t="s">
        <v>7123</v>
      </c>
    </row>
    <row r="973" customFormat="false" ht="76" hidden="false" customHeight="true" outlineLevel="0" collapsed="false">
      <c r="A973" s="154" t="s">
        <v>6923</v>
      </c>
      <c r="B973" s="154" t="s">
        <v>9705</v>
      </c>
      <c r="C973" s="154" t="s">
        <v>4743</v>
      </c>
      <c r="D973" s="154" t="s">
        <v>7121</v>
      </c>
      <c r="E973" s="154" t="s">
        <v>10666</v>
      </c>
      <c r="F973" s="154" t="s">
        <v>10667</v>
      </c>
      <c r="G973" s="154" t="s">
        <v>10668</v>
      </c>
      <c r="H973" s="154" t="s">
        <v>10669</v>
      </c>
      <c r="I973" s="154" t="s">
        <v>7123</v>
      </c>
    </row>
    <row r="974" customFormat="false" ht="76" hidden="false" customHeight="true" outlineLevel="0" collapsed="false">
      <c r="A974" s="154" t="s">
        <v>6923</v>
      </c>
      <c r="B974" s="154" t="s">
        <v>9705</v>
      </c>
      <c r="C974" s="154" t="s">
        <v>4743</v>
      </c>
      <c r="D974" s="154" t="s">
        <v>7121</v>
      </c>
      <c r="E974" s="154" t="s">
        <v>8627</v>
      </c>
      <c r="F974" s="154" t="s">
        <v>10670</v>
      </c>
      <c r="G974" s="154" t="s">
        <v>10671</v>
      </c>
      <c r="H974" s="154" t="s">
        <v>8630</v>
      </c>
      <c r="I974" s="154" t="s">
        <v>7123</v>
      </c>
    </row>
    <row r="975" customFormat="false" ht="76" hidden="false" customHeight="true" outlineLevel="0" collapsed="false">
      <c r="A975" s="154" t="s">
        <v>6923</v>
      </c>
      <c r="B975" s="154" t="s">
        <v>9705</v>
      </c>
      <c r="C975" s="154" t="s">
        <v>4743</v>
      </c>
      <c r="D975" s="154" t="s">
        <v>7121</v>
      </c>
      <c r="E975" s="154" t="s">
        <v>8631</v>
      </c>
      <c r="F975" s="154" t="s">
        <v>10672</v>
      </c>
      <c r="G975" s="154" t="s">
        <v>10673</v>
      </c>
      <c r="H975" s="154" t="s">
        <v>8634</v>
      </c>
      <c r="I975" s="154" t="s">
        <v>7123</v>
      </c>
    </row>
    <row r="976" customFormat="false" ht="76" hidden="false" customHeight="true" outlineLevel="0" collapsed="false">
      <c r="A976" s="154" t="s">
        <v>6923</v>
      </c>
      <c r="B976" s="154" t="s">
        <v>9705</v>
      </c>
      <c r="C976" s="154" t="s">
        <v>4743</v>
      </c>
      <c r="D976" s="154" t="s">
        <v>7121</v>
      </c>
      <c r="E976" s="154" t="s">
        <v>8635</v>
      </c>
      <c r="F976" s="154" t="s">
        <v>10674</v>
      </c>
      <c r="G976" s="154" t="s">
        <v>10675</v>
      </c>
      <c r="H976" s="154" t="s">
        <v>8638</v>
      </c>
      <c r="I976" s="154" t="s">
        <v>7123</v>
      </c>
    </row>
    <row r="977" customFormat="false" ht="76" hidden="false" customHeight="true" outlineLevel="0" collapsed="false">
      <c r="A977" s="154" t="s">
        <v>6923</v>
      </c>
      <c r="B977" s="154" t="s">
        <v>9705</v>
      </c>
      <c r="C977" s="154" t="s">
        <v>4743</v>
      </c>
      <c r="D977" s="154" t="s">
        <v>7121</v>
      </c>
      <c r="E977" s="154" t="s">
        <v>8639</v>
      </c>
      <c r="F977" s="154" t="s">
        <v>10676</v>
      </c>
      <c r="G977" s="154" t="s">
        <v>10677</v>
      </c>
      <c r="H977" s="154" t="s">
        <v>8642</v>
      </c>
      <c r="I977" s="154" t="s">
        <v>7123</v>
      </c>
    </row>
    <row r="978" customFormat="false" ht="76" hidden="false" customHeight="true" outlineLevel="0" collapsed="false">
      <c r="A978" s="154" t="s">
        <v>6923</v>
      </c>
      <c r="B978" s="154" t="s">
        <v>9705</v>
      </c>
      <c r="C978" s="154" t="s">
        <v>4743</v>
      </c>
      <c r="D978" s="154" t="s">
        <v>7121</v>
      </c>
      <c r="E978" s="154" t="s">
        <v>8643</v>
      </c>
      <c r="F978" s="154" t="s">
        <v>10678</v>
      </c>
      <c r="G978" s="154" t="s">
        <v>10679</v>
      </c>
      <c r="H978" s="154" t="s">
        <v>8646</v>
      </c>
      <c r="I978" s="154" t="s">
        <v>7123</v>
      </c>
    </row>
    <row r="979" customFormat="false" ht="76" hidden="false" customHeight="true" outlineLevel="0" collapsed="false">
      <c r="A979" s="154" t="s">
        <v>6923</v>
      </c>
      <c r="B979" s="154" t="s">
        <v>9705</v>
      </c>
      <c r="C979" s="154" t="s">
        <v>4743</v>
      </c>
      <c r="D979" s="154" t="s">
        <v>7121</v>
      </c>
      <c r="E979" s="154" t="s">
        <v>8647</v>
      </c>
      <c r="F979" s="154" t="s">
        <v>10680</v>
      </c>
      <c r="G979" s="154" t="s">
        <v>10681</v>
      </c>
      <c r="H979" s="154" t="s">
        <v>8650</v>
      </c>
      <c r="I979" s="154" t="s">
        <v>7123</v>
      </c>
    </row>
    <row r="980" customFormat="false" ht="76" hidden="false" customHeight="true" outlineLevel="0" collapsed="false">
      <c r="A980" s="154" t="s">
        <v>6923</v>
      </c>
      <c r="B980" s="154" t="s">
        <v>9705</v>
      </c>
      <c r="C980" s="154" t="s">
        <v>4743</v>
      </c>
      <c r="D980" s="154" t="s">
        <v>7121</v>
      </c>
      <c r="E980" s="154" t="s">
        <v>8651</v>
      </c>
      <c r="F980" s="154" t="s">
        <v>10682</v>
      </c>
      <c r="G980" s="154" t="s">
        <v>10683</v>
      </c>
      <c r="H980" s="154" t="s">
        <v>8654</v>
      </c>
      <c r="I980" s="154" t="s">
        <v>7123</v>
      </c>
    </row>
    <row r="981" customFormat="false" ht="76" hidden="false" customHeight="true" outlineLevel="0" collapsed="false">
      <c r="A981" s="154" t="s">
        <v>6923</v>
      </c>
      <c r="B981" s="154" t="s">
        <v>9705</v>
      </c>
      <c r="C981" s="154" t="s">
        <v>4743</v>
      </c>
      <c r="D981" s="154" t="s">
        <v>7121</v>
      </c>
      <c r="E981" s="154" t="s">
        <v>8655</v>
      </c>
      <c r="F981" s="154" t="s">
        <v>10684</v>
      </c>
      <c r="G981" s="154" t="s">
        <v>10685</v>
      </c>
      <c r="H981" s="154" t="s">
        <v>8658</v>
      </c>
      <c r="I981" s="154" t="s">
        <v>7123</v>
      </c>
    </row>
    <row r="982" customFormat="false" ht="84" hidden="false" customHeight="true" outlineLevel="0" collapsed="false">
      <c r="A982" s="154" t="s">
        <v>6923</v>
      </c>
      <c r="B982" s="154" t="s">
        <v>9705</v>
      </c>
      <c r="C982" s="154" t="s">
        <v>4743</v>
      </c>
      <c r="D982" s="154" t="s">
        <v>7121</v>
      </c>
      <c r="E982" s="154" t="s">
        <v>8659</v>
      </c>
      <c r="F982" s="154" t="s">
        <v>10686</v>
      </c>
      <c r="G982" s="154" t="s">
        <v>10687</v>
      </c>
      <c r="H982" s="154" t="s">
        <v>8662</v>
      </c>
      <c r="I982" s="154" t="s">
        <v>7123</v>
      </c>
    </row>
    <row r="983" customFormat="false" ht="76" hidden="false" customHeight="true" outlineLevel="0" collapsed="false">
      <c r="A983" s="154" t="s">
        <v>6923</v>
      </c>
      <c r="B983" s="154" t="s">
        <v>9705</v>
      </c>
      <c r="C983" s="154" t="s">
        <v>4743</v>
      </c>
      <c r="D983" s="154" t="s">
        <v>7121</v>
      </c>
      <c r="E983" s="154" t="s">
        <v>8663</v>
      </c>
      <c r="F983" s="154" t="s">
        <v>10688</v>
      </c>
      <c r="G983" s="154" t="s">
        <v>10689</v>
      </c>
      <c r="H983" s="154" t="s">
        <v>8666</v>
      </c>
      <c r="I983" s="154" t="s">
        <v>7123</v>
      </c>
    </row>
    <row r="984" customFormat="false" ht="76" hidden="false" customHeight="true" outlineLevel="0" collapsed="false">
      <c r="A984" s="154" t="s">
        <v>6923</v>
      </c>
      <c r="B984" s="154" t="s">
        <v>9705</v>
      </c>
      <c r="C984" s="154" t="s">
        <v>4743</v>
      </c>
      <c r="D984" s="154" t="s">
        <v>7121</v>
      </c>
      <c r="E984" s="154" t="s">
        <v>8667</v>
      </c>
      <c r="F984" s="154" t="s">
        <v>10690</v>
      </c>
      <c r="G984" s="154" t="s">
        <v>10691</v>
      </c>
      <c r="H984" s="154" t="s">
        <v>8670</v>
      </c>
      <c r="I984" s="154" t="s">
        <v>7123</v>
      </c>
    </row>
    <row r="985" customFormat="false" ht="76" hidden="false" customHeight="true" outlineLevel="0" collapsed="false">
      <c r="A985" s="154" t="s">
        <v>6923</v>
      </c>
      <c r="B985" s="154" t="s">
        <v>9705</v>
      </c>
      <c r="C985" s="154" t="s">
        <v>4743</v>
      </c>
      <c r="D985" s="154" t="s">
        <v>7121</v>
      </c>
      <c r="E985" s="154" t="s">
        <v>8671</v>
      </c>
      <c r="F985" s="154" t="s">
        <v>10692</v>
      </c>
      <c r="G985" s="154" t="s">
        <v>10693</v>
      </c>
      <c r="H985" s="154" t="s">
        <v>8674</v>
      </c>
      <c r="I985" s="154" t="s">
        <v>7123</v>
      </c>
    </row>
    <row r="986" customFormat="false" ht="76" hidden="false" customHeight="true" outlineLevel="0" collapsed="false">
      <c r="A986" s="154" t="s">
        <v>6923</v>
      </c>
      <c r="B986" s="154" t="s">
        <v>9705</v>
      </c>
      <c r="C986" s="154" t="s">
        <v>4743</v>
      </c>
      <c r="D986" s="154" t="s">
        <v>7121</v>
      </c>
      <c r="E986" s="154" t="s">
        <v>8675</v>
      </c>
      <c r="F986" s="154" t="s">
        <v>10694</v>
      </c>
      <c r="G986" s="154" t="s">
        <v>10695</v>
      </c>
      <c r="H986" s="154" t="s">
        <v>8678</v>
      </c>
      <c r="I986" s="154" t="s">
        <v>7123</v>
      </c>
    </row>
    <row r="987" customFormat="false" ht="76" hidden="false" customHeight="true" outlineLevel="0" collapsed="false">
      <c r="A987" s="154" t="s">
        <v>6923</v>
      </c>
      <c r="B987" s="154" t="s">
        <v>9705</v>
      </c>
      <c r="C987" s="154" t="s">
        <v>4743</v>
      </c>
      <c r="D987" s="154" t="s">
        <v>7121</v>
      </c>
      <c r="E987" s="154" t="s">
        <v>8679</v>
      </c>
      <c r="F987" s="154" t="s">
        <v>10696</v>
      </c>
      <c r="G987" s="154" t="s">
        <v>10697</v>
      </c>
      <c r="H987" s="154" t="s">
        <v>8682</v>
      </c>
      <c r="I987" s="154" t="s">
        <v>7123</v>
      </c>
    </row>
    <row r="988" customFormat="false" ht="76" hidden="false" customHeight="true" outlineLevel="0" collapsed="false">
      <c r="A988" s="154" t="s">
        <v>6923</v>
      </c>
      <c r="B988" s="154" t="s">
        <v>9705</v>
      </c>
      <c r="C988" s="154" t="s">
        <v>4743</v>
      </c>
      <c r="D988" s="154" t="s">
        <v>7121</v>
      </c>
      <c r="E988" s="154" t="s">
        <v>8683</v>
      </c>
      <c r="F988" s="154" t="s">
        <v>10698</v>
      </c>
      <c r="G988" s="154" t="s">
        <v>10699</v>
      </c>
      <c r="H988" s="154" t="s">
        <v>8686</v>
      </c>
      <c r="I988" s="154" t="s">
        <v>7123</v>
      </c>
    </row>
    <row r="989" customFormat="false" ht="76" hidden="false" customHeight="true" outlineLevel="0" collapsed="false">
      <c r="A989" s="154" t="s">
        <v>6923</v>
      </c>
      <c r="B989" s="154" t="s">
        <v>9705</v>
      </c>
      <c r="C989" s="154" t="s">
        <v>4743</v>
      </c>
      <c r="D989" s="154" t="s">
        <v>7121</v>
      </c>
      <c r="E989" s="154" t="s">
        <v>8687</v>
      </c>
      <c r="F989" s="154" t="s">
        <v>10700</v>
      </c>
      <c r="G989" s="154" t="s">
        <v>10701</v>
      </c>
      <c r="H989" s="154" t="s">
        <v>8690</v>
      </c>
      <c r="I989" s="154" t="s">
        <v>7123</v>
      </c>
    </row>
    <row r="990" customFormat="false" ht="76" hidden="false" customHeight="true" outlineLevel="0" collapsed="false">
      <c r="A990" s="154" t="s">
        <v>6923</v>
      </c>
      <c r="B990" s="154" t="s">
        <v>9705</v>
      </c>
      <c r="C990" s="154" t="s">
        <v>4743</v>
      </c>
      <c r="D990" s="154" t="s">
        <v>7121</v>
      </c>
      <c r="E990" s="154" t="s">
        <v>8691</v>
      </c>
      <c r="F990" s="154" t="s">
        <v>10702</v>
      </c>
      <c r="G990" s="154" t="s">
        <v>10703</v>
      </c>
      <c r="H990" s="154" t="s">
        <v>8694</v>
      </c>
      <c r="I990" s="154" t="s">
        <v>7123</v>
      </c>
    </row>
    <row r="991" customFormat="false" ht="76" hidden="false" customHeight="true" outlineLevel="0" collapsed="false">
      <c r="A991" s="154" t="s">
        <v>6923</v>
      </c>
      <c r="B991" s="154" t="s">
        <v>9705</v>
      </c>
      <c r="C991" s="154" t="s">
        <v>4743</v>
      </c>
      <c r="D991" s="154" t="s">
        <v>7121</v>
      </c>
      <c r="E991" s="154" t="s">
        <v>8695</v>
      </c>
      <c r="F991" s="154" t="s">
        <v>10704</v>
      </c>
      <c r="G991" s="154" t="s">
        <v>10705</v>
      </c>
      <c r="H991" s="154" t="s">
        <v>8698</v>
      </c>
      <c r="I991" s="154" t="s">
        <v>7123</v>
      </c>
    </row>
    <row r="992" customFormat="false" ht="76" hidden="false" customHeight="true" outlineLevel="0" collapsed="false">
      <c r="A992" s="154" t="s">
        <v>6923</v>
      </c>
      <c r="B992" s="154" t="s">
        <v>9705</v>
      </c>
      <c r="C992" s="154" t="s">
        <v>4743</v>
      </c>
      <c r="D992" s="154" t="s">
        <v>7121</v>
      </c>
      <c r="E992" s="154" t="s">
        <v>8617</v>
      </c>
      <c r="F992" s="154" t="s">
        <v>10706</v>
      </c>
      <c r="G992" s="154" t="s">
        <v>10707</v>
      </c>
      <c r="H992" s="154" t="s">
        <v>8620</v>
      </c>
      <c r="I992" s="154" t="s">
        <v>7123</v>
      </c>
    </row>
    <row r="993" customFormat="false" ht="76" hidden="false" customHeight="true" outlineLevel="0" collapsed="false">
      <c r="A993" s="154" t="s">
        <v>6923</v>
      </c>
      <c r="B993" s="154" t="s">
        <v>9705</v>
      </c>
      <c r="C993" s="154" t="s">
        <v>4743</v>
      </c>
      <c r="D993" s="154" t="s">
        <v>7121</v>
      </c>
      <c r="E993" s="154" t="s">
        <v>7129</v>
      </c>
      <c r="F993" s="154" t="s">
        <v>10708</v>
      </c>
      <c r="G993" s="154" t="s">
        <v>10709</v>
      </c>
      <c r="H993" s="154" t="s">
        <v>7132</v>
      </c>
      <c r="I993" s="154" t="s">
        <v>7123</v>
      </c>
    </row>
    <row r="994" customFormat="false" ht="76" hidden="false" customHeight="true" outlineLevel="0" collapsed="false">
      <c r="A994" s="154" t="s">
        <v>6923</v>
      </c>
      <c r="B994" s="154" t="s">
        <v>9705</v>
      </c>
      <c r="C994" s="154" t="s">
        <v>4743</v>
      </c>
      <c r="D994" s="154" t="s">
        <v>7121</v>
      </c>
      <c r="E994" s="154" t="s">
        <v>8735</v>
      </c>
      <c r="F994" s="154" t="s">
        <v>10710</v>
      </c>
      <c r="G994" s="154" t="s">
        <v>10711</v>
      </c>
      <c r="H994" s="154" t="s">
        <v>8738</v>
      </c>
      <c r="I994" s="154" t="s">
        <v>7123</v>
      </c>
    </row>
    <row r="995" customFormat="false" ht="76" hidden="false" customHeight="true" outlineLevel="0" collapsed="false">
      <c r="A995" s="154" t="s">
        <v>9704</v>
      </c>
      <c r="B995" s="154" t="s">
        <v>9705</v>
      </c>
      <c r="C995" s="154" t="s">
        <v>4743</v>
      </c>
      <c r="D995" s="154" t="s">
        <v>7121</v>
      </c>
      <c r="E995" s="154" t="s">
        <v>7935</v>
      </c>
      <c r="F995" s="154" t="s">
        <v>10712</v>
      </c>
      <c r="G995" s="154" t="s">
        <v>10713</v>
      </c>
      <c r="H995" s="154" t="s">
        <v>7938</v>
      </c>
      <c r="I995" s="154" t="s">
        <v>7123</v>
      </c>
    </row>
    <row r="996" customFormat="false" ht="76" hidden="false" customHeight="true" outlineLevel="0" collapsed="false">
      <c r="A996" s="154" t="s">
        <v>9704</v>
      </c>
      <c r="B996" s="154" t="s">
        <v>9705</v>
      </c>
      <c r="C996" s="154" t="s">
        <v>4743</v>
      </c>
      <c r="D996" s="154" t="s">
        <v>7121</v>
      </c>
      <c r="E996" s="154" t="s">
        <v>7935</v>
      </c>
      <c r="F996" s="154" t="s">
        <v>10714</v>
      </c>
      <c r="G996" s="154" t="s">
        <v>10715</v>
      </c>
      <c r="H996" s="154" t="s">
        <v>7938</v>
      </c>
      <c r="I996" s="154" t="s">
        <v>7123</v>
      </c>
    </row>
    <row r="997" customFormat="false" ht="76" hidden="false" customHeight="true" outlineLevel="0" collapsed="false">
      <c r="A997" s="154" t="s">
        <v>9704</v>
      </c>
      <c r="B997" s="154" t="s">
        <v>9705</v>
      </c>
      <c r="C997" s="154" t="s">
        <v>4743</v>
      </c>
      <c r="D997" s="154" t="s">
        <v>7121</v>
      </c>
      <c r="E997" s="154" t="s">
        <v>10716</v>
      </c>
      <c r="F997" s="154" t="s">
        <v>10717</v>
      </c>
      <c r="G997" s="154" t="s">
        <v>10718</v>
      </c>
      <c r="H997" s="154" t="s">
        <v>10719</v>
      </c>
      <c r="I997" s="154" t="s">
        <v>7123</v>
      </c>
    </row>
    <row r="998" customFormat="false" ht="266" hidden="false" customHeight="true" outlineLevel="0" collapsed="false">
      <c r="A998" s="154" t="s">
        <v>6444</v>
      </c>
      <c r="B998" s="154" t="s">
        <v>9705</v>
      </c>
      <c r="C998" s="154" t="s">
        <v>4743</v>
      </c>
      <c r="D998" s="154" t="s">
        <v>7121</v>
      </c>
      <c r="E998" s="154" t="s">
        <v>10720</v>
      </c>
      <c r="F998" s="154" t="s">
        <v>10721</v>
      </c>
      <c r="G998" s="154" t="s">
        <v>10722</v>
      </c>
      <c r="H998" s="154" t="s">
        <v>10723</v>
      </c>
      <c r="I998" s="154" t="s">
        <v>7123</v>
      </c>
    </row>
    <row r="999" customFormat="false" ht="294" hidden="false" customHeight="true" outlineLevel="0" collapsed="false">
      <c r="A999" s="154" t="s">
        <v>6540</v>
      </c>
      <c r="B999" s="154" t="s">
        <v>9705</v>
      </c>
      <c r="C999" s="154" t="s">
        <v>4743</v>
      </c>
      <c r="D999" s="154" t="s">
        <v>7121</v>
      </c>
      <c r="E999" s="154" t="s">
        <v>10724</v>
      </c>
      <c r="F999" s="154" t="s">
        <v>10725</v>
      </c>
      <c r="G999" s="154" t="s">
        <v>10726</v>
      </c>
      <c r="H999" s="154" t="s">
        <v>10727</v>
      </c>
      <c r="I999" s="154" t="s">
        <v>7123</v>
      </c>
    </row>
    <row r="1000" customFormat="false" ht="350" hidden="false" customHeight="true" outlineLevel="0" collapsed="false">
      <c r="A1000" s="154" t="s">
        <v>6540</v>
      </c>
      <c r="B1000" s="154" t="s">
        <v>9705</v>
      </c>
      <c r="C1000" s="154" t="s">
        <v>4743</v>
      </c>
      <c r="D1000" s="154" t="s">
        <v>7121</v>
      </c>
      <c r="E1000" s="154" t="s">
        <v>7133</v>
      </c>
      <c r="F1000" s="154" t="s">
        <v>10728</v>
      </c>
      <c r="G1000" s="154" t="s">
        <v>10729</v>
      </c>
      <c r="H1000" s="154" t="s">
        <v>7136</v>
      </c>
      <c r="I1000" s="154" t="s">
        <v>7123</v>
      </c>
    </row>
    <row r="1001" customFormat="false" ht="266" hidden="false" customHeight="true" outlineLevel="0" collapsed="false">
      <c r="A1001" s="154" t="s">
        <v>6540</v>
      </c>
      <c r="B1001" s="154" t="s">
        <v>9705</v>
      </c>
      <c r="C1001" s="154" t="s">
        <v>4743</v>
      </c>
      <c r="D1001" s="154" t="s">
        <v>7121</v>
      </c>
      <c r="E1001" s="154" t="s">
        <v>7137</v>
      </c>
      <c r="F1001" s="154" t="s">
        <v>10730</v>
      </c>
      <c r="G1001" s="154" t="s">
        <v>10731</v>
      </c>
      <c r="H1001" s="154" t="s">
        <v>7140</v>
      </c>
      <c r="I1001" s="154" t="s">
        <v>7123</v>
      </c>
    </row>
    <row r="1002" customFormat="false" ht="76" hidden="false" customHeight="true" outlineLevel="0" collapsed="false">
      <c r="A1002" s="154" t="s">
        <v>6540</v>
      </c>
      <c r="B1002" s="154" t="s">
        <v>9705</v>
      </c>
      <c r="C1002" s="154" t="s">
        <v>4743</v>
      </c>
      <c r="D1002" s="154" t="s">
        <v>7121</v>
      </c>
      <c r="E1002" s="154" t="s">
        <v>7129</v>
      </c>
      <c r="F1002" s="154" t="s">
        <v>10732</v>
      </c>
      <c r="G1002" s="154" t="s">
        <v>10733</v>
      </c>
      <c r="H1002" s="154" t="s">
        <v>7132</v>
      </c>
      <c r="I1002" s="154" t="s">
        <v>7123</v>
      </c>
    </row>
    <row r="1003" customFormat="false" ht="76" hidden="false" customHeight="true" outlineLevel="0" collapsed="false">
      <c r="A1003" s="154" t="s">
        <v>6540</v>
      </c>
      <c r="B1003" s="154" t="s">
        <v>9705</v>
      </c>
      <c r="C1003" s="154" t="s">
        <v>4743</v>
      </c>
      <c r="D1003" s="154" t="s">
        <v>7121</v>
      </c>
      <c r="E1003" s="154" t="s">
        <v>7144</v>
      </c>
      <c r="F1003" s="154" t="s">
        <v>10734</v>
      </c>
      <c r="G1003" s="154" t="s">
        <v>10735</v>
      </c>
      <c r="H1003" s="154" t="s">
        <v>7147</v>
      </c>
      <c r="I1003" s="154" t="s">
        <v>7123</v>
      </c>
    </row>
    <row r="1004" customFormat="false" ht="76" hidden="false" customHeight="true" outlineLevel="0" collapsed="false">
      <c r="A1004" s="154" t="s">
        <v>6540</v>
      </c>
      <c r="B1004" s="154" t="s">
        <v>9705</v>
      </c>
      <c r="C1004" s="154" t="s">
        <v>4743</v>
      </c>
      <c r="D1004" s="154" t="s">
        <v>7121</v>
      </c>
      <c r="E1004" s="154" t="s">
        <v>7148</v>
      </c>
      <c r="F1004" s="154" t="s">
        <v>10736</v>
      </c>
      <c r="G1004" s="154" t="s">
        <v>10737</v>
      </c>
      <c r="H1004" s="154" t="s">
        <v>7151</v>
      </c>
      <c r="I1004" s="154" t="s">
        <v>7123</v>
      </c>
    </row>
    <row r="1005" customFormat="false" ht="224" hidden="false" customHeight="true" outlineLevel="0" collapsed="false">
      <c r="A1005" s="154" t="s">
        <v>6444</v>
      </c>
      <c r="B1005" s="154" t="s">
        <v>9705</v>
      </c>
      <c r="C1005" s="154" t="s">
        <v>4743</v>
      </c>
      <c r="D1005" s="154" t="s">
        <v>7121</v>
      </c>
      <c r="E1005" s="154" t="s">
        <v>7505</v>
      </c>
      <c r="F1005" s="154" t="s">
        <v>10738</v>
      </c>
      <c r="G1005" s="154" t="s">
        <v>10739</v>
      </c>
      <c r="H1005" s="154" t="s">
        <v>7508</v>
      </c>
      <c r="I1005" s="154" t="s">
        <v>7123</v>
      </c>
    </row>
    <row r="1006" customFormat="false" ht="76" hidden="false" customHeight="true" outlineLevel="0" collapsed="false">
      <c r="A1006" s="154" t="s">
        <v>6444</v>
      </c>
      <c r="B1006" s="154" t="s">
        <v>9705</v>
      </c>
      <c r="C1006" s="154" t="s">
        <v>4743</v>
      </c>
      <c r="D1006" s="154" t="s">
        <v>7121</v>
      </c>
      <c r="E1006" s="154" t="s">
        <v>7523</v>
      </c>
      <c r="F1006" s="154" t="s">
        <v>10740</v>
      </c>
      <c r="G1006" s="154" t="s">
        <v>10741</v>
      </c>
      <c r="H1006" s="154" t="s">
        <v>7526</v>
      </c>
      <c r="I1006" s="154" t="s">
        <v>7123</v>
      </c>
    </row>
    <row r="1007" customFormat="false" ht="76" hidden="false" customHeight="true" outlineLevel="0" collapsed="false">
      <c r="A1007" s="154" t="s">
        <v>6444</v>
      </c>
      <c r="B1007" s="154" t="s">
        <v>9705</v>
      </c>
      <c r="C1007" s="154" t="s">
        <v>4743</v>
      </c>
      <c r="D1007" s="154" t="s">
        <v>7121</v>
      </c>
      <c r="E1007" s="154" t="s">
        <v>7509</v>
      </c>
      <c r="F1007" s="154" t="s">
        <v>10742</v>
      </c>
      <c r="G1007" s="154" t="s">
        <v>10743</v>
      </c>
      <c r="H1007" s="154" t="s">
        <v>7512</v>
      </c>
      <c r="I1007" s="154" t="s">
        <v>7123</v>
      </c>
    </row>
    <row r="1008" customFormat="false" ht="112" hidden="false" customHeight="true" outlineLevel="0" collapsed="false">
      <c r="A1008" s="154" t="s">
        <v>6444</v>
      </c>
      <c r="B1008" s="154" t="s">
        <v>9705</v>
      </c>
      <c r="C1008" s="154" t="s">
        <v>4743</v>
      </c>
      <c r="D1008" s="154" t="s">
        <v>7121</v>
      </c>
      <c r="E1008" s="154" t="s">
        <v>7519</v>
      </c>
      <c r="F1008" s="154" t="s">
        <v>10744</v>
      </c>
      <c r="G1008" s="154" t="s">
        <v>10745</v>
      </c>
      <c r="H1008" s="154" t="s">
        <v>7522</v>
      </c>
      <c r="I1008" s="154" t="s">
        <v>7123</v>
      </c>
    </row>
    <row r="1009" customFormat="false" ht="98" hidden="false" customHeight="true" outlineLevel="0" collapsed="false">
      <c r="A1009" s="154" t="s">
        <v>6444</v>
      </c>
      <c r="B1009" s="154" t="s">
        <v>9705</v>
      </c>
      <c r="C1009" s="154" t="s">
        <v>4743</v>
      </c>
      <c r="D1009" s="154" t="s">
        <v>7121</v>
      </c>
      <c r="E1009" s="154" t="s">
        <v>7513</v>
      </c>
      <c r="F1009" s="154" t="s">
        <v>10746</v>
      </c>
      <c r="G1009" s="154" t="s">
        <v>10747</v>
      </c>
      <c r="H1009" s="154" t="s">
        <v>7516</v>
      </c>
      <c r="I1009" s="154" t="s">
        <v>7123</v>
      </c>
    </row>
    <row r="1010" customFormat="false" ht="76" hidden="false" customHeight="true" outlineLevel="0" collapsed="false">
      <c r="A1010" s="154" t="s">
        <v>6444</v>
      </c>
      <c r="B1010" s="154" t="s">
        <v>9705</v>
      </c>
      <c r="C1010" s="154" t="s">
        <v>4743</v>
      </c>
      <c r="D1010" s="154" t="s">
        <v>7121</v>
      </c>
      <c r="E1010" s="154" t="s">
        <v>4744</v>
      </c>
      <c r="F1010" s="154" t="s">
        <v>10748</v>
      </c>
      <c r="G1010" s="154" t="s">
        <v>10749</v>
      </c>
      <c r="H1010" s="154" t="s">
        <v>7143</v>
      </c>
      <c r="I1010" s="154" t="s">
        <v>7123</v>
      </c>
    </row>
    <row r="1011" customFormat="false" ht="76" hidden="false" customHeight="true" outlineLevel="0" collapsed="false">
      <c r="A1011" s="154" t="s">
        <v>6444</v>
      </c>
      <c r="B1011" s="154" t="s">
        <v>9705</v>
      </c>
      <c r="C1011" s="154" t="s">
        <v>4743</v>
      </c>
      <c r="D1011" s="154" t="s">
        <v>7121</v>
      </c>
      <c r="E1011" s="154" t="s">
        <v>4744</v>
      </c>
      <c r="F1011" s="154" t="s">
        <v>10750</v>
      </c>
      <c r="G1011" s="154" t="s">
        <v>10751</v>
      </c>
      <c r="H1011" s="154" t="s">
        <v>7143</v>
      </c>
      <c r="I1011" s="154" t="s">
        <v>7123</v>
      </c>
    </row>
    <row r="1012" customFormat="false" ht="154" hidden="false" customHeight="true" outlineLevel="0" collapsed="false">
      <c r="A1012" s="154" t="s">
        <v>6444</v>
      </c>
      <c r="B1012" s="154" t="s">
        <v>9705</v>
      </c>
      <c r="C1012" s="154" t="s">
        <v>6664</v>
      </c>
      <c r="D1012" s="154" t="s">
        <v>7449</v>
      </c>
      <c r="E1012" s="154" t="s">
        <v>7450</v>
      </c>
      <c r="F1012" s="154" t="s">
        <v>10752</v>
      </c>
      <c r="G1012" s="154" t="s">
        <v>10753</v>
      </c>
      <c r="H1012" s="154" t="s">
        <v>7453</v>
      </c>
      <c r="I1012" s="154" t="s">
        <v>7123</v>
      </c>
    </row>
    <row r="1013" customFormat="false" ht="252" hidden="false" customHeight="true" outlineLevel="0" collapsed="false">
      <c r="A1013" s="154" t="s">
        <v>6444</v>
      </c>
      <c r="B1013" s="154" t="s">
        <v>9705</v>
      </c>
      <c r="C1013" s="154" t="s">
        <v>6664</v>
      </c>
      <c r="D1013" s="154" t="s">
        <v>7449</v>
      </c>
      <c r="E1013" s="154" t="s">
        <v>7454</v>
      </c>
      <c r="F1013" s="154" t="s">
        <v>10754</v>
      </c>
      <c r="G1013" s="154" t="s">
        <v>10755</v>
      </c>
      <c r="H1013" s="154" t="s">
        <v>7457</v>
      </c>
      <c r="I1013" s="154" t="s">
        <v>7123</v>
      </c>
    </row>
    <row r="1014" customFormat="false" ht="76" hidden="false" customHeight="true" outlineLevel="0" collapsed="false">
      <c r="A1014" s="154" t="s">
        <v>6444</v>
      </c>
      <c r="B1014" s="154" t="s">
        <v>9705</v>
      </c>
      <c r="C1014" s="154" t="s">
        <v>6664</v>
      </c>
      <c r="D1014" s="154" t="s">
        <v>7449</v>
      </c>
      <c r="E1014" s="154" t="s">
        <v>7458</v>
      </c>
      <c r="F1014" s="154" t="s">
        <v>10756</v>
      </c>
      <c r="G1014" s="154" t="s">
        <v>10757</v>
      </c>
      <c r="H1014" s="154" t="s">
        <v>7461</v>
      </c>
      <c r="I1014" s="154" t="s">
        <v>7123</v>
      </c>
    </row>
    <row r="1015" customFormat="false" ht="76" hidden="false" customHeight="true" outlineLevel="0" collapsed="false">
      <c r="A1015" s="154" t="s">
        <v>6444</v>
      </c>
      <c r="B1015" s="154" t="s">
        <v>9705</v>
      </c>
      <c r="C1015" s="154" t="s">
        <v>6664</v>
      </c>
      <c r="D1015" s="154" t="s">
        <v>7449</v>
      </c>
      <c r="E1015" s="154" t="s">
        <v>7462</v>
      </c>
      <c r="F1015" s="154" t="s">
        <v>10758</v>
      </c>
      <c r="G1015" s="154" t="s">
        <v>10759</v>
      </c>
      <c r="H1015" s="154" t="s">
        <v>7465</v>
      </c>
      <c r="I1015" s="154" t="s">
        <v>7123</v>
      </c>
    </row>
    <row r="1016" customFormat="false" ht="76" hidden="false" customHeight="true" outlineLevel="0" collapsed="false">
      <c r="A1016" s="154" t="s">
        <v>6444</v>
      </c>
      <c r="B1016" s="154" t="s">
        <v>9705</v>
      </c>
      <c r="C1016" s="154" t="s">
        <v>6664</v>
      </c>
      <c r="D1016" s="154" t="s">
        <v>7449</v>
      </c>
      <c r="E1016" s="154" t="s">
        <v>7466</v>
      </c>
      <c r="F1016" s="154" t="s">
        <v>10760</v>
      </c>
      <c r="G1016" s="154" t="s">
        <v>10761</v>
      </c>
      <c r="H1016" s="154" t="s">
        <v>7469</v>
      </c>
      <c r="I1016" s="154" t="s">
        <v>7123</v>
      </c>
    </row>
    <row r="1017" customFormat="false" ht="76" hidden="false" customHeight="true" outlineLevel="0" collapsed="false">
      <c r="A1017" s="154" t="s">
        <v>6444</v>
      </c>
      <c r="B1017" s="154" t="s">
        <v>9705</v>
      </c>
      <c r="C1017" s="154" t="s">
        <v>6664</v>
      </c>
      <c r="D1017" s="154" t="s">
        <v>7449</v>
      </c>
      <c r="E1017" s="154" t="s">
        <v>7449</v>
      </c>
      <c r="F1017" s="154" t="s">
        <v>10762</v>
      </c>
      <c r="G1017" s="154" t="s">
        <v>10763</v>
      </c>
      <c r="H1017" s="154" t="s">
        <v>7472</v>
      </c>
      <c r="I1017" s="154" t="s">
        <v>7123</v>
      </c>
    </row>
    <row r="1018" customFormat="false" ht="76" hidden="false" customHeight="true" outlineLevel="0" collapsed="false">
      <c r="A1018" s="154" t="s">
        <v>6444</v>
      </c>
      <c r="B1018" s="154" t="s">
        <v>9705</v>
      </c>
      <c r="C1018" s="154" t="s">
        <v>6664</v>
      </c>
      <c r="D1018" s="154" t="s">
        <v>7449</v>
      </c>
      <c r="E1018" s="154" t="s">
        <v>7473</v>
      </c>
      <c r="F1018" s="154" t="s">
        <v>10764</v>
      </c>
      <c r="G1018" s="154" t="s">
        <v>10765</v>
      </c>
      <c r="H1018" s="154" t="s">
        <v>7476</v>
      </c>
      <c r="I1018" s="154" t="s">
        <v>7123</v>
      </c>
    </row>
    <row r="1019" customFormat="false" ht="322" hidden="false" customHeight="true" outlineLevel="0" collapsed="false">
      <c r="A1019" s="154" t="s">
        <v>6444</v>
      </c>
      <c r="B1019" s="154" t="s">
        <v>9705</v>
      </c>
      <c r="C1019" s="154" t="s">
        <v>4743</v>
      </c>
      <c r="D1019" s="154" t="s">
        <v>7121</v>
      </c>
      <c r="E1019" s="154" t="s">
        <v>7477</v>
      </c>
      <c r="F1019" s="154" t="s">
        <v>10766</v>
      </c>
      <c r="G1019" s="154" t="s">
        <v>10767</v>
      </c>
      <c r="H1019" s="154" t="s">
        <v>7480</v>
      </c>
      <c r="I1019" s="154" t="s">
        <v>7123</v>
      </c>
    </row>
    <row r="1020" customFormat="false" ht="76" hidden="false" customHeight="true" outlineLevel="0" collapsed="false">
      <c r="A1020" s="154" t="s">
        <v>6444</v>
      </c>
      <c r="B1020" s="154" t="s">
        <v>9705</v>
      </c>
      <c r="C1020" s="154" t="s">
        <v>4743</v>
      </c>
      <c r="D1020" s="154" t="s">
        <v>7121</v>
      </c>
      <c r="E1020" s="154" t="s">
        <v>7337</v>
      </c>
      <c r="F1020" s="154" t="s">
        <v>10768</v>
      </c>
      <c r="G1020" s="154" t="s">
        <v>10769</v>
      </c>
      <c r="H1020" s="154" t="s">
        <v>7340</v>
      </c>
      <c r="I1020" s="154" t="s">
        <v>7123</v>
      </c>
    </row>
    <row r="1021" customFormat="false" ht="76" hidden="false" customHeight="true" outlineLevel="0" collapsed="false">
      <c r="A1021" s="154" t="s">
        <v>6444</v>
      </c>
      <c r="B1021" s="154" t="s">
        <v>9705</v>
      </c>
      <c r="C1021" s="154" t="s">
        <v>4743</v>
      </c>
      <c r="D1021" s="154" t="s">
        <v>7121</v>
      </c>
      <c r="E1021" s="154" t="s">
        <v>7483</v>
      </c>
      <c r="F1021" s="154" t="s">
        <v>10770</v>
      </c>
      <c r="G1021" s="154" t="s">
        <v>10771</v>
      </c>
      <c r="H1021" s="154" t="s">
        <v>7486</v>
      </c>
      <c r="I1021" s="154" t="s">
        <v>7123</v>
      </c>
    </row>
    <row r="1022" customFormat="false" ht="76" hidden="false" customHeight="true" outlineLevel="0" collapsed="false">
      <c r="A1022" s="154" t="s">
        <v>6444</v>
      </c>
      <c r="B1022" s="154" t="s">
        <v>9705</v>
      </c>
      <c r="C1022" s="154" t="s">
        <v>4743</v>
      </c>
      <c r="D1022" s="154" t="s">
        <v>7121</v>
      </c>
      <c r="E1022" s="154" t="s">
        <v>7487</v>
      </c>
      <c r="F1022" s="154" t="s">
        <v>10772</v>
      </c>
      <c r="G1022" s="154" t="s">
        <v>10773</v>
      </c>
      <c r="H1022" s="154" t="s">
        <v>7490</v>
      </c>
      <c r="I1022" s="154" t="s">
        <v>7123</v>
      </c>
    </row>
    <row r="1023" customFormat="false" ht="336" hidden="false" customHeight="true" outlineLevel="0" collapsed="false">
      <c r="A1023" s="154" t="s">
        <v>6677</v>
      </c>
      <c r="B1023" s="154" t="s">
        <v>9705</v>
      </c>
      <c r="C1023" s="154" t="s">
        <v>4743</v>
      </c>
      <c r="D1023" s="154" t="s">
        <v>7121</v>
      </c>
      <c r="E1023" s="154" t="s">
        <v>10774</v>
      </c>
      <c r="F1023" s="154" t="s">
        <v>10775</v>
      </c>
      <c r="G1023" s="154" t="s">
        <v>10776</v>
      </c>
      <c r="H1023" s="154" t="s">
        <v>10777</v>
      </c>
      <c r="I1023" s="154" t="s">
        <v>7123</v>
      </c>
    </row>
    <row r="1024" customFormat="false" ht="168" hidden="false" customHeight="true" outlineLevel="0" collapsed="false">
      <c r="A1024" s="154" t="s">
        <v>6677</v>
      </c>
      <c r="B1024" s="154" t="s">
        <v>9705</v>
      </c>
      <c r="C1024" s="154" t="s">
        <v>4743</v>
      </c>
      <c r="D1024" s="154" t="s">
        <v>7121</v>
      </c>
      <c r="E1024" s="154" t="s">
        <v>7538</v>
      </c>
      <c r="F1024" s="154" t="s">
        <v>10778</v>
      </c>
      <c r="G1024" s="154" t="s">
        <v>10779</v>
      </c>
      <c r="H1024" s="154" t="s">
        <v>7541</v>
      </c>
      <c r="I1024" s="154" t="s">
        <v>7123</v>
      </c>
    </row>
    <row r="1025" customFormat="false" ht="196" hidden="false" customHeight="true" outlineLevel="0" collapsed="false">
      <c r="A1025" s="154" t="s">
        <v>6677</v>
      </c>
      <c r="B1025" s="154" t="s">
        <v>9705</v>
      </c>
      <c r="C1025" s="154" t="s">
        <v>4743</v>
      </c>
      <c r="D1025" s="154" t="s">
        <v>7121</v>
      </c>
      <c r="E1025" s="154" t="s">
        <v>7542</v>
      </c>
      <c r="F1025" s="154" t="s">
        <v>10780</v>
      </c>
      <c r="G1025" s="154" t="s">
        <v>10781</v>
      </c>
      <c r="H1025" s="154" t="s">
        <v>7545</v>
      </c>
      <c r="I1025" s="154" t="s">
        <v>7123</v>
      </c>
    </row>
    <row r="1026" customFormat="false" ht="76" hidden="false" customHeight="true" outlineLevel="0" collapsed="false">
      <c r="A1026" s="154" t="s">
        <v>6677</v>
      </c>
      <c r="B1026" s="154" t="s">
        <v>9705</v>
      </c>
      <c r="C1026" s="154" t="s">
        <v>4743</v>
      </c>
      <c r="D1026" s="154" t="s">
        <v>7121</v>
      </c>
      <c r="E1026" s="154" t="s">
        <v>7129</v>
      </c>
      <c r="F1026" s="154" t="s">
        <v>10782</v>
      </c>
      <c r="G1026" s="154" t="s">
        <v>10783</v>
      </c>
      <c r="H1026" s="154" t="s">
        <v>7132</v>
      </c>
      <c r="I1026" s="154" t="s">
        <v>7123</v>
      </c>
    </row>
    <row r="1027" customFormat="false" ht="76" hidden="false" customHeight="true" outlineLevel="0" collapsed="false">
      <c r="A1027" s="154" t="s">
        <v>6677</v>
      </c>
      <c r="B1027" s="154" t="s">
        <v>9705</v>
      </c>
      <c r="C1027" s="154" t="s">
        <v>4743</v>
      </c>
      <c r="D1027" s="154" t="s">
        <v>7121</v>
      </c>
      <c r="E1027" s="154" t="s">
        <v>7548</v>
      </c>
      <c r="F1027" s="154" t="s">
        <v>10784</v>
      </c>
      <c r="G1027" s="154" t="s">
        <v>10785</v>
      </c>
      <c r="H1027" s="154" t="s">
        <v>7551</v>
      </c>
      <c r="I1027" s="154" t="s">
        <v>7123</v>
      </c>
    </row>
    <row r="1028" customFormat="false" ht="76" hidden="false" customHeight="true" outlineLevel="0" collapsed="false">
      <c r="A1028" s="154" t="s">
        <v>6677</v>
      </c>
      <c r="B1028" s="154" t="s">
        <v>9705</v>
      </c>
      <c r="C1028" s="154" t="s">
        <v>4743</v>
      </c>
      <c r="D1028" s="154" t="s">
        <v>7121</v>
      </c>
      <c r="E1028" s="154" t="s">
        <v>7552</v>
      </c>
      <c r="F1028" s="154" t="s">
        <v>10786</v>
      </c>
      <c r="G1028" s="154" t="s">
        <v>10787</v>
      </c>
      <c r="H1028" s="154" t="s">
        <v>7555</v>
      </c>
      <c r="I1028" s="154" t="s">
        <v>7123</v>
      </c>
    </row>
    <row r="1029" customFormat="false" ht="154" hidden="false" customHeight="true" outlineLevel="0" collapsed="false">
      <c r="A1029" s="154" t="s">
        <v>6696</v>
      </c>
      <c r="B1029" s="154" t="s">
        <v>9705</v>
      </c>
      <c r="C1029" s="154" t="s">
        <v>4743</v>
      </c>
      <c r="D1029" s="154" t="s">
        <v>7121</v>
      </c>
      <c r="E1029" s="154" t="s">
        <v>7633</v>
      </c>
      <c r="F1029" s="154" t="s">
        <v>10788</v>
      </c>
      <c r="G1029" s="154" t="s">
        <v>10789</v>
      </c>
      <c r="H1029" s="154" t="s">
        <v>7636</v>
      </c>
      <c r="I1029" s="154" t="s">
        <v>7123</v>
      </c>
    </row>
    <row r="1030" customFormat="false" ht="76" hidden="false" customHeight="true" outlineLevel="0" collapsed="false">
      <c r="A1030" s="154" t="s">
        <v>6696</v>
      </c>
      <c r="B1030" s="154" t="s">
        <v>9705</v>
      </c>
      <c r="C1030" s="154" t="s">
        <v>4743</v>
      </c>
      <c r="D1030" s="154" t="s">
        <v>7121</v>
      </c>
      <c r="E1030" s="154" t="s">
        <v>4744</v>
      </c>
      <c r="F1030" s="154" t="s">
        <v>10790</v>
      </c>
      <c r="G1030" s="154" t="s">
        <v>10791</v>
      </c>
      <c r="H1030" s="154" t="s">
        <v>7143</v>
      </c>
      <c r="I1030" s="154" t="s">
        <v>7123</v>
      </c>
    </row>
    <row r="1031" customFormat="false" ht="76" hidden="false" customHeight="true" outlineLevel="0" collapsed="false">
      <c r="A1031" s="154" t="s">
        <v>6696</v>
      </c>
      <c r="B1031" s="154" t="s">
        <v>9705</v>
      </c>
      <c r="C1031" s="154" t="s">
        <v>4743</v>
      </c>
      <c r="D1031" s="154" t="s">
        <v>7121</v>
      </c>
      <c r="E1031" s="154" t="s">
        <v>7639</v>
      </c>
      <c r="F1031" s="154" t="s">
        <v>10792</v>
      </c>
      <c r="G1031" s="154" t="s">
        <v>10793</v>
      </c>
      <c r="H1031" s="154" t="s">
        <v>7642</v>
      </c>
      <c r="I1031" s="154" t="s">
        <v>7123</v>
      </c>
    </row>
    <row r="1032" customFormat="false" ht="76" hidden="false" customHeight="true" outlineLevel="0" collapsed="false">
      <c r="A1032" s="154" t="s">
        <v>6696</v>
      </c>
      <c r="B1032" s="154" t="s">
        <v>9705</v>
      </c>
      <c r="C1032" s="154" t="s">
        <v>4743</v>
      </c>
      <c r="D1032" s="154" t="s">
        <v>7121</v>
      </c>
      <c r="E1032" s="154" t="s">
        <v>7643</v>
      </c>
      <c r="F1032" s="154" t="s">
        <v>10794</v>
      </c>
      <c r="G1032" s="154" t="s">
        <v>10795</v>
      </c>
      <c r="H1032" s="154" t="s">
        <v>7646</v>
      </c>
      <c r="I1032" s="154" t="s">
        <v>7123</v>
      </c>
    </row>
    <row r="1033" customFormat="false" ht="182" hidden="false" customHeight="true" outlineLevel="0" collapsed="false">
      <c r="A1033" s="154" t="s">
        <v>6696</v>
      </c>
      <c r="B1033" s="154" t="s">
        <v>9705</v>
      </c>
      <c r="C1033" s="154" t="s">
        <v>4743</v>
      </c>
      <c r="D1033" s="154" t="s">
        <v>7121</v>
      </c>
      <c r="E1033" s="154" t="s">
        <v>7629</v>
      </c>
      <c r="F1033" s="154" t="s">
        <v>10796</v>
      </c>
      <c r="G1033" s="154" t="s">
        <v>10797</v>
      </c>
      <c r="H1033" s="154" t="s">
        <v>7632</v>
      </c>
      <c r="I1033" s="154" t="s">
        <v>7123</v>
      </c>
    </row>
    <row r="1034" customFormat="false" ht="238" hidden="false" customHeight="true" outlineLevel="0" collapsed="false">
      <c r="A1034" s="154" t="s">
        <v>6696</v>
      </c>
      <c r="B1034" s="154" t="s">
        <v>9705</v>
      </c>
      <c r="C1034" s="154" t="s">
        <v>4743</v>
      </c>
      <c r="D1034" s="154" t="s">
        <v>7121</v>
      </c>
      <c r="E1034" s="154" t="s">
        <v>7599</v>
      </c>
      <c r="F1034" s="154" t="s">
        <v>10798</v>
      </c>
      <c r="G1034" s="154" t="s">
        <v>10799</v>
      </c>
      <c r="H1034" s="154" t="s">
        <v>7602</v>
      </c>
      <c r="I1034" s="154" t="s">
        <v>7123</v>
      </c>
    </row>
    <row r="1035" customFormat="false" ht="280" hidden="false" customHeight="true" outlineLevel="0" collapsed="false">
      <c r="A1035" s="154" t="s">
        <v>6696</v>
      </c>
      <c r="B1035" s="154" t="s">
        <v>9705</v>
      </c>
      <c r="C1035" s="154" t="s">
        <v>4743</v>
      </c>
      <c r="D1035" s="154" t="s">
        <v>7121</v>
      </c>
      <c r="E1035" s="154" t="s">
        <v>7603</v>
      </c>
      <c r="F1035" s="154" t="s">
        <v>10800</v>
      </c>
      <c r="G1035" s="154" t="s">
        <v>10801</v>
      </c>
      <c r="H1035" s="154" t="s">
        <v>7606</v>
      </c>
      <c r="I1035" s="154" t="s">
        <v>7123</v>
      </c>
    </row>
    <row r="1036" customFormat="false" ht="76" hidden="false" customHeight="true" outlineLevel="0" collapsed="false">
      <c r="A1036" s="154" t="s">
        <v>6696</v>
      </c>
      <c r="B1036" s="154" t="s">
        <v>9705</v>
      </c>
      <c r="C1036" s="154" t="s">
        <v>4743</v>
      </c>
      <c r="D1036" s="154" t="s">
        <v>7121</v>
      </c>
      <c r="E1036" s="154" t="s">
        <v>7129</v>
      </c>
      <c r="F1036" s="154" t="s">
        <v>10802</v>
      </c>
      <c r="G1036" s="154" t="s">
        <v>10803</v>
      </c>
      <c r="H1036" s="154" t="s">
        <v>7132</v>
      </c>
      <c r="I1036" s="154" t="s">
        <v>7123</v>
      </c>
    </row>
    <row r="1037" customFormat="false" ht="76" hidden="false" customHeight="true" outlineLevel="0" collapsed="false">
      <c r="A1037" s="154" t="s">
        <v>6696</v>
      </c>
      <c r="B1037" s="154" t="s">
        <v>9705</v>
      </c>
      <c r="C1037" s="154" t="s">
        <v>4743</v>
      </c>
      <c r="D1037" s="154" t="s">
        <v>7121</v>
      </c>
      <c r="E1037" s="154" t="s">
        <v>7609</v>
      </c>
      <c r="F1037" s="154" t="s">
        <v>10804</v>
      </c>
      <c r="G1037" s="154" t="s">
        <v>10805</v>
      </c>
      <c r="H1037" s="154" t="s">
        <v>7612</v>
      </c>
      <c r="I1037" s="154" t="s">
        <v>7123</v>
      </c>
    </row>
    <row r="1038" customFormat="false" ht="76" hidden="false" customHeight="true" outlineLevel="0" collapsed="false">
      <c r="A1038" s="154" t="s">
        <v>6696</v>
      </c>
      <c r="B1038" s="154" t="s">
        <v>9705</v>
      </c>
      <c r="C1038" s="154" t="s">
        <v>4743</v>
      </c>
      <c r="D1038" s="154" t="s">
        <v>7121</v>
      </c>
      <c r="E1038" s="154" t="s">
        <v>7613</v>
      </c>
      <c r="F1038" s="154" t="s">
        <v>10806</v>
      </c>
      <c r="G1038" s="154" t="s">
        <v>10807</v>
      </c>
      <c r="H1038" s="154" t="s">
        <v>7616</v>
      </c>
      <c r="I1038" s="154" t="s">
        <v>7123</v>
      </c>
    </row>
    <row r="1039" customFormat="false" ht="350" hidden="false" customHeight="true" outlineLevel="0" collapsed="false">
      <c r="A1039" s="154" t="s">
        <v>6809</v>
      </c>
      <c r="B1039" s="154" t="s">
        <v>9705</v>
      </c>
      <c r="C1039" s="154" t="s">
        <v>4743</v>
      </c>
      <c r="D1039" s="154" t="s">
        <v>7121</v>
      </c>
      <c r="E1039" s="154" t="s">
        <v>10808</v>
      </c>
      <c r="F1039" s="154" t="s">
        <v>10809</v>
      </c>
      <c r="G1039" s="154" t="s">
        <v>10810</v>
      </c>
      <c r="H1039" s="154" t="s">
        <v>10811</v>
      </c>
      <c r="I1039" s="154" t="s">
        <v>7123</v>
      </c>
    </row>
    <row r="1040" customFormat="false" ht="294" hidden="false" customHeight="true" outlineLevel="0" collapsed="false">
      <c r="A1040" s="154" t="s">
        <v>6809</v>
      </c>
      <c r="B1040" s="154" t="s">
        <v>9705</v>
      </c>
      <c r="C1040" s="154" t="s">
        <v>4743</v>
      </c>
      <c r="D1040" s="154" t="s">
        <v>7121</v>
      </c>
      <c r="E1040" s="154" t="s">
        <v>8075</v>
      </c>
      <c r="F1040" s="154" t="s">
        <v>10812</v>
      </c>
      <c r="G1040" s="154" t="s">
        <v>10813</v>
      </c>
      <c r="H1040" s="154" t="s">
        <v>8078</v>
      </c>
      <c r="I1040" s="154" t="s">
        <v>7123</v>
      </c>
    </row>
    <row r="1041" customFormat="false" ht="182" hidden="false" customHeight="true" outlineLevel="0" collapsed="false">
      <c r="A1041" s="154" t="s">
        <v>6809</v>
      </c>
      <c r="B1041" s="154" t="s">
        <v>9705</v>
      </c>
      <c r="C1041" s="154" t="s">
        <v>4743</v>
      </c>
      <c r="D1041" s="154" t="s">
        <v>7121</v>
      </c>
      <c r="E1041" s="154" t="s">
        <v>8079</v>
      </c>
      <c r="F1041" s="154" t="s">
        <v>10814</v>
      </c>
      <c r="G1041" s="154" t="s">
        <v>10815</v>
      </c>
      <c r="H1041" s="154" t="s">
        <v>8082</v>
      </c>
      <c r="I1041" s="154" t="s">
        <v>7123</v>
      </c>
    </row>
    <row r="1042" customFormat="false" ht="76" hidden="false" customHeight="true" outlineLevel="0" collapsed="false">
      <c r="A1042" s="154" t="s">
        <v>6809</v>
      </c>
      <c r="B1042" s="154" t="s">
        <v>9705</v>
      </c>
      <c r="C1042" s="154" t="s">
        <v>4743</v>
      </c>
      <c r="D1042" s="154" t="s">
        <v>7121</v>
      </c>
      <c r="E1042" s="154" t="s">
        <v>7129</v>
      </c>
      <c r="F1042" s="154" t="s">
        <v>10816</v>
      </c>
      <c r="G1042" s="154" t="s">
        <v>10817</v>
      </c>
      <c r="H1042" s="154" t="s">
        <v>7132</v>
      </c>
      <c r="I1042" s="154" t="s">
        <v>7123</v>
      </c>
    </row>
    <row r="1043" customFormat="false" ht="76" hidden="false" customHeight="true" outlineLevel="0" collapsed="false">
      <c r="A1043" s="154" t="s">
        <v>6809</v>
      </c>
      <c r="B1043" s="154" t="s">
        <v>9705</v>
      </c>
      <c r="C1043" s="154" t="s">
        <v>4743</v>
      </c>
      <c r="D1043" s="154" t="s">
        <v>7121</v>
      </c>
      <c r="E1043" s="154" t="s">
        <v>8085</v>
      </c>
      <c r="F1043" s="154" t="s">
        <v>10818</v>
      </c>
      <c r="G1043" s="154" t="s">
        <v>10819</v>
      </c>
      <c r="H1043" s="154" t="s">
        <v>8088</v>
      </c>
      <c r="I1043" s="154" t="s">
        <v>7123</v>
      </c>
    </row>
    <row r="1044" customFormat="false" ht="76" hidden="false" customHeight="true" outlineLevel="0" collapsed="false">
      <c r="A1044" s="154" t="s">
        <v>6809</v>
      </c>
      <c r="B1044" s="154" t="s">
        <v>9705</v>
      </c>
      <c r="C1044" s="154" t="s">
        <v>4743</v>
      </c>
      <c r="D1044" s="154" t="s">
        <v>7121</v>
      </c>
      <c r="E1044" s="154" t="s">
        <v>8089</v>
      </c>
      <c r="F1044" s="154" t="s">
        <v>10820</v>
      </c>
      <c r="G1044" s="154" t="s">
        <v>10821</v>
      </c>
      <c r="H1044" s="154" t="s">
        <v>8092</v>
      </c>
      <c r="I1044" s="154" t="s">
        <v>7123</v>
      </c>
    </row>
    <row r="1045" customFormat="false" ht="182" hidden="false" customHeight="true" outlineLevel="0" collapsed="false">
      <c r="A1045" s="154" t="s">
        <v>6846</v>
      </c>
      <c r="B1045" s="154" t="s">
        <v>9705</v>
      </c>
      <c r="C1045" s="154" t="s">
        <v>4743</v>
      </c>
      <c r="D1045" s="154" t="s">
        <v>7121</v>
      </c>
      <c r="E1045" s="154" t="s">
        <v>8380</v>
      </c>
      <c r="F1045" s="154" t="s">
        <v>10822</v>
      </c>
      <c r="G1045" s="154" t="s">
        <v>10823</v>
      </c>
      <c r="H1045" s="154" t="s">
        <v>8383</v>
      </c>
      <c r="I1045" s="154" t="s">
        <v>7123</v>
      </c>
    </row>
    <row r="1046" customFormat="false" ht="76" hidden="false" customHeight="true" outlineLevel="0" collapsed="false">
      <c r="A1046" s="154" t="s">
        <v>6846</v>
      </c>
      <c r="B1046" s="154" t="s">
        <v>9705</v>
      </c>
      <c r="C1046" s="154" t="s">
        <v>4743</v>
      </c>
      <c r="D1046" s="154" t="s">
        <v>7121</v>
      </c>
      <c r="E1046" s="154" t="s">
        <v>8384</v>
      </c>
      <c r="F1046" s="154" t="s">
        <v>10824</v>
      </c>
      <c r="G1046" s="154" t="s">
        <v>10825</v>
      </c>
      <c r="H1046" s="154" t="s">
        <v>8387</v>
      </c>
      <c r="I1046" s="154" t="s">
        <v>7123</v>
      </c>
    </row>
    <row r="1047" customFormat="false" ht="84" hidden="false" customHeight="true" outlineLevel="0" collapsed="false">
      <c r="A1047" s="154" t="s">
        <v>6846</v>
      </c>
      <c r="B1047" s="154" t="s">
        <v>9705</v>
      </c>
      <c r="C1047" s="154" t="s">
        <v>4743</v>
      </c>
      <c r="D1047" s="154" t="s">
        <v>7121</v>
      </c>
      <c r="E1047" s="154" t="s">
        <v>8388</v>
      </c>
      <c r="F1047" s="154" t="s">
        <v>10826</v>
      </c>
      <c r="G1047" s="154" t="s">
        <v>10827</v>
      </c>
      <c r="H1047" s="154" t="s">
        <v>8391</v>
      </c>
      <c r="I1047" s="154" t="s">
        <v>7123</v>
      </c>
    </row>
    <row r="1048" customFormat="false" ht="76" hidden="false" customHeight="true" outlineLevel="0" collapsed="false">
      <c r="A1048" s="154" t="s">
        <v>6846</v>
      </c>
      <c r="B1048" s="154" t="s">
        <v>9705</v>
      </c>
      <c r="C1048" s="154" t="s">
        <v>4743</v>
      </c>
      <c r="D1048" s="154" t="s">
        <v>7121</v>
      </c>
      <c r="E1048" s="154" t="s">
        <v>8392</v>
      </c>
      <c r="F1048" s="154" t="s">
        <v>10828</v>
      </c>
      <c r="G1048" s="154" t="s">
        <v>10829</v>
      </c>
      <c r="H1048" s="154" t="s">
        <v>8395</v>
      </c>
      <c r="I1048" s="154" t="s">
        <v>7123</v>
      </c>
    </row>
    <row r="1049" customFormat="false" ht="210" hidden="false" customHeight="true" outlineLevel="0" collapsed="false">
      <c r="A1049" s="154" t="s">
        <v>6846</v>
      </c>
      <c r="B1049" s="154" t="s">
        <v>9705</v>
      </c>
      <c r="C1049" s="154" t="s">
        <v>4743</v>
      </c>
      <c r="D1049" s="154" t="s">
        <v>7121</v>
      </c>
      <c r="E1049" s="154" t="s">
        <v>8376</v>
      </c>
      <c r="F1049" s="154" t="s">
        <v>10830</v>
      </c>
      <c r="G1049" s="154" t="s">
        <v>10831</v>
      </c>
      <c r="H1049" s="154" t="s">
        <v>8379</v>
      </c>
      <c r="I1049" s="154" t="s">
        <v>7123</v>
      </c>
    </row>
    <row r="1050" customFormat="false" ht="76" hidden="false" customHeight="true" outlineLevel="0" collapsed="false">
      <c r="A1050" s="154" t="s">
        <v>6846</v>
      </c>
      <c r="B1050" s="154" t="s">
        <v>9705</v>
      </c>
      <c r="C1050" s="154" t="s">
        <v>8246</v>
      </c>
      <c r="D1050" s="154" t="s">
        <v>8247</v>
      </c>
      <c r="E1050" s="154" t="s">
        <v>8248</v>
      </c>
      <c r="F1050" s="154" t="s">
        <v>10832</v>
      </c>
      <c r="G1050" s="154" t="s">
        <v>10833</v>
      </c>
      <c r="H1050" s="154" t="s">
        <v>8251</v>
      </c>
      <c r="I1050" s="154" t="s">
        <v>7123</v>
      </c>
    </row>
    <row r="1051" customFormat="false" ht="76" hidden="false" customHeight="true" outlineLevel="0" collapsed="false">
      <c r="A1051" s="154" t="s">
        <v>6846</v>
      </c>
      <c r="B1051" s="154" t="s">
        <v>9705</v>
      </c>
      <c r="C1051" s="154" t="s">
        <v>8252</v>
      </c>
      <c r="D1051" s="154" t="s">
        <v>8253</v>
      </c>
      <c r="E1051" s="154" t="s">
        <v>8254</v>
      </c>
      <c r="F1051" s="154" t="s">
        <v>10834</v>
      </c>
      <c r="G1051" s="154" t="s">
        <v>10835</v>
      </c>
      <c r="H1051" s="154" t="s">
        <v>8257</v>
      </c>
      <c r="I1051" s="154" t="s">
        <v>7123</v>
      </c>
    </row>
    <row r="1052" customFormat="false" ht="76" hidden="false" customHeight="true" outlineLevel="0" collapsed="false">
      <c r="A1052" s="154" t="s">
        <v>6846</v>
      </c>
      <c r="B1052" s="154" t="s">
        <v>9705</v>
      </c>
      <c r="C1052" s="154" t="s">
        <v>8258</v>
      </c>
      <c r="D1052" s="154" t="s">
        <v>8259</v>
      </c>
      <c r="E1052" s="154" t="s">
        <v>8260</v>
      </c>
      <c r="F1052" s="154" t="s">
        <v>10836</v>
      </c>
      <c r="G1052" s="154" t="s">
        <v>10837</v>
      </c>
      <c r="H1052" s="154" t="s">
        <v>8263</v>
      </c>
      <c r="I1052" s="154" t="s">
        <v>7123</v>
      </c>
    </row>
    <row r="1053" customFormat="false" ht="76" hidden="false" customHeight="true" outlineLevel="0" collapsed="false">
      <c r="A1053" s="154" t="s">
        <v>6846</v>
      </c>
      <c r="B1053" s="154" t="s">
        <v>9705</v>
      </c>
      <c r="C1053" s="154" t="s">
        <v>8264</v>
      </c>
      <c r="D1053" s="154" t="s">
        <v>8265</v>
      </c>
      <c r="E1053" s="154" t="s">
        <v>8266</v>
      </c>
      <c r="F1053" s="154" t="s">
        <v>10838</v>
      </c>
      <c r="G1053" s="154" t="s">
        <v>10839</v>
      </c>
      <c r="H1053" s="154" t="s">
        <v>8269</v>
      </c>
      <c r="I1053" s="154" t="s">
        <v>7123</v>
      </c>
    </row>
    <row r="1054" customFormat="false" ht="84" hidden="false" customHeight="true" outlineLevel="0" collapsed="false">
      <c r="A1054" s="154" t="s">
        <v>6846</v>
      </c>
      <c r="B1054" s="154" t="s">
        <v>9705</v>
      </c>
      <c r="C1054" s="154" t="s">
        <v>8270</v>
      </c>
      <c r="D1054" s="154" t="s">
        <v>8271</v>
      </c>
      <c r="E1054" s="154" t="s">
        <v>8272</v>
      </c>
      <c r="F1054" s="154" t="s">
        <v>10840</v>
      </c>
      <c r="G1054" s="154" t="s">
        <v>10841</v>
      </c>
      <c r="H1054" s="154" t="s">
        <v>8275</v>
      </c>
      <c r="I1054" s="154" t="s">
        <v>7123</v>
      </c>
    </row>
    <row r="1055" customFormat="false" ht="76" hidden="false" customHeight="true" outlineLevel="0" collapsed="false">
      <c r="A1055" s="154" t="s">
        <v>6846</v>
      </c>
      <c r="B1055" s="154" t="s">
        <v>9705</v>
      </c>
      <c r="C1055" s="154" t="s">
        <v>8276</v>
      </c>
      <c r="D1055" s="154" t="s">
        <v>8277</v>
      </c>
      <c r="E1055" s="154" t="s">
        <v>8278</v>
      </c>
      <c r="F1055" s="154" t="s">
        <v>10842</v>
      </c>
      <c r="G1055" s="154" t="s">
        <v>10843</v>
      </c>
      <c r="H1055" s="154" t="s">
        <v>8281</v>
      </c>
      <c r="I1055" s="154" t="s">
        <v>7123</v>
      </c>
    </row>
    <row r="1056" customFormat="false" ht="76" hidden="false" customHeight="true" outlineLevel="0" collapsed="false">
      <c r="A1056" s="154" t="s">
        <v>6846</v>
      </c>
      <c r="B1056" s="154" t="s">
        <v>9705</v>
      </c>
      <c r="C1056" s="154" t="s">
        <v>8282</v>
      </c>
      <c r="D1056" s="154" t="s">
        <v>8283</v>
      </c>
      <c r="E1056" s="154" t="s">
        <v>8284</v>
      </c>
      <c r="F1056" s="154" t="s">
        <v>10844</v>
      </c>
      <c r="G1056" s="154" t="s">
        <v>10845</v>
      </c>
      <c r="H1056" s="154" t="s">
        <v>8287</v>
      </c>
      <c r="I1056" s="154" t="s">
        <v>7123</v>
      </c>
    </row>
    <row r="1057" customFormat="false" ht="76" hidden="false" customHeight="true" outlineLevel="0" collapsed="false">
      <c r="A1057" s="154" t="s">
        <v>6846</v>
      </c>
      <c r="B1057" s="154" t="s">
        <v>9705</v>
      </c>
      <c r="C1057" s="154" t="s">
        <v>8288</v>
      </c>
      <c r="D1057" s="154" t="s">
        <v>8289</v>
      </c>
      <c r="E1057" s="154" t="s">
        <v>8290</v>
      </c>
      <c r="F1057" s="154" t="s">
        <v>10846</v>
      </c>
      <c r="G1057" s="154" t="s">
        <v>10847</v>
      </c>
      <c r="H1057" s="154" t="s">
        <v>8293</v>
      </c>
      <c r="I1057" s="154" t="s">
        <v>7123</v>
      </c>
    </row>
    <row r="1058" customFormat="false" ht="76" hidden="false" customHeight="true" outlineLevel="0" collapsed="false">
      <c r="A1058" s="154" t="s">
        <v>6846</v>
      </c>
      <c r="B1058" s="154" t="s">
        <v>9705</v>
      </c>
      <c r="C1058" s="154" t="s">
        <v>8294</v>
      </c>
      <c r="D1058" s="154" t="s">
        <v>8295</v>
      </c>
      <c r="E1058" s="154" t="s">
        <v>8296</v>
      </c>
      <c r="F1058" s="154" t="s">
        <v>10848</v>
      </c>
      <c r="G1058" s="154" t="s">
        <v>10849</v>
      </c>
      <c r="H1058" s="154" t="s">
        <v>8299</v>
      </c>
      <c r="I1058" s="154" t="s">
        <v>7123</v>
      </c>
    </row>
    <row r="1059" customFormat="false" ht="76" hidden="false" customHeight="true" outlineLevel="0" collapsed="false">
      <c r="A1059" s="154" t="s">
        <v>6846</v>
      </c>
      <c r="B1059" s="154" t="s">
        <v>9705</v>
      </c>
      <c r="C1059" s="154" t="s">
        <v>8300</v>
      </c>
      <c r="D1059" s="154" t="s">
        <v>8301</v>
      </c>
      <c r="E1059" s="154" t="s">
        <v>8302</v>
      </c>
      <c r="F1059" s="154" t="s">
        <v>10850</v>
      </c>
      <c r="G1059" s="154" t="s">
        <v>10851</v>
      </c>
      <c r="H1059" s="154" t="s">
        <v>8305</v>
      </c>
      <c r="I1059" s="154" t="s">
        <v>7123</v>
      </c>
    </row>
    <row r="1060" customFormat="false" ht="76" hidden="false" customHeight="true" outlineLevel="0" collapsed="false">
      <c r="A1060" s="154" t="s">
        <v>6846</v>
      </c>
      <c r="B1060" s="154" t="s">
        <v>9705</v>
      </c>
      <c r="C1060" s="154" t="s">
        <v>8306</v>
      </c>
      <c r="D1060" s="154" t="s">
        <v>8307</v>
      </c>
      <c r="E1060" s="154" t="s">
        <v>8308</v>
      </c>
      <c r="F1060" s="154" t="s">
        <v>10852</v>
      </c>
      <c r="G1060" s="154" t="s">
        <v>10853</v>
      </c>
      <c r="H1060" s="154" t="s">
        <v>8311</v>
      </c>
      <c r="I1060" s="154" t="s">
        <v>7123</v>
      </c>
    </row>
    <row r="1061" customFormat="false" ht="76" hidden="false" customHeight="true" outlineLevel="0" collapsed="false">
      <c r="A1061" s="154" t="s">
        <v>6846</v>
      </c>
      <c r="B1061" s="154" t="s">
        <v>9705</v>
      </c>
      <c r="C1061" s="154" t="s">
        <v>8312</v>
      </c>
      <c r="D1061" s="154" t="s">
        <v>8313</v>
      </c>
      <c r="E1061" s="154" t="s">
        <v>8314</v>
      </c>
      <c r="F1061" s="154" t="s">
        <v>10854</v>
      </c>
      <c r="G1061" s="154" t="s">
        <v>10855</v>
      </c>
      <c r="H1061" s="154" t="s">
        <v>8317</v>
      </c>
      <c r="I1061" s="154" t="s">
        <v>7123</v>
      </c>
    </row>
    <row r="1062" customFormat="false" ht="140" hidden="false" customHeight="true" outlineLevel="0" collapsed="false">
      <c r="A1062" s="154" t="s">
        <v>6846</v>
      </c>
      <c r="B1062" s="154" t="s">
        <v>9705</v>
      </c>
      <c r="C1062" s="154" t="s">
        <v>4743</v>
      </c>
      <c r="D1062" s="154" t="s">
        <v>7121</v>
      </c>
      <c r="E1062" s="154" t="s">
        <v>8318</v>
      </c>
      <c r="F1062" s="154" t="s">
        <v>10856</v>
      </c>
      <c r="G1062" s="154" t="s">
        <v>10857</v>
      </c>
      <c r="H1062" s="154" t="s">
        <v>8321</v>
      </c>
      <c r="I1062" s="154" t="s">
        <v>7123</v>
      </c>
    </row>
    <row r="1063" customFormat="false" ht="112" hidden="false" customHeight="true" outlineLevel="0" collapsed="false">
      <c r="A1063" s="154" t="s">
        <v>6846</v>
      </c>
      <c r="B1063" s="154" t="s">
        <v>9705</v>
      </c>
      <c r="C1063" s="154" t="s">
        <v>4743</v>
      </c>
      <c r="D1063" s="154" t="s">
        <v>7121</v>
      </c>
      <c r="E1063" s="154" t="s">
        <v>8322</v>
      </c>
      <c r="F1063" s="154" t="s">
        <v>10858</v>
      </c>
      <c r="G1063" s="154" t="s">
        <v>10859</v>
      </c>
      <c r="H1063" s="154" t="s">
        <v>8325</v>
      </c>
      <c r="I1063" s="154" t="s">
        <v>7123</v>
      </c>
    </row>
    <row r="1064" customFormat="false" ht="76" hidden="false" customHeight="true" outlineLevel="0" collapsed="false">
      <c r="A1064" s="154" t="s">
        <v>6846</v>
      </c>
      <c r="B1064" s="154" t="s">
        <v>9705</v>
      </c>
      <c r="C1064" s="154" t="s">
        <v>4743</v>
      </c>
      <c r="D1064" s="154" t="s">
        <v>7121</v>
      </c>
      <c r="E1064" s="154" t="s">
        <v>8326</v>
      </c>
      <c r="F1064" s="154" t="s">
        <v>10860</v>
      </c>
      <c r="G1064" s="154" t="s">
        <v>10861</v>
      </c>
      <c r="H1064" s="154" t="s">
        <v>8329</v>
      </c>
      <c r="I1064" s="154" t="s">
        <v>7123</v>
      </c>
    </row>
    <row r="1065" customFormat="false" ht="76" hidden="false" customHeight="true" outlineLevel="0" collapsed="false">
      <c r="A1065" s="154" t="s">
        <v>6846</v>
      </c>
      <c r="B1065" s="154" t="s">
        <v>9705</v>
      </c>
      <c r="C1065" s="154" t="s">
        <v>4743</v>
      </c>
      <c r="D1065" s="154" t="s">
        <v>7121</v>
      </c>
      <c r="E1065" s="154" t="s">
        <v>8330</v>
      </c>
      <c r="F1065" s="154" t="s">
        <v>10862</v>
      </c>
      <c r="G1065" s="154" t="s">
        <v>10863</v>
      </c>
      <c r="H1065" s="154" t="s">
        <v>8333</v>
      </c>
      <c r="I1065" s="154" t="s">
        <v>7123</v>
      </c>
    </row>
    <row r="1066" customFormat="false" ht="76" hidden="false" customHeight="true" outlineLevel="0" collapsed="false">
      <c r="A1066" s="154" t="s">
        <v>6846</v>
      </c>
      <c r="B1066" s="154" t="s">
        <v>9705</v>
      </c>
      <c r="C1066" s="154" t="s">
        <v>4743</v>
      </c>
      <c r="D1066" s="154" t="s">
        <v>7121</v>
      </c>
      <c r="E1066" s="154" t="s">
        <v>8334</v>
      </c>
      <c r="F1066" s="154" t="s">
        <v>10864</v>
      </c>
      <c r="G1066" s="154" t="s">
        <v>10865</v>
      </c>
      <c r="H1066" s="154" t="s">
        <v>8337</v>
      </c>
      <c r="I1066" s="154" t="s">
        <v>7123</v>
      </c>
    </row>
    <row r="1067" customFormat="false" ht="76" hidden="false" customHeight="true" outlineLevel="0" collapsed="false">
      <c r="A1067" s="154" t="s">
        <v>6846</v>
      </c>
      <c r="B1067" s="154" t="s">
        <v>9705</v>
      </c>
      <c r="C1067" s="154" t="s">
        <v>4743</v>
      </c>
      <c r="D1067" s="154" t="s">
        <v>7121</v>
      </c>
      <c r="E1067" s="154" t="s">
        <v>8338</v>
      </c>
      <c r="F1067" s="154" t="s">
        <v>10866</v>
      </c>
      <c r="G1067" s="154" t="s">
        <v>10867</v>
      </c>
      <c r="H1067" s="154" t="s">
        <v>8341</v>
      </c>
      <c r="I1067" s="154" t="s">
        <v>7123</v>
      </c>
    </row>
    <row r="1068" customFormat="false" ht="76" hidden="false" customHeight="true" outlineLevel="0" collapsed="false">
      <c r="A1068" s="154" t="s">
        <v>6846</v>
      </c>
      <c r="B1068" s="154" t="s">
        <v>9705</v>
      </c>
      <c r="C1068" s="154" t="s">
        <v>4743</v>
      </c>
      <c r="D1068" s="154" t="s">
        <v>7121</v>
      </c>
      <c r="E1068" s="154" t="s">
        <v>8342</v>
      </c>
      <c r="F1068" s="154" t="s">
        <v>10868</v>
      </c>
      <c r="G1068" s="154" t="s">
        <v>10869</v>
      </c>
      <c r="H1068" s="154" t="s">
        <v>8345</v>
      </c>
      <c r="I1068" s="154" t="s">
        <v>7123</v>
      </c>
    </row>
    <row r="1069" customFormat="false" ht="84" hidden="false" customHeight="true" outlineLevel="0" collapsed="false">
      <c r="A1069" s="154" t="s">
        <v>6846</v>
      </c>
      <c r="B1069" s="154" t="s">
        <v>9705</v>
      </c>
      <c r="C1069" s="154" t="s">
        <v>4743</v>
      </c>
      <c r="D1069" s="154" t="s">
        <v>7121</v>
      </c>
      <c r="E1069" s="154" t="s">
        <v>8346</v>
      </c>
      <c r="F1069" s="154" t="s">
        <v>10870</v>
      </c>
      <c r="G1069" s="154" t="s">
        <v>10871</v>
      </c>
      <c r="H1069" s="154" t="s">
        <v>8349</v>
      </c>
      <c r="I1069" s="154" t="s">
        <v>7123</v>
      </c>
    </row>
    <row r="1070" customFormat="false" ht="84" hidden="false" customHeight="true" outlineLevel="0" collapsed="false">
      <c r="A1070" s="154" t="s">
        <v>6846</v>
      </c>
      <c r="B1070" s="154" t="s">
        <v>9705</v>
      </c>
      <c r="C1070" s="154" t="s">
        <v>4743</v>
      </c>
      <c r="D1070" s="154" t="s">
        <v>7121</v>
      </c>
      <c r="E1070" s="154" t="s">
        <v>8350</v>
      </c>
      <c r="F1070" s="154" t="s">
        <v>10872</v>
      </c>
      <c r="G1070" s="154" t="s">
        <v>10873</v>
      </c>
      <c r="H1070" s="154" t="s">
        <v>8353</v>
      </c>
      <c r="I1070" s="154" t="s">
        <v>7123</v>
      </c>
    </row>
    <row r="1071" customFormat="false" ht="76" hidden="false" customHeight="true" outlineLevel="0" collapsed="false">
      <c r="A1071" s="154" t="s">
        <v>6846</v>
      </c>
      <c r="B1071" s="154" t="s">
        <v>9705</v>
      </c>
      <c r="C1071" s="154" t="s">
        <v>4743</v>
      </c>
      <c r="D1071" s="154" t="s">
        <v>7121</v>
      </c>
      <c r="E1071" s="154" t="s">
        <v>7129</v>
      </c>
      <c r="F1071" s="154" t="s">
        <v>10874</v>
      </c>
      <c r="G1071" s="154" t="s">
        <v>10875</v>
      </c>
      <c r="H1071" s="154" t="s">
        <v>7132</v>
      </c>
      <c r="I1071" s="154" t="s">
        <v>7123</v>
      </c>
    </row>
    <row r="1072" customFormat="false" ht="76" hidden="false" customHeight="true" outlineLevel="0" collapsed="false">
      <c r="A1072" s="154" t="s">
        <v>6846</v>
      </c>
      <c r="B1072" s="154" t="s">
        <v>9705</v>
      </c>
      <c r="C1072" s="154" t="s">
        <v>4743</v>
      </c>
      <c r="D1072" s="154" t="s">
        <v>7121</v>
      </c>
      <c r="E1072" s="154" t="s">
        <v>8356</v>
      </c>
      <c r="F1072" s="154" t="s">
        <v>10876</v>
      </c>
      <c r="G1072" s="154" t="s">
        <v>10877</v>
      </c>
      <c r="H1072" s="154" t="s">
        <v>8359</v>
      </c>
      <c r="I1072" s="154" t="s">
        <v>7123</v>
      </c>
    </row>
    <row r="1073" customFormat="false" ht="76" hidden="false" customHeight="true" outlineLevel="0" collapsed="false">
      <c r="A1073" s="154" t="s">
        <v>6846</v>
      </c>
      <c r="B1073" s="154" t="s">
        <v>9705</v>
      </c>
      <c r="C1073" s="154" t="s">
        <v>4743</v>
      </c>
      <c r="D1073" s="154" t="s">
        <v>7121</v>
      </c>
      <c r="E1073" s="154" t="s">
        <v>8360</v>
      </c>
      <c r="F1073" s="154" t="s">
        <v>10878</v>
      </c>
      <c r="G1073" s="154" t="s">
        <v>10879</v>
      </c>
      <c r="H1073" s="154" t="s">
        <v>8363</v>
      </c>
      <c r="I1073" s="154" t="s">
        <v>7123</v>
      </c>
    </row>
    <row r="1074" customFormat="false" ht="196" hidden="false" customHeight="true" outlineLevel="0" collapsed="false">
      <c r="A1074" s="154" t="s">
        <v>6904</v>
      </c>
      <c r="B1074" s="154" t="s">
        <v>9705</v>
      </c>
      <c r="C1074" s="154" t="s">
        <v>4743</v>
      </c>
      <c r="D1074" s="154" t="s">
        <v>7121</v>
      </c>
      <c r="E1074" s="154" t="s">
        <v>8596</v>
      </c>
      <c r="F1074" s="154" t="s">
        <v>10880</v>
      </c>
      <c r="G1074" s="154" t="s">
        <v>10881</v>
      </c>
      <c r="H1074" s="154" t="s">
        <v>8599</v>
      </c>
      <c r="I1074" s="154" t="s">
        <v>7123</v>
      </c>
    </row>
    <row r="1075" customFormat="false" ht="76" hidden="false" customHeight="true" outlineLevel="0" collapsed="false">
      <c r="A1075" s="154" t="s">
        <v>6904</v>
      </c>
      <c r="B1075" s="154" t="s">
        <v>9705</v>
      </c>
      <c r="C1075" s="154" t="s">
        <v>4743</v>
      </c>
      <c r="D1075" s="154" t="s">
        <v>7121</v>
      </c>
      <c r="E1075" s="154" t="s">
        <v>8600</v>
      </c>
      <c r="F1075" s="154" t="s">
        <v>10882</v>
      </c>
      <c r="G1075" s="154" t="s">
        <v>10883</v>
      </c>
      <c r="H1075" s="154" t="s">
        <v>8603</v>
      </c>
      <c r="I1075" s="154" t="s">
        <v>7123</v>
      </c>
    </row>
    <row r="1076" customFormat="false" ht="76" hidden="false" customHeight="true" outlineLevel="0" collapsed="false">
      <c r="A1076" s="154" t="s">
        <v>6904</v>
      </c>
      <c r="B1076" s="154" t="s">
        <v>9705</v>
      </c>
      <c r="C1076" s="154" t="s">
        <v>4743</v>
      </c>
      <c r="D1076" s="154" t="s">
        <v>7121</v>
      </c>
      <c r="E1076" s="154" t="s">
        <v>8604</v>
      </c>
      <c r="F1076" s="154" t="s">
        <v>10884</v>
      </c>
      <c r="G1076" s="154" t="s">
        <v>10885</v>
      </c>
      <c r="H1076" s="154" t="s">
        <v>8607</v>
      </c>
      <c r="I1076" s="154" t="s">
        <v>7123</v>
      </c>
    </row>
    <row r="1077" customFormat="false" ht="76" hidden="false" customHeight="true" outlineLevel="0" collapsed="false">
      <c r="A1077" s="154" t="s">
        <v>6904</v>
      </c>
      <c r="B1077" s="154" t="s">
        <v>9705</v>
      </c>
      <c r="C1077" s="154" t="s">
        <v>4743</v>
      </c>
      <c r="D1077" s="154" t="s">
        <v>7121</v>
      </c>
      <c r="E1077" s="154" t="s">
        <v>8608</v>
      </c>
      <c r="F1077" s="154" t="s">
        <v>10886</v>
      </c>
      <c r="G1077" s="154" t="s">
        <v>10887</v>
      </c>
      <c r="H1077" s="154" t="s">
        <v>8611</v>
      </c>
      <c r="I1077" s="154" t="s">
        <v>7123</v>
      </c>
    </row>
    <row r="1078" customFormat="false" ht="154" hidden="false" customHeight="true" outlineLevel="0" collapsed="false">
      <c r="A1078" s="154" t="s">
        <v>6904</v>
      </c>
      <c r="B1078" s="154" t="s">
        <v>9705</v>
      </c>
      <c r="C1078" s="154" t="s">
        <v>4743</v>
      </c>
      <c r="D1078" s="154" t="s">
        <v>7121</v>
      </c>
      <c r="E1078" s="154" t="s">
        <v>8592</v>
      </c>
      <c r="F1078" s="154" t="s">
        <v>10888</v>
      </c>
      <c r="G1078" s="154" t="s">
        <v>10889</v>
      </c>
      <c r="H1078" s="154" t="s">
        <v>8595</v>
      </c>
      <c r="I1078" s="154" t="s">
        <v>7123</v>
      </c>
    </row>
    <row r="1079" customFormat="false" ht="280" hidden="false" customHeight="true" outlineLevel="0" collapsed="false">
      <c r="A1079" s="154" t="s">
        <v>6904</v>
      </c>
      <c r="B1079" s="154" t="s">
        <v>9705</v>
      </c>
      <c r="C1079" s="154" t="s">
        <v>4743</v>
      </c>
      <c r="D1079" s="154" t="s">
        <v>7121</v>
      </c>
      <c r="E1079" s="154" t="s">
        <v>8562</v>
      </c>
      <c r="F1079" s="154" t="s">
        <v>10890</v>
      </c>
      <c r="G1079" s="154" t="s">
        <v>10891</v>
      </c>
      <c r="H1079" s="154" t="s">
        <v>8565</v>
      </c>
      <c r="I1079" s="154" t="s">
        <v>7123</v>
      </c>
    </row>
    <row r="1080" customFormat="false" ht="154" hidden="false" customHeight="true" outlineLevel="0" collapsed="false">
      <c r="A1080" s="154" t="s">
        <v>6904</v>
      </c>
      <c r="B1080" s="154" t="s">
        <v>9705</v>
      </c>
      <c r="C1080" s="154" t="s">
        <v>4743</v>
      </c>
      <c r="D1080" s="154" t="s">
        <v>7121</v>
      </c>
      <c r="E1080" s="154" t="s">
        <v>8566</v>
      </c>
      <c r="F1080" s="154" t="s">
        <v>10892</v>
      </c>
      <c r="G1080" s="154" t="s">
        <v>10893</v>
      </c>
      <c r="H1080" s="154" t="s">
        <v>8569</v>
      </c>
      <c r="I1080" s="154" t="s">
        <v>7123</v>
      </c>
    </row>
    <row r="1081" customFormat="false" ht="76" hidden="false" customHeight="true" outlineLevel="0" collapsed="false">
      <c r="A1081" s="154" t="s">
        <v>6904</v>
      </c>
      <c r="B1081" s="154" t="s">
        <v>9705</v>
      </c>
      <c r="C1081" s="154" t="s">
        <v>4743</v>
      </c>
      <c r="D1081" s="154" t="s">
        <v>7121</v>
      </c>
      <c r="E1081" s="154" t="s">
        <v>7129</v>
      </c>
      <c r="F1081" s="154" t="s">
        <v>10894</v>
      </c>
      <c r="G1081" s="154" t="s">
        <v>10895</v>
      </c>
      <c r="H1081" s="154" t="s">
        <v>7132</v>
      </c>
      <c r="I1081" s="154" t="s">
        <v>7123</v>
      </c>
    </row>
    <row r="1082" customFormat="false" ht="76" hidden="false" customHeight="true" outlineLevel="0" collapsed="false">
      <c r="A1082" s="154" t="s">
        <v>6904</v>
      </c>
      <c r="B1082" s="154" t="s">
        <v>9705</v>
      </c>
      <c r="C1082" s="154" t="s">
        <v>4743</v>
      </c>
      <c r="D1082" s="154" t="s">
        <v>7121</v>
      </c>
      <c r="E1082" s="154" t="s">
        <v>8572</v>
      </c>
      <c r="F1082" s="154" t="s">
        <v>10896</v>
      </c>
      <c r="G1082" s="154" t="s">
        <v>10897</v>
      </c>
      <c r="H1082" s="154" t="s">
        <v>8575</v>
      </c>
      <c r="I1082" s="154" t="s">
        <v>7123</v>
      </c>
    </row>
    <row r="1083" customFormat="false" ht="76" hidden="false" customHeight="true" outlineLevel="0" collapsed="false">
      <c r="A1083" s="154" t="s">
        <v>6904</v>
      </c>
      <c r="B1083" s="154" t="s">
        <v>9705</v>
      </c>
      <c r="C1083" s="154" t="s">
        <v>4743</v>
      </c>
      <c r="D1083" s="154" t="s">
        <v>7121</v>
      </c>
      <c r="E1083" s="154" t="s">
        <v>8576</v>
      </c>
      <c r="F1083" s="154" t="s">
        <v>10898</v>
      </c>
      <c r="G1083" s="154" t="s">
        <v>10899</v>
      </c>
      <c r="H1083" s="154" t="s">
        <v>8579</v>
      </c>
      <c r="I1083" s="154" t="s">
        <v>7123</v>
      </c>
    </row>
    <row r="1084" customFormat="false" ht="76" hidden="false" customHeight="true" outlineLevel="0" collapsed="false">
      <c r="A1084" s="154" t="s">
        <v>9704</v>
      </c>
      <c r="B1084" s="154" t="s">
        <v>9705</v>
      </c>
      <c r="C1084" s="154" t="s">
        <v>4743</v>
      </c>
      <c r="D1084" s="154" t="s">
        <v>7121</v>
      </c>
      <c r="E1084" s="154" t="s">
        <v>10900</v>
      </c>
      <c r="F1084" s="154" t="s">
        <v>10901</v>
      </c>
      <c r="G1084" s="154" t="s">
        <v>10902</v>
      </c>
      <c r="H1084" s="154" t="s">
        <v>10903</v>
      </c>
      <c r="I1084" s="154" t="s">
        <v>7123</v>
      </c>
    </row>
    <row r="1085" customFormat="false" ht="76" hidden="false" customHeight="true" outlineLevel="0" collapsed="false">
      <c r="A1085" s="154" t="s">
        <v>9704</v>
      </c>
      <c r="B1085" s="154" t="s">
        <v>9705</v>
      </c>
      <c r="C1085" s="154" t="s">
        <v>4743</v>
      </c>
      <c r="D1085" s="154" t="s">
        <v>7121</v>
      </c>
      <c r="E1085" s="154" t="s">
        <v>7935</v>
      </c>
      <c r="F1085" s="154" t="s">
        <v>10904</v>
      </c>
      <c r="G1085" s="154" t="s">
        <v>10905</v>
      </c>
      <c r="H1085" s="154" t="s">
        <v>7938</v>
      </c>
      <c r="I1085" s="154" t="s">
        <v>7123</v>
      </c>
    </row>
    <row r="1086" customFormat="false" ht="76" hidden="false" customHeight="true" outlineLevel="0" collapsed="false">
      <c r="A1086" s="154" t="s">
        <v>9704</v>
      </c>
      <c r="B1086" s="154" t="s">
        <v>9705</v>
      </c>
      <c r="C1086" s="154" t="s">
        <v>4743</v>
      </c>
      <c r="D1086" s="154" t="s">
        <v>7121</v>
      </c>
      <c r="E1086" s="154" t="s">
        <v>10906</v>
      </c>
      <c r="F1086" s="154" t="s">
        <v>10907</v>
      </c>
      <c r="G1086" s="154" t="s">
        <v>10908</v>
      </c>
      <c r="H1086" s="154" t="s">
        <v>10909</v>
      </c>
      <c r="I1086" s="154" t="s">
        <v>7123</v>
      </c>
    </row>
    <row r="1087" customFormat="false" ht="76" hidden="false" customHeight="true" outlineLevel="0" collapsed="false">
      <c r="A1087" s="154" t="s">
        <v>6981</v>
      </c>
      <c r="B1087" s="154" t="s">
        <v>9705</v>
      </c>
      <c r="C1087" s="154" t="s">
        <v>4743</v>
      </c>
      <c r="D1087" s="154" t="s">
        <v>7121</v>
      </c>
      <c r="E1087" s="154" t="s">
        <v>7935</v>
      </c>
      <c r="F1087" s="154" t="s">
        <v>10910</v>
      </c>
      <c r="G1087" s="154" t="s">
        <v>10911</v>
      </c>
      <c r="H1087" s="154" t="s">
        <v>7938</v>
      </c>
      <c r="I1087" s="154" t="s">
        <v>7123</v>
      </c>
    </row>
    <row r="1088" customFormat="false" ht="76" hidden="false" customHeight="true" outlineLevel="0" collapsed="false">
      <c r="A1088" s="154" t="s">
        <v>6981</v>
      </c>
      <c r="B1088" s="154" t="s">
        <v>9705</v>
      </c>
      <c r="C1088" s="154" t="s">
        <v>4743</v>
      </c>
      <c r="D1088" s="154" t="s">
        <v>7121</v>
      </c>
      <c r="E1088" s="154" t="s">
        <v>7935</v>
      </c>
      <c r="F1088" s="154" t="s">
        <v>10912</v>
      </c>
      <c r="G1088" s="154" t="s">
        <v>10913</v>
      </c>
      <c r="H1088" s="154" t="s">
        <v>7938</v>
      </c>
      <c r="I1088" s="154" t="s">
        <v>7123</v>
      </c>
    </row>
    <row r="1089" customFormat="false" ht="112" hidden="false" customHeight="true" outlineLevel="0" collapsed="false">
      <c r="A1089" s="154" t="s">
        <v>6981</v>
      </c>
      <c r="B1089" s="154" t="s">
        <v>9705</v>
      </c>
      <c r="C1089" s="154" t="s">
        <v>4743</v>
      </c>
      <c r="D1089" s="154" t="s">
        <v>7121</v>
      </c>
      <c r="E1089" s="154" t="s">
        <v>10914</v>
      </c>
      <c r="F1089" s="154" t="s">
        <v>10915</v>
      </c>
      <c r="G1089" s="154" t="s">
        <v>10916</v>
      </c>
      <c r="H1089" s="154" t="s">
        <v>10917</v>
      </c>
      <c r="I1089" s="154" t="s">
        <v>7123</v>
      </c>
    </row>
    <row r="1090" customFormat="false" ht="76" hidden="false" customHeight="true" outlineLevel="0" collapsed="false">
      <c r="A1090" s="154" t="s">
        <v>6981</v>
      </c>
      <c r="B1090" s="154" t="s">
        <v>9705</v>
      </c>
      <c r="C1090" s="154" t="s">
        <v>4743</v>
      </c>
      <c r="D1090" s="154" t="s">
        <v>7121</v>
      </c>
      <c r="E1090" s="154" t="s">
        <v>7935</v>
      </c>
      <c r="F1090" s="154" t="s">
        <v>10918</v>
      </c>
      <c r="G1090" s="154" t="s">
        <v>10919</v>
      </c>
      <c r="H1090" s="154" t="s">
        <v>7938</v>
      </c>
      <c r="I1090" s="154" t="s">
        <v>7123</v>
      </c>
    </row>
    <row r="1091" customFormat="false" ht="76" hidden="false" customHeight="true" outlineLevel="0" collapsed="false">
      <c r="A1091" s="154" t="s">
        <v>6981</v>
      </c>
      <c r="B1091" s="154" t="s">
        <v>9705</v>
      </c>
      <c r="C1091" s="154" t="s">
        <v>4743</v>
      </c>
      <c r="D1091" s="154" t="s">
        <v>7121</v>
      </c>
      <c r="E1091" s="154" t="s">
        <v>7935</v>
      </c>
      <c r="F1091" s="154" t="s">
        <v>10920</v>
      </c>
      <c r="G1091" s="154" t="s">
        <v>10921</v>
      </c>
      <c r="H1091" s="154" t="s">
        <v>7938</v>
      </c>
      <c r="I1091" s="154" t="s">
        <v>7123</v>
      </c>
    </row>
    <row r="1092" customFormat="false" ht="76" hidden="false" customHeight="true" outlineLevel="0" collapsed="false">
      <c r="A1092" s="154" t="s">
        <v>6981</v>
      </c>
      <c r="B1092" s="154" t="s">
        <v>9705</v>
      </c>
      <c r="C1092" s="154" t="s">
        <v>4743</v>
      </c>
      <c r="D1092" s="154" t="s">
        <v>7121</v>
      </c>
      <c r="E1092" s="154" t="s">
        <v>10922</v>
      </c>
      <c r="F1092" s="154" t="s">
        <v>10923</v>
      </c>
      <c r="G1092" s="154" t="s">
        <v>10924</v>
      </c>
      <c r="H1092" s="154" t="s">
        <v>10925</v>
      </c>
      <c r="I1092" s="154" t="s">
        <v>7123</v>
      </c>
    </row>
    <row r="1093" customFormat="false" ht="76" hidden="false" customHeight="true" outlineLevel="0" collapsed="false">
      <c r="A1093" s="154" t="s">
        <v>6981</v>
      </c>
      <c r="B1093" s="154" t="s">
        <v>9705</v>
      </c>
      <c r="C1093" s="154" t="s">
        <v>4743</v>
      </c>
      <c r="D1093" s="154" t="s">
        <v>7121</v>
      </c>
      <c r="E1093" s="154" t="s">
        <v>10926</v>
      </c>
      <c r="F1093" s="154" t="s">
        <v>10927</v>
      </c>
      <c r="G1093" s="154" t="s">
        <v>10928</v>
      </c>
      <c r="H1093" s="154" t="s">
        <v>10929</v>
      </c>
      <c r="I1093" s="154" t="s">
        <v>7123</v>
      </c>
    </row>
    <row r="1094" customFormat="false" ht="76" hidden="false" customHeight="true" outlineLevel="0" collapsed="false">
      <c r="A1094" s="154" t="s">
        <v>6981</v>
      </c>
      <c r="B1094" s="154" t="s">
        <v>9705</v>
      </c>
      <c r="C1094" s="154" t="s">
        <v>4743</v>
      </c>
      <c r="D1094" s="154" t="s">
        <v>7121</v>
      </c>
      <c r="E1094" s="154" t="s">
        <v>10930</v>
      </c>
      <c r="F1094" s="154" t="s">
        <v>10931</v>
      </c>
      <c r="G1094" s="154" t="s">
        <v>10932</v>
      </c>
      <c r="H1094" s="154" t="s">
        <v>10933</v>
      </c>
      <c r="I1094" s="154" t="s">
        <v>7123</v>
      </c>
    </row>
    <row r="1095" customFormat="false" ht="76" hidden="false" customHeight="true" outlineLevel="0" collapsed="false">
      <c r="A1095" s="154" t="s">
        <v>6981</v>
      </c>
      <c r="B1095" s="154" t="s">
        <v>9705</v>
      </c>
      <c r="C1095" s="154" t="s">
        <v>4743</v>
      </c>
      <c r="D1095" s="154" t="s">
        <v>7121</v>
      </c>
      <c r="E1095" s="154" t="s">
        <v>10934</v>
      </c>
      <c r="F1095" s="154" t="s">
        <v>10935</v>
      </c>
      <c r="G1095" s="154" t="s">
        <v>10936</v>
      </c>
      <c r="H1095" s="154" t="s">
        <v>10937</v>
      </c>
      <c r="I1095" s="154" t="s">
        <v>7123</v>
      </c>
    </row>
    <row r="1096" customFormat="false" ht="76" hidden="false" customHeight="true" outlineLevel="0" collapsed="false">
      <c r="A1096" s="154" t="s">
        <v>6981</v>
      </c>
      <c r="B1096" s="154" t="s">
        <v>9705</v>
      </c>
      <c r="C1096" s="154" t="s">
        <v>4743</v>
      </c>
      <c r="D1096" s="154" t="s">
        <v>7121</v>
      </c>
      <c r="E1096" s="154" t="s">
        <v>10938</v>
      </c>
      <c r="F1096" s="154" t="s">
        <v>10939</v>
      </c>
      <c r="G1096" s="154" t="s">
        <v>10940</v>
      </c>
      <c r="H1096" s="154" t="s">
        <v>10941</v>
      </c>
      <c r="I1096" s="154" t="s">
        <v>7123</v>
      </c>
    </row>
    <row r="1097" customFormat="false" ht="308" hidden="false" customHeight="true" outlineLevel="0" collapsed="false">
      <c r="A1097" s="154" t="s">
        <v>6981</v>
      </c>
      <c r="B1097" s="154" t="s">
        <v>9705</v>
      </c>
      <c r="C1097" s="154" t="s">
        <v>4743</v>
      </c>
      <c r="D1097" s="154" t="s">
        <v>7121</v>
      </c>
      <c r="E1097" s="154" t="s">
        <v>9245</v>
      </c>
      <c r="F1097" s="154" t="s">
        <v>10942</v>
      </c>
      <c r="G1097" s="154" t="s">
        <v>10943</v>
      </c>
      <c r="H1097" s="154" t="s">
        <v>9248</v>
      </c>
      <c r="I1097" s="154" t="s">
        <v>7123</v>
      </c>
    </row>
    <row r="1098" customFormat="false" ht="76" hidden="false" customHeight="true" outlineLevel="0" collapsed="false">
      <c r="A1098" s="154" t="s">
        <v>6981</v>
      </c>
      <c r="B1098" s="154" t="s">
        <v>9705</v>
      </c>
      <c r="C1098" s="154" t="s">
        <v>4743</v>
      </c>
      <c r="D1098" s="154" t="s">
        <v>7121</v>
      </c>
      <c r="E1098" s="154" t="s">
        <v>9249</v>
      </c>
      <c r="F1098" s="154" t="s">
        <v>10944</v>
      </c>
      <c r="G1098" s="154" t="s">
        <v>10945</v>
      </c>
      <c r="H1098" s="154" t="s">
        <v>9252</v>
      </c>
      <c r="I1098" s="154" t="s">
        <v>7123</v>
      </c>
    </row>
    <row r="1099" customFormat="false" ht="182" hidden="false" customHeight="true" outlineLevel="0" collapsed="false">
      <c r="A1099" s="154" t="s">
        <v>6981</v>
      </c>
      <c r="B1099" s="154" t="s">
        <v>9705</v>
      </c>
      <c r="C1099" s="154" t="s">
        <v>4743</v>
      </c>
      <c r="D1099" s="154" t="s">
        <v>7121</v>
      </c>
      <c r="E1099" s="154" t="s">
        <v>10946</v>
      </c>
      <c r="F1099" s="154" t="s">
        <v>10947</v>
      </c>
      <c r="G1099" s="154" t="s">
        <v>10948</v>
      </c>
      <c r="H1099" s="154" t="s">
        <v>10949</v>
      </c>
      <c r="I1099" s="154" t="s">
        <v>7123</v>
      </c>
    </row>
    <row r="1100" customFormat="false" ht="154" hidden="false" customHeight="true" outlineLevel="0" collapsed="false">
      <c r="A1100" s="154" t="s">
        <v>6981</v>
      </c>
      <c r="B1100" s="154" t="s">
        <v>9705</v>
      </c>
      <c r="C1100" s="154" t="s">
        <v>4743</v>
      </c>
      <c r="D1100" s="154" t="s">
        <v>7121</v>
      </c>
      <c r="E1100" s="154" t="s">
        <v>10950</v>
      </c>
      <c r="F1100" s="154" t="s">
        <v>10951</v>
      </c>
      <c r="G1100" s="154" t="s">
        <v>10952</v>
      </c>
      <c r="H1100" s="154" t="s">
        <v>10953</v>
      </c>
      <c r="I1100" s="154" t="s">
        <v>7123</v>
      </c>
    </row>
    <row r="1101" customFormat="false" ht="168" hidden="false" customHeight="true" outlineLevel="0" collapsed="false">
      <c r="A1101" s="154" t="s">
        <v>6981</v>
      </c>
      <c r="B1101" s="154" t="s">
        <v>9705</v>
      </c>
      <c r="C1101" s="154" t="s">
        <v>4743</v>
      </c>
      <c r="D1101" s="154" t="s">
        <v>7121</v>
      </c>
      <c r="E1101" s="154" t="s">
        <v>10954</v>
      </c>
      <c r="F1101" s="154" t="s">
        <v>10955</v>
      </c>
      <c r="G1101" s="154" t="s">
        <v>10956</v>
      </c>
      <c r="H1101" s="154" t="s">
        <v>10957</v>
      </c>
      <c r="I1101" s="154" t="s">
        <v>7123</v>
      </c>
    </row>
    <row r="1102" customFormat="false" ht="168" hidden="false" customHeight="true" outlineLevel="0" collapsed="false">
      <c r="A1102" s="154" t="s">
        <v>6981</v>
      </c>
      <c r="B1102" s="154" t="s">
        <v>9705</v>
      </c>
      <c r="C1102" s="154" t="s">
        <v>4743</v>
      </c>
      <c r="D1102" s="154" t="s">
        <v>7121</v>
      </c>
      <c r="E1102" s="154" t="s">
        <v>10958</v>
      </c>
      <c r="F1102" s="154" t="s">
        <v>10959</v>
      </c>
      <c r="G1102" s="154" t="s">
        <v>10960</v>
      </c>
      <c r="H1102" s="154" t="s">
        <v>10961</v>
      </c>
      <c r="I1102" s="154" t="s">
        <v>7123</v>
      </c>
    </row>
    <row r="1103" customFormat="false" ht="76" hidden="false" customHeight="true" outlineLevel="0" collapsed="false">
      <c r="A1103" s="154" t="s">
        <v>6981</v>
      </c>
      <c r="B1103" s="154" t="s">
        <v>9705</v>
      </c>
      <c r="C1103" s="154" t="s">
        <v>4743</v>
      </c>
      <c r="D1103" s="154" t="s">
        <v>7121</v>
      </c>
      <c r="E1103" s="154" t="s">
        <v>10962</v>
      </c>
      <c r="F1103" s="154" t="s">
        <v>10963</v>
      </c>
      <c r="G1103" s="154" t="s">
        <v>10964</v>
      </c>
      <c r="H1103" s="154" t="s">
        <v>10965</v>
      </c>
      <c r="I1103" s="154" t="s">
        <v>7123</v>
      </c>
    </row>
    <row r="1104" customFormat="false" ht="76" hidden="false" customHeight="true" outlineLevel="0" collapsed="false">
      <c r="A1104" s="154" t="s">
        <v>6981</v>
      </c>
      <c r="B1104" s="154" t="s">
        <v>9705</v>
      </c>
      <c r="C1104" s="154" t="s">
        <v>4743</v>
      </c>
      <c r="D1104" s="154" t="s">
        <v>7121</v>
      </c>
      <c r="E1104" s="154" t="s">
        <v>10930</v>
      </c>
      <c r="F1104" s="154" t="s">
        <v>10966</v>
      </c>
      <c r="G1104" s="154" t="s">
        <v>10967</v>
      </c>
      <c r="H1104" s="154" t="s">
        <v>10933</v>
      </c>
      <c r="I1104" s="154" t="s">
        <v>7123</v>
      </c>
    </row>
    <row r="1105" customFormat="false" ht="76" hidden="false" customHeight="true" outlineLevel="0" collapsed="false">
      <c r="A1105" s="154" t="s">
        <v>6981</v>
      </c>
      <c r="B1105" s="154" t="s">
        <v>9705</v>
      </c>
      <c r="C1105" s="154" t="s">
        <v>4743</v>
      </c>
      <c r="D1105" s="154" t="s">
        <v>7121</v>
      </c>
      <c r="E1105" s="154" t="s">
        <v>10934</v>
      </c>
      <c r="F1105" s="154" t="s">
        <v>10968</v>
      </c>
      <c r="G1105" s="154" t="s">
        <v>10969</v>
      </c>
      <c r="H1105" s="154" t="s">
        <v>10937</v>
      </c>
      <c r="I1105" s="154" t="s">
        <v>7123</v>
      </c>
    </row>
    <row r="1106" customFormat="false" ht="76" hidden="false" customHeight="true" outlineLevel="0" collapsed="false">
      <c r="A1106" s="154" t="s">
        <v>6981</v>
      </c>
      <c r="B1106" s="154" t="s">
        <v>9705</v>
      </c>
      <c r="C1106" s="154" t="s">
        <v>4743</v>
      </c>
      <c r="D1106" s="154" t="s">
        <v>7121</v>
      </c>
      <c r="E1106" s="154" t="s">
        <v>9225</v>
      </c>
      <c r="F1106" s="154" t="s">
        <v>10970</v>
      </c>
      <c r="G1106" s="154" t="s">
        <v>10971</v>
      </c>
      <c r="H1106" s="154" t="s">
        <v>9228</v>
      </c>
      <c r="I1106" s="154" t="s">
        <v>7123</v>
      </c>
    </row>
    <row r="1107" customFormat="false" ht="112" hidden="false" customHeight="true" outlineLevel="0" collapsed="false">
      <c r="A1107" s="154" t="s">
        <v>6981</v>
      </c>
      <c r="B1107" s="154" t="s">
        <v>9705</v>
      </c>
      <c r="C1107" s="154" t="s">
        <v>9177</v>
      </c>
      <c r="D1107" s="154" t="s">
        <v>9178</v>
      </c>
      <c r="E1107" s="154" t="s">
        <v>9179</v>
      </c>
      <c r="F1107" s="154" t="s">
        <v>10972</v>
      </c>
      <c r="G1107" s="154" t="s">
        <v>10973</v>
      </c>
      <c r="H1107" s="154" t="s">
        <v>9182</v>
      </c>
      <c r="I1107" s="154" t="s">
        <v>7123</v>
      </c>
    </row>
    <row r="1108" customFormat="false" ht="112" hidden="false" customHeight="true" outlineLevel="0" collapsed="false">
      <c r="A1108" s="154" t="s">
        <v>6981</v>
      </c>
      <c r="B1108" s="154" t="s">
        <v>9705</v>
      </c>
      <c r="C1108" s="154" t="s">
        <v>9183</v>
      </c>
      <c r="D1108" s="154" t="s">
        <v>9184</v>
      </c>
      <c r="E1108" s="154" t="s">
        <v>9185</v>
      </c>
      <c r="F1108" s="154" t="s">
        <v>10974</v>
      </c>
      <c r="G1108" s="154" t="s">
        <v>10975</v>
      </c>
      <c r="H1108" s="154" t="s">
        <v>9188</v>
      </c>
      <c r="I1108" s="154" t="s">
        <v>7123</v>
      </c>
    </row>
    <row r="1109" customFormat="false" ht="224" hidden="false" customHeight="true" outlineLevel="0" collapsed="false">
      <c r="A1109" s="154" t="s">
        <v>6981</v>
      </c>
      <c r="B1109" s="154" t="s">
        <v>9705</v>
      </c>
      <c r="C1109" s="154" t="s">
        <v>9189</v>
      </c>
      <c r="D1109" s="154" t="s">
        <v>9190</v>
      </c>
      <c r="E1109" s="154" t="s">
        <v>9191</v>
      </c>
      <c r="F1109" s="154" t="s">
        <v>10976</v>
      </c>
      <c r="G1109" s="154" t="s">
        <v>10977</v>
      </c>
      <c r="H1109" s="154" t="s">
        <v>9194</v>
      </c>
      <c r="I1109" s="154" t="s">
        <v>7123</v>
      </c>
    </row>
    <row r="1110" customFormat="false" ht="140" hidden="false" customHeight="true" outlineLevel="0" collapsed="false">
      <c r="A1110" s="154" t="s">
        <v>6981</v>
      </c>
      <c r="B1110" s="154" t="s">
        <v>9705</v>
      </c>
      <c r="C1110" s="154" t="s">
        <v>9195</v>
      </c>
      <c r="D1110" s="154" t="s">
        <v>9196</v>
      </c>
      <c r="E1110" s="154" t="s">
        <v>9197</v>
      </c>
      <c r="F1110" s="154" t="s">
        <v>10978</v>
      </c>
      <c r="G1110" s="154" t="s">
        <v>10979</v>
      </c>
      <c r="H1110" s="154" t="s">
        <v>9200</v>
      </c>
      <c r="I1110" s="154" t="s">
        <v>7123</v>
      </c>
    </row>
    <row r="1111" customFormat="false" ht="84" hidden="false" customHeight="true" outlineLevel="0" collapsed="false">
      <c r="A1111" s="154" t="s">
        <v>6981</v>
      </c>
      <c r="B1111" s="154" t="s">
        <v>9705</v>
      </c>
      <c r="C1111" s="154" t="s">
        <v>9201</v>
      </c>
      <c r="D1111" s="154" t="s">
        <v>9202</v>
      </c>
      <c r="E1111" s="154" t="s">
        <v>9203</v>
      </c>
      <c r="F1111" s="154" t="s">
        <v>10980</v>
      </c>
      <c r="G1111" s="154" t="s">
        <v>10981</v>
      </c>
      <c r="H1111" s="154" t="s">
        <v>9206</v>
      </c>
      <c r="I1111" s="154" t="s">
        <v>7123</v>
      </c>
    </row>
    <row r="1112" customFormat="false" ht="84" hidden="false" customHeight="true" outlineLevel="0" collapsed="false">
      <c r="A1112" s="154" t="s">
        <v>6981</v>
      </c>
      <c r="B1112" s="154" t="s">
        <v>9705</v>
      </c>
      <c r="C1112" s="154" t="s">
        <v>9207</v>
      </c>
      <c r="D1112" s="154" t="s">
        <v>9208</v>
      </c>
      <c r="E1112" s="154" t="s">
        <v>9209</v>
      </c>
      <c r="F1112" s="154" t="s">
        <v>10982</v>
      </c>
      <c r="G1112" s="154" t="s">
        <v>10983</v>
      </c>
      <c r="H1112" s="154" t="s">
        <v>9212</v>
      </c>
      <c r="I1112" s="154" t="s">
        <v>7123</v>
      </c>
    </row>
    <row r="1113" customFormat="false" ht="76" hidden="false" customHeight="true" outlineLevel="0" collapsed="false">
      <c r="A1113" s="154" t="s">
        <v>6981</v>
      </c>
      <c r="B1113" s="154" t="s">
        <v>9705</v>
      </c>
      <c r="C1113" s="154" t="s">
        <v>4743</v>
      </c>
      <c r="D1113" s="154" t="s">
        <v>7121</v>
      </c>
      <c r="E1113" s="154" t="s">
        <v>10984</v>
      </c>
      <c r="F1113" s="154" t="s">
        <v>10985</v>
      </c>
      <c r="G1113" s="154" t="s">
        <v>10986</v>
      </c>
      <c r="H1113" s="154" t="s">
        <v>10987</v>
      </c>
      <c r="I1113" s="154" t="s">
        <v>7123</v>
      </c>
    </row>
    <row r="1114" customFormat="false" ht="76" hidden="false" customHeight="true" outlineLevel="0" collapsed="false">
      <c r="A1114" s="154" t="s">
        <v>6981</v>
      </c>
      <c r="B1114" s="154" t="s">
        <v>9705</v>
      </c>
      <c r="C1114" s="154" t="s">
        <v>4743</v>
      </c>
      <c r="D1114" s="154" t="s">
        <v>7121</v>
      </c>
      <c r="E1114" s="154" t="s">
        <v>9225</v>
      </c>
      <c r="F1114" s="154" t="s">
        <v>10988</v>
      </c>
      <c r="G1114" s="154" t="s">
        <v>10989</v>
      </c>
      <c r="H1114" s="154" t="s">
        <v>9228</v>
      </c>
      <c r="I1114" s="154" t="s">
        <v>7123</v>
      </c>
    </row>
    <row r="1115" customFormat="false" ht="112" hidden="false" customHeight="true" outlineLevel="0" collapsed="false">
      <c r="A1115" s="154" t="s">
        <v>9704</v>
      </c>
      <c r="B1115" s="154" t="s">
        <v>9705</v>
      </c>
      <c r="C1115" s="154" t="s">
        <v>9177</v>
      </c>
      <c r="D1115" s="154" t="s">
        <v>9178</v>
      </c>
      <c r="E1115" s="154" t="s">
        <v>9179</v>
      </c>
      <c r="F1115" s="154" t="s">
        <v>10990</v>
      </c>
      <c r="G1115" s="154" t="s">
        <v>10991</v>
      </c>
      <c r="H1115" s="154" t="s">
        <v>9182</v>
      </c>
      <c r="I1115" s="154" t="s">
        <v>7123</v>
      </c>
    </row>
    <row r="1116" customFormat="false" ht="112" hidden="false" customHeight="true" outlineLevel="0" collapsed="false">
      <c r="A1116" s="154" t="s">
        <v>9704</v>
      </c>
      <c r="B1116" s="154" t="s">
        <v>9705</v>
      </c>
      <c r="C1116" s="154" t="s">
        <v>9183</v>
      </c>
      <c r="D1116" s="154" t="s">
        <v>9184</v>
      </c>
      <c r="E1116" s="154" t="s">
        <v>9185</v>
      </c>
      <c r="F1116" s="154" t="s">
        <v>10992</v>
      </c>
      <c r="G1116" s="154" t="s">
        <v>10993</v>
      </c>
      <c r="H1116" s="154" t="s">
        <v>9188</v>
      </c>
      <c r="I1116" s="154" t="s">
        <v>7123</v>
      </c>
    </row>
    <row r="1117" customFormat="false" ht="224" hidden="false" customHeight="true" outlineLevel="0" collapsed="false">
      <c r="A1117" s="154" t="s">
        <v>9704</v>
      </c>
      <c r="B1117" s="154" t="s">
        <v>9705</v>
      </c>
      <c r="C1117" s="154" t="s">
        <v>9189</v>
      </c>
      <c r="D1117" s="154" t="s">
        <v>9190</v>
      </c>
      <c r="E1117" s="154" t="s">
        <v>9191</v>
      </c>
      <c r="F1117" s="154" t="s">
        <v>10994</v>
      </c>
      <c r="G1117" s="154" t="s">
        <v>10995</v>
      </c>
      <c r="H1117" s="154" t="s">
        <v>9194</v>
      </c>
      <c r="I1117" s="154" t="s">
        <v>7123</v>
      </c>
    </row>
    <row r="1118" customFormat="false" ht="140" hidden="false" customHeight="true" outlineLevel="0" collapsed="false">
      <c r="A1118" s="154" t="s">
        <v>9704</v>
      </c>
      <c r="B1118" s="154" t="s">
        <v>9705</v>
      </c>
      <c r="C1118" s="154" t="s">
        <v>9195</v>
      </c>
      <c r="D1118" s="154" t="s">
        <v>9196</v>
      </c>
      <c r="E1118" s="154" t="s">
        <v>9197</v>
      </c>
      <c r="F1118" s="154" t="s">
        <v>10996</v>
      </c>
      <c r="G1118" s="154" t="s">
        <v>10997</v>
      </c>
      <c r="H1118" s="154" t="s">
        <v>9200</v>
      </c>
      <c r="I1118" s="154" t="s">
        <v>7123</v>
      </c>
    </row>
    <row r="1119" customFormat="false" ht="84" hidden="false" customHeight="true" outlineLevel="0" collapsed="false">
      <c r="A1119" s="154" t="s">
        <v>9704</v>
      </c>
      <c r="B1119" s="154" t="s">
        <v>9705</v>
      </c>
      <c r="C1119" s="154" t="s">
        <v>9201</v>
      </c>
      <c r="D1119" s="154" t="s">
        <v>9202</v>
      </c>
      <c r="E1119" s="154" t="s">
        <v>9203</v>
      </c>
      <c r="F1119" s="154" t="s">
        <v>10998</v>
      </c>
      <c r="G1119" s="154" t="s">
        <v>10999</v>
      </c>
      <c r="H1119" s="154" t="s">
        <v>9206</v>
      </c>
      <c r="I1119" s="154" t="s">
        <v>7123</v>
      </c>
    </row>
    <row r="1120" customFormat="false" ht="84" hidden="false" customHeight="true" outlineLevel="0" collapsed="false">
      <c r="A1120" s="154" t="s">
        <v>9704</v>
      </c>
      <c r="B1120" s="154" t="s">
        <v>9705</v>
      </c>
      <c r="C1120" s="154" t="s">
        <v>9207</v>
      </c>
      <c r="D1120" s="154" t="s">
        <v>9208</v>
      </c>
      <c r="E1120" s="154" t="s">
        <v>9209</v>
      </c>
      <c r="F1120" s="154" t="s">
        <v>11000</v>
      </c>
      <c r="G1120" s="154" t="s">
        <v>11001</v>
      </c>
      <c r="H1120" s="154" t="s">
        <v>9212</v>
      </c>
      <c r="I1120" s="154" t="s">
        <v>7123</v>
      </c>
    </row>
    <row r="1121" customFormat="false" ht="154" hidden="false" customHeight="true" outlineLevel="0" collapsed="false">
      <c r="A1121" s="154" t="s">
        <v>9704</v>
      </c>
      <c r="B1121" s="154" t="s">
        <v>9705</v>
      </c>
      <c r="C1121" s="154" t="s">
        <v>9213</v>
      </c>
      <c r="D1121" s="154" t="s">
        <v>9214</v>
      </c>
      <c r="E1121" s="154" t="s">
        <v>9215</v>
      </c>
      <c r="F1121" s="154" t="s">
        <v>11002</v>
      </c>
      <c r="G1121" s="154" t="s">
        <v>11003</v>
      </c>
      <c r="H1121" s="154" t="s">
        <v>9218</v>
      </c>
      <c r="I1121" s="154" t="s">
        <v>7123</v>
      </c>
    </row>
    <row r="1122" customFormat="false" ht="76" hidden="false" customHeight="true" outlineLevel="0" collapsed="false">
      <c r="A1122" s="154" t="s">
        <v>9704</v>
      </c>
      <c r="B1122" s="154" t="s">
        <v>9705</v>
      </c>
      <c r="C1122" s="154" t="s">
        <v>4743</v>
      </c>
      <c r="D1122" s="154" t="s">
        <v>7121</v>
      </c>
      <c r="E1122" s="154" t="s">
        <v>11004</v>
      </c>
      <c r="F1122" s="154" t="s">
        <v>11005</v>
      </c>
      <c r="G1122" s="154" t="s">
        <v>11006</v>
      </c>
      <c r="H1122" s="154" t="s">
        <v>11007</v>
      </c>
      <c r="I1122" s="154" t="s">
        <v>7123</v>
      </c>
    </row>
    <row r="1123" customFormat="false" ht="76" hidden="false" customHeight="true" outlineLevel="0" collapsed="false">
      <c r="A1123" s="154" t="s">
        <v>11008</v>
      </c>
      <c r="B1123" s="154" t="s">
        <v>11009</v>
      </c>
      <c r="C1123" s="154" t="s">
        <v>4743</v>
      </c>
      <c r="D1123" s="154" t="s">
        <v>7121</v>
      </c>
      <c r="E1123" s="154" t="s">
        <v>11010</v>
      </c>
      <c r="F1123" s="154" t="s">
        <v>11011</v>
      </c>
      <c r="G1123" s="154" t="s">
        <v>11012</v>
      </c>
      <c r="H1123" s="154" t="s">
        <v>11013</v>
      </c>
      <c r="I1123" s="154" t="s">
        <v>7123</v>
      </c>
    </row>
    <row r="1124" customFormat="false" ht="76" hidden="false" customHeight="true" outlineLevel="0" collapsed="false">
      <c r="A1124" s="154" t="s">
        <v>11008</v>
      </c>
      <c r="B1124" s="154" t="s">
        <v>11009</v>
      </c>
      <c r="C1124" s="154" t="s">
        <v>4743</v>
      </c>
      <c r="D1124" s="154" t="s">
        <v>7121</v>
      </c>
      <c r="E1124" s="154" t="s">
        <v>11014</v>
      </c>
      <c r="F1124" s="154" t="s">
        <v>11015</v>
      </c>
      <c r="G1124" s="154" t="s">
        <v>11016</v>
      </c>
      <c r="H1124" s="154" t="s">
        <v>11017</v>
      </c>
      <c r="I1124" s="154" t="s">
        <v>7123</v>
      </c>
    </row>
    <row r="1125" customFormat="false" ht="76" hidden="false" customHeight="true" outlineLevel="0" collapsed="false">
      <c r="A1125" s="154" t="s">
        <v>7094</v>
      </c>
      <c r="B1125" s="154" t="s">
        <v>11009</v>
      </c>
      <c r="C1125" s="154" t="s">
        <v>4743</v>
      </c>
      <c r="D1125" s="154" t="s">
        <v>7121</v>
      </c>
      <c r="E1125" s="154" t="s">
        <v>7935</v>
      </c>
      <c r="F1125" s="154" t="s">
        <v>9665</v>
      </c>
      <c r="G1125" s="154" t="s">
        <v>9666</v>
      </c>
      <c r="H1125" s="154" t="s">
        <v>7938</v>
      </c>
      <c r="I1125" s="154" t="s">
        <v>7123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3"/>
    <col collapsed="false" customWidth="true" hidden="false" outlineLevel="0" max="3" min="2" style="0" width="56"/>
    <col collapsed="false" customWidth="true" hidden="false" outlineLevel="0" max="4" min="4" style="0" width="60"/>
    <col collapsed="false" customWidth="true" hidden="false" outlineLevel="0" max="5" min="5" style="0" width="68"/>
  </cols>
  <sheetData>
    <row r="1" customFormat="false" ht="54" hidden="false" customHeight="true" outlineLevel="0" collapsed="false">
      <c r="A1" s="157" t="s">
        <v>11018</v>
      </c>
      <c r="B1" s="157" t="s">
        <v>11019</v>
      </c>
      <c r="C1" s="157" t="s">
        <v>11020</v>
      </c>
      <c r="D1" s="157" t="s">
        <v>11021</v>
      </c>
      <c r="E1" s="157" t="s">
        <v>11022</v>
      </c>
    </row>
    <row r="2" customFormat="false" ht="84" hidden="false" customHeight="true" outlineLevel="0" collapsed="false">
      <c r="A2" s="158" t="s">
        <v>11023</v>
      </c>
      <c r="B2" s="158" t="s">
        <v>11024</v>
      </c>
      <c r="C2" s="158" t="s">
        <v>11025</v>
      </c>
      <c r="D2" s="158" t="s">
        <v>11026</v>
      </c>
      <c r="E2" s="158" t="s">
        <v>11027</v>
      </c>
    </row>
    <row r="3" customFormat="false" ht="84" hidden="false" customHeight="true" outlineLevel="0" collapsed="false">
      <c r="A3" s="158" t="s">
        <v>11028</v>
      </c>
      <c r="B3" s="158" t="str">
        <f aca="false">"正式 4713／公开 4662；全文 "&amp;交付概览!B401&amp;"；部分 "&amp;交付概览!B402&amp;"；主角色 "&amp;交付概览!B403&amp;"；严格 "&amp;交付概览!B404&amp;"；隔离 51。"</f>
        <v>正式 4713／公开 4662；全文 2372；部分 16；主角色 2750；严格 426；隔离 51。</v>
      </c>
      <c r="C3" s="158" t="s">
        <v>11029</v>
      </c>
      <c r="D3" s="158" t="s">
        <v>11030</v>
      </c>
      <c r="E3" s="158" t="s">
        <v>11031</v>
      </c>
    </row>
    <row r="4" customFormat="false" ht="84" hidden="false" customHeight="true" outlineLevel="0" collapsed="false">
      <c r="A4" s="158" t="s">
        <v>11032</v>
      </c>
      <c r="B4" s="158" t="str">
        <f aca="false">"全文 "&amp;交付概览!B387&amp;"；部分 "&amp;交付概览!B388&amp;"；未尝试全文 "&amp;交付概览!B389&amp;"；未全文 "&amp;交付概览!B390&amp;"。"</f>
        <v>全文 127；部分 3；未尝试全文 8；未全文 11。</v>
      </c>
      <c r="C4" s="158" t="s">
        <v>11033</v>
      </c>
      <c r="D4" s="158" t="s">
        <v>11034</v>
      </c>
      <c r="E4" s="158" t="s">
        <v>11035</v>
      </c>
    </row>
    <row r="5" customFormat="false" ht="84" hidden="false" customHeight="true" outlineLevel="0" collapsed="false">
      <c r="A5" s="158" t="s">
        <v>11036</v>
      </c>
      <c r="B5" s="158" t="str">
        <f aca="false">"全文 "&amp;交付概览!B391&amp;"；部分 "&amp;交付概览!B392&amp;"；未尝试全文 "&amp;交付概览!B393&amp;"；未全文 "&amp;交付概览!B394&amp;"。"</f>
        <v>全文 81；部分 1；未尝试全文 8；未全文 9。</v>
      </c>
      <c r="C5" s="158" t="s">
        <v>11037</v>
      </c>
      <c r="D5" s="158" t="s">
        <v>11038</v>
      </c>
      <c r="E5" s="158" t="s">
        <v>11039</v>
      </c>
    </row>
    <row r="6" customFormat="false" ht="84" hidden="false" customHeight="true" outlineLevel="0" collapsed="false">
      <c r="A6" s="158" t="s">
        <v>11040</v>
      </c>
      <c r="B6" s="158" t="str">
        <f aca="false">"工单 "&amp;交付概览!B379&amp;"；阶段全审 "&amp;交付概览!B385&amp;" 份／"&amp;交付概览!B386&amp;" 页。"</f>
        <v>工单 289；阶段全审 127 份／6141 页。</v>
      </c>
      <c r="C6" s="158" t="s">
        <v>11041</v>
      </c>
      <c r="D6" s="158" t="s">
        <v>11042</v>
      </c>
      <c r="E6" s="158" t="s">
        <v>11043</v>
      </c>
    </row>
    <row r="7" customFormat="false" ht="84" hidden="false" customHeight="true" outlineLevel="0" collapsed="false">
      <c r="A7" s="158" t="s">
        <v>11044</v>
      </c>
      <c r="B7" s="158" t="s">
        <v>11045</v>
      </c>
      <c r="C7" s="158" t="s">
        <v>11046</v>
      </c>
      <c r="D7" s="158" t="s">
        <v>11047</v>
      </c>
      <c r="E7" s="158" t="s">
        <v>11048</v>
      </c>
    </row>
    <row r="8" customFormat="false" ht="84" hidden="false" customHeight="true" outlineLevel="0" collapsed="false">
      <c r="A8" s="158" t="s">
        <v>11049</v>
      </c>
      <c r="B8" s="158" t="s">
        <v>11050</v>
      </c>
      <c r="C8" s="158" t="s">
        <v>11051</v>
      </c>
      <c r="D8" s="158" t="s">
        <v>11052</v>
      </c>
      <c r="E8" s="158" t="str">
        <f aca="false">HYPERLINK("#'B25-27内容验收'!A1","查看30项验收")</f>
        <v>查看30项验收</v>
      </c>
    </row>
    <row r="9" customFormat="false" ht="84" hidden="false" customHeight="true" outlineLevel="0" collapsed="false">
      <c r="A9" s="158" t="s">
        <v>11053</v>
      </c>
      <c r="B9" s="158" t="s">
        <v>11054</v>
      </c>
      <c r="C9" s="158" t="s">
        <v>11055</v>
      </c>
      <c r="D9" s="158" t="s">
        <v>11056</v>
      </c>
      <c r="E9" s="158" t="str">
        <f aca="false">HYPERLINK("#'B25-27复核事项'!A1","查看1124条事实与双定位")</f>
        <v>查看1124条事实与双定位</v>
      </c>
    </row>
    <row r="10" customFormat="false" ht="84" hidden="false" customHeight="true" outlineLevel="0" collapsed="false">
      <c r="A10" s="158" t="s">
        <v>11057</v>
      </c>
      <c r="B10" s="158" t="s">
        <v>11058</v>
      </c>
      <c r="C10" s="158" t="s">
        <v>11059</v>
      </c>
      <c r="D10" s="158" t="s">
        <v>11060</v>
      </c>
      <c r="E10" s="158" t="s">
        <v>11061</v>
      </c>
    </row>
    <row r="11" customFormat="false" ht="84" hidden="false" customHeight="true" outlineLevel="0" collapsed="false">
      <c r="A11" s="158" t="s">
        <v>11062</v>
      </c>
      <c r="B11" s="158" t="s">
        <v>11063</v>
      </c>
      <c r="C11" s="158" t="s">
        <v>11064</v>
      </c>
      <c r="D11" s="158" t="s">
        <v>11065</v>
      </c>
      <c r="E11" s="158" t="s">
        <v>11066</v>
      </c>
    </row>
    <row r="12" customFormat="false" ht="84" hidden="false" customHeight="true" outlineLevel="0" collapsed="false">
      <c r="A12" s="158" t="s">
        <v>11067</v>
      </c>
      <c r="B12" s="158" t="s">
        <v>11068</v>
      </c>
      <c r="C12" s="158" t="s">
        <v>11069</v>
      </c>
      <c r="D12" s="158" t="s">
        <v>11065</v>
      </c>
      <c r="E12" s="158" t="s">
        <v>11070</v>
      </c>
    </row>
    <row r="13" customFormat="false" ht="84" hidden="false" customHeight="true" outlineLevel="0" collapsed="false">
      <c r="A13" s="158" t="s">
        <v>11071</v>
      </c>
      <c r="B13" s="158" t="s">
        <v>11072</v>
      </c>
      <c r="C13" s="158" t="s">
        <v>11064</v>
      </c>
      <c r="D13" s="158" t="s">
        <v>11065</v>
      </c>
      <c r="E13" s="158" t="s">
        <v>11073</v>
      </c>
    </row>
    <row r="14" customFormat="false" ht="84" hidden="false" customHeight="true" outlineLevel="0" collapsed="false">
      <c r="A14" s="158" t="s">
        <v>11074</v>
      </c>
      <c r="B14" s="158" t="s">
        <v>11075</v>
      </c>
      <c r="C14" s="158" t="s">
        <v>11076</v>
      </c>
      <c r="D14" s="158" t="s">
        <v>11077</v>
      </c>
      <c r="E14" s="158" t="s">
        <v>11078</v>
      </c>
    </row>
    <row r="15" customFormat="false" ht="84" hidden="false" customHeight="true" outlineLevel="0" collapsed="false">
      <c r="A15" s="158" t="s">
        <v>11079</v>
      </c>
      <c r="B15" s="158" t="s">
        <v>11080</v>
      </c>
      <c r="C15" s="158" t="s">
        <v>11081</v>
      </c>
      <c r="D15" s="158" t="s">
        <v>11082</v>
      </c>
      <c r="E15" s="158" t="s">
        <v>11083</v>
      </c>
    </row>
    <row r="16" customFormat="false" ht="84" hidden="false" customHeight="true" outlineLevel="0" collapsed="false">
      <c r="A16" s="158" t="s">
        <v>11084</v>
      </c>
      <c r="B16" s="158" t="s">
        <v>11085</v>
      </c>
      <c r="C16" s="158" t="s">
        <v>11086</v>
      </c>
      <c r="D16" s="158" t="s">
        <v>11087</v>
      </c>
      <c r="E16" s="158" t="s">
        <v>11088</v>
      </c>
    </row>
    <row r="17" customFormat="false" ht="84" hidden="false" customHeight="true" outlineLevel="0" collapsed="false">
      <c r="A17" s="158" t="s">
        <v>11089</v>
      </c>
      <c r="B17" s="158" t="s">
        <v>11090</v>
      </c>
      <c r="C17" s="158" t="s">
        <v>11069</v>
      </c>
      <c r="D17" s="158" t="s">
        <v>11065</v>
      </c>
      <c r="E17" s="158" t="s">
        <v>11091</v>
      </c>
    </row>
    <row r="18" customFormat="false" ht="84" hidden="false" customHeight="true" outlineLevel="0" collapsed="false">
      <c r="A18" s="158" t="s">
        <v>11092</v>
      </c>
      <c r="B18" s="158" t="s">
        <v>11093</v>
      </c>
      <c r="C18" s="158" t="s">
        <v>11069</v>
      </c>
      <c r="D18" s="158" t="s">
        <v>11065</v>
      </c>
      <c r="E18" s="158" t="s">
        <v>11094</v>
      </c>
    </row>
    <row r="19" customFormat="false" ht="84" hidden="false" customHeight="true" outlineLevel="0" collapsed="false">
      <c r="A19" s="158" t="s">
        <v>11095</v>
      </c>
      <c r="B19" s="158" t="s">
        <v>11096</v>
      </c>
      <c r="C19" s="158" t="s">
        <v>11069</v>
      </c>
      <c r="D19" s="158" t="s">
        <v>11065</v>
      </c>
      <c r="E19" s="158" t="s">
        <v>11097</v>
      </c>
    </row>
    <row r="20" customFormat="false" ht="84" hidden="false" customHeight="true" outlineLevel="0" collapsed="false">
      <c r="A20" s="158" t="s">
        <v>11098</v>
      </c>
      <c r="B20" s="158" t="s">
        <v>11099</v>
      </c>
      <c r="C20" s="158" t="s">
        <v>11064</v>
      </c>
      <c r="D20" s="158" t="s">
        <v>11065</v>
      </c>
      <c r="E20" s="158" t="s">
        <v>11100</v>
      </c>
    </row>
    <row r="21" customFormat="false" ht="84" hidden="false" customHeight="true" outlineLevel="0" collapsed="false">
      <c r="A21" s="158" t="s">
        <v>11101</v>
      </c>
      <c r="B21" s="158" t="s">
        <v>11102</v>
      </c>
      <c r="C21" s="158" t="s">
        <v>11103</v>
      </c>
      <c r="D21" s="158" t="s">
        <v>11104</v>
      </c>
      <c r="E21" s="158" t="s">
        <v>11105</v>
      </c>
    </row>
    <row r="22" customFormat="false" ht="84" hidden="false" customHeight="true" outlineLevel="0" collapsed="false">
      <c r="A22" s="158" t="s">
        <v>11106</v>
      </c>
      <c r="B22" s="158" t="s">
        <v>11107</v>
      </c>
      <c r="C22" s="158" t="s">
        <v>11108</v>
      </c>
      <c r="D22" s="158" t="s">
        <v>11104</v>
      </c>
      <c r="E22" s="158" t="s">
        <v>11109</v>
      </c>
    </row>
    <row r="23" customFormat="false" ht="84" hidden="false" customHeight="true" outlineLevel="0" collapsed="false">
      <c r="A23" s="158" t="s">
        <v>11110</v>
      </c>
      <c r="B23" s="158" t="s">
        <v>11111</v>
      </c>
      <c r="C23" s="158" t="s">
        <v>11112</v>
      </c>
      <c r="D23" s="158" t="s">
        <v>11104</v>
      </c>
      <c r="E23" s="158" t="s">
        <v>11113</v>
      </c>
    </row>
    <row r="24" customFormat="false" ht="84" hidden="false" customHeight="true" outlineLevel="0" collapsed="false">
      <c r="A24" s="158" t="s">
        <v>11114</v>
      </c>
      <c r="B24" s="158" t="s">
        <v>11115</v>
      </c>
      <c r="C24" s="158" t="s">
        <v>11116</v>
      </c>
      <c r="D24" s="158" t="s">
        <v>11104</v>
      </c>
      <c r="E24" s="158" t="s">
        <v>11117</v>
      </c>
    </row>
    <row r="25" customFormat="false" ht="84" hidden="false" customHeight="true" outlineLevel="0" collapsed="false">
      <c r="A25" s="158" t="s">
        <v>11118</v>
      </c>
      <c r="B25" s="158" t="s">
        <v>11119</v>
      </c>
      <c r="C25" s="158" t="s">
        <v>11120</v>
      </c>
      <c r="D25" s="158" t="s">
        <v>11121</v>
      </c>
      <c r="E25" s="158" t="s">
        <v>11122</v>
      </c>
    </row>
    <row r="26" customFormat="false" ht="84" hidden="false" customHeight="true" outlineLevel="0" collapsed="false">
      <c r="A26" s="158" t="s">
        <v>11123</v>
      </c>
      <c r="B26" s="158" t="s">
        <v>11124</v>
      </c>
      <c r="C26" s="158" t="s">
        <v>11125</v>
      </c>
      <c r="D26" s="158" t="s">
        <v>11126</v>
      </c>
      <c r="E26" s="158" t="s">
        <v>11127</v>
      </c>
    </row>
    <row r="27" customFormat="false" ht="84" hidden="false" customHeight="true" outlineLevel="0" collapsed="false">
      <c r="A27" s="158" t="s">
        <v>11128</v>
      </c>
      <c r="B27" s="158" t="s">
        <v>11129</v>
      </c>
      <c r="C27" s="158" t="s">
        <v>11130</v>
      </c>
      <c r="D27" s="158" t="s">
        <v>11131</v>
      </c>
      <c r="E27" s="158" t="s">
        <v>11132</v>
      </c>
    </row>
    <row r="28" customFormat="false" ht="84" hidden="false" customHeight="true" outlineLevel="0" collapsed="false">
      <c r="A28" s="158" t="s">
        <v>11133</v>
      </c>
      <c r="B28" s="158" t="s">
        <v>11134</v>
      </c>
      <c r="C28" s="158" t="s">
        <v>11135</v>
      </c>
      <c r="D28" s="158" t="s">
        <v>11136</v>
      </c>
      <c r="E28" s="158" t="s">
        <v>11137</v>
      </c>
    </row>
    <row r="29" customFormat="false" ht="84" hidden="false" customHeight="true" outlineLevel="0" collapsed="false">
      <c r="A29" s="158" t="s">
        <v>11138</v>
      </c>
      <c r="B29" s="158" t="s">
        <v>11139</v>
      </c>
      <c r="C29" s="158" t="s">
        <v>11140</v>
      </c>
      <c r="D29" s="158" t="s">
        <v>11141</v>
      </c>
      <c r="E29" s="158" t="s">
        <v>11142</v>
      </c>
    </row>
    <row r="30" customFormat="false" ht="84" hidden="false" customHeight="true" outlineLevel="0" collapsed="false">
      <c r="A30" s="158" t="s">
        <v>11143</v>
      </c>
      <c r="B30" s="158" t="s">
        <v>11144</v>
      </c>
      <c r="C30" s="158" t="s">
        <v>11145</v>
      </c>
      <c r="D30" s="158" t="s">
        <v>11146</v>
      </c>
      <c r="E30" s="158" t="s">
        <v>11147</v>
      </c>
    </row>
    <row r="31" customFormat="false" ht="84" hidden="false" customHeight="true" outlineLevel="0" collapsed="false">
      <c r="A31" s="158" t="s">
        <v>785</v>
      </c>
      <c r="B31" s="158" t="s">
        <v>11148</v>
      </c>
      <c r="C31" s="158" t="s">
        <v>11149</v>
      </c>
      <c r="D31" s="158" t="s">
        <v>11150</v>
      </c>
      <c r="E31" s="158" t="s">
        <v>11151</v>
      </c>
    </row>
    <row r="32" customFormat="false" ht="84" hidden="false" customHeight="true" outlineLevel="0" collapsed="false">
      <c r="A32" s="158" t="s">
        <v>11152</v>
      </c>
      <c r="B32" s="158" t="s">
        <v>11153</v>
      </c>
      <c r="C32" s="158" t="s">
        <v>11154</v>
      </c>
      <c r="D32" s="158" t="s">
        <v>11155</v>
      </c>
      <c r="E32" s="158" t="s">
        <v>11122</v>
      </c>
    </row>
    <row r="33" customFormat="false" ht="84" hidden="false" customHeight="true" outlineLevel="0" collapsed="false">
      <c r="A33" s="158" t="s">
        <v>11156</v>
      </c>
      <c r="B33" s="158" t="s">
        <v>11157</v>
      </c>
      <c r="C33" s="158" t="s">
        <v>11158</v>
      </c>
      <c r="D33" s="158" t="s">
        <v>11159</v>
      </c>
      <c r="E33" s="158" t="s">
        <v>11160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LibreOfficeDev/26.8.0.0.alpha0$Linux_X86_64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